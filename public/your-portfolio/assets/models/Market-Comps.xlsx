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\\Mac\Home\Library\CloudStorage\OneDrive-UniversityofSouthernCalifornia\Semesters\Spring 2025\RED 437\Cases\Case Finals\Case 3 Submission - Tran, Kyle\"/>
    </mc:Choice>
  </mc:AlternateContent>
  <xr:revisionPtr revIDLastSave="0" documentId="13_ncr:1_{B80F2F27-4F24-4921-BFC3-62247DD6ADA5}" xr6:coauthVersionLast="47" xr6:coauthVersionMax="47" xr10:uidLastSave="{00000000-0000-0000-0000-000000000000}"/>
  <bookViews>
    <workbookView xWindow="-98" yWindow="-98" windowWidth="26116" windowHeight="16381" xr2:uid="{59CBE44B-12AA-469D-B254-1994EC66F18B}"/>
  </bookViews>
  <sheets>
    <sheet name="Summary" sheetId="14" r:id="rId1"/>
    <sheet name="Rent Table" sheetId="12" state="hidden" r:id="rId2"/>
    <sheet name="Rent Summary" sheetId="13" r:id="rId3"/>
    <sheet name="Sales Comp Summary" sheetId="11" r:id="rId4"/>
    <sheet name="Sales Table" sheetId="10" state="hidden" r:id="rId5"/>
  </sheets>
  <externalReferences>
    <externalReference r:id="rId6"/>
    <externalReference r:id="rId7"/>
  </externalReferences>
  <definedNames>
    <definedName name="_xlcn.WorksheetConnection_rent_comps_torrance_redlands.xlsxAppended" hidden="1">[1]!Appended[#Data]</definedName>
    <definedName name="analysis_start">#REF!</definedName>
    <definedName name="market_rent">#REF!</definedName>
    <definedName name="Pal_Workbook_GUID" hidden="1">"XXE9JFB1Z8XY1XAAKHTHRBNR"</definedName>
  </definedNames>
  <calcPr calcId="191029"/>
  <pivotCaches>
    <pivotCache cacheId="15" r:id="rId8"/>
    <pivotCache cacheId="16" r:id="rId9"/>
  </pivotCaches>
  <extLst>
    <ext xmlns:x15="http://schemas.microsoft.com/office/spreadsheetml/2010/11/main" uri="{FCE2AD5D-F65C-4FA6-A056-5C36A1767C68}">
      <x15:dataModel>
        <x15:modelTables>
          <x15:modelTable id="Appended-488c0056-52c8-4039-a4cc-3ebbf9893c76" name="Appended" connection="WorksheetConnection_rent_comps_torrance_redlands.xlsx!Appended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4" l="1"/>
  <c r="D14" i="14" s="1"/>
  <c r="S101" i="12" a="1"/>
  <c r="S101" i="12" s="1"/>
  <c r="S100" i="12" a="1"/>
  <c r="S100" i="12" s="1"/>
  <c r="S99" i="12" a="1"/>
  <c r="S99" i="12" s="1"/>
  <c r="S98" i="12" a="1"/>
  <c r="S98" i="12" s="1"/>
  <c r="S97" i="12" a="1"/>
  <c r="S97" i="12" s="1"/>
  <c r="S96" i="12" a="1"/>
  <c r="S96" i="12" s="1"/>
  <c r="S95" i="12" a="1"/>
  <c r="S95" i="12" s="1"/>
  <c r="S94" i="12" a="1"/>
  <c r="S94" i="12" s="1"/>
  <c r="S93" i="12" a="1"/>
  <c r="S93" i="12" s="1"/>
  <c r="S92" i="12" a="1"/>
  <c r="S92" i="12" s="1"/>
  <c r="S91" i="12" a="1"/>
  <c r="S91" i="12" s="1"/>
  <c r="S90" i="12" a="1"/>
  <c r="S90" i="12" s="1"/>
  <c r="S89" i="12" a="1"/>
  <c r="S89" i="12" s="1"/>
  <c r="S88" i="12" a="1"/>
  <c r="S88" i="12" s="1"/>
  <c r="S87" i="12" a="1"/>
  <c r="S87" i="12" s="1"/>
  <c r="S86" i="12" a="1"/>
  <c r="S86" i="12" s="1"/>
  <c r="S85" i="12" a="1"/>
  <c r="S85" i="12" s="1"/>
  <c r="S84" i="12" a="1"/>
  <c r="S84" i="12" s="1"/>
  <c r="S83" i="12" a="1"/>
  <c r="S83" i="12" s="1"/>
  <c r="S82" i="12" a="1"/>
  <c r="S82" i="12" s="1"/>
  <c r="S81" i="12" a="1"/>
  <c r="S81" i="12" s="1"/>
  <c r="S80" i="12" a="1"/>
  <c r="S80" i="12" s="1"/>
  <c r="S79" i="12" a="1"/>
  <c r="S79" i="12" s="1"/>
  <c r="S78" i="12" a="1"/>
  <c r="S78" i="12" s="1"/>
  <c r="S77" i="12" a="1"/>
  <c r="S77" i="12" s="1"/>
  <c r="S76" i="12" a="1"/>
  <c r="S76" i="12" s="1"/>
  <c r="S75" i="12" a="1"/>
  <c r="S75" i="12" s="1"/>
  <c r="S74" i="12" a="1"/>
  <c r="S74" i="12" s="1"/>
  <c r="S73" i="12" a="1"/>
  <c r="S73" i="12" s="1"/>
  <c r="S72" i="12" a="1"/>
  <c r="S72" i="12" s="1"/>
  <c r="S71" i="12" a="1"/>
  <c r="S71" i="12" s="1"/>
  <c r="S70" i="12" a="1"/>
  <c r="S70" i="12" s="1"/>
  <c r="S69" i="12" a="1"/>
  <c r="S69" i="12" s="1"/>
  <c r="S68" i="12" a="1"/>
  <c r="S68" i="12" s="1"/>
  <c r="S67" i="12" a="1"/>
  <c r="S67" i="12" s="1"/>
  <c r="S66" i="12" a="1"/>
  <c r="S66" i="12" s="1"/>
  <c r="S65" i="12" a="1"/>
  <c r="S65" i="12" s="1"/>
  <c r="S64" i="12" a="1"/>
  <c r="S64" i="12" s="1"/>
  <c r="S63" i="12" a="1"/>
  <c r="S63" i="12" s="1"/>
  <c r="S62" i="12" a="1"/>
  <c r="S62" i="12" s="1"/>
  <c r="S61" i="12" a="1"/>
  <c r="S61" i="12" s="1"/>
  <c r="S60" i="12" a="1"/>
  <c r="S60" i="12" s="1"/>
  <c r="S59" i="12" a="1"/>
  <c r="S59" i="12" s="1"/>
  <c r="S58" i="12" a="1"/>
  <c r="S58" i="12" s="1"/>
  <c r="S57" i="12" a="1"/>
  <c r="S57" i="12" s="1"/>
  <c r="S56" i="12" a="1"/>
  <c r="S56" i="12" s="1"/>
  <c r="S55" i="12" a="1"/>
  <c r="S55" i="12" s="1"/>
  <c r="S54" i="12" a="1"/>
  <c r="S54" i="12" s="1"/>
  <c r="S53" i="12" a="1"/>
  <c r="S53" i="12" s="1"/>
  <c r="S52" i="12" a="1"/>
  <c r="S52" i="12" s="1"/>
  <c r="S51" i="12" a="1"/>
  <c r="S51" i="12" s="1"/>
  <c r="S50" i="12" a="1"/>
  <c r="S50" i="12" s="1"/>
  <c r="S49" i="12" a="1"/>
  <c r="S49" i="12" s="1"/>
  <c r="S48" i="12" a="1"/>
  <c r="S48" i="12" s="1"/>
  <c r="S47" i="12" a="1"/>
  <c r="S47" i="12" s="1"/>
  <c r="S46" i="12" a="1"/>
  <c r="S46" i="12" s="1"/>
  <c r="S45" i="12" a="1"/>
  <c r="S45" i="12" s="1"/>
  <c r="S44" i="12" a="1"/>
  <c r="S44" i="12" s="1"/>
  <c r="S43" i="12" a="1"/>
  <c r="S43" i="12" s="1"/>
  <c r="S42" i="12" a="1"/>
  <c r="S42" i="12" s="1"/>
  <c r="S41" i="12" a="1"/>
  <c r="S41" i="12" s="1"/>
  <c r="S40" i="12" a="1"/>
  <c r="S40" i="12" s="1"/>
  <c r="S39" i="12" a="1"/>
  <c r="S39" i="12" s="1"/>
  <c r="S38" i="12" a="1"/>
  <c r="S38" i="12" s="1"/>
  <c r="S37" i="12" a="1"/>
  <c r="S37" i="12" s="1"/>
  <c r="S36" i="12" a="1"/>
  <c r="S36" i="12" s="1"/>
  <c r="S35" i="12" a="1"/>
  <c r="S35" i="12" s="1"/>
  <c r="S34" i="12" a="1"/>
  <c r="S34" i="12" s="1"/>
  <c r="S33" i="12" a="1"/>
  <c r="S33" i="12" s="1"/>
  <c r="S32" i="12" a="1"/>
  <c r="S32" i="12" s="1"/>
  <c r="S31" i="12" a="1"/>
  <c r="S31" i="12" s="1"/>
  <c r="S30" i="12" a="1"/>
  <c r="S30" i="12" s="1"/>
  <c r="S29" i="12" a="1"/>
  <c r="S29" i="12" s="1"/>
  <c r="S28" i="12" a="1"/>
  <c r="S28" i="12" s="1"/>
  <c r="S27" i="12" a="1"/>
  <c r="S27" i="12" s="1"/>
  <c r="S26" i="12" a="1"/>
  <c r="S26" i="12" s="1"/>
  <c r="S25" i="12" a="1"/>
  <c r="S25" i="12" s="1"/>
  <c r="S24" i="12" a="1"/>
  <c r="S24" i="12" s="1"/>
  <c r="S23" i="12" a="1"/>
  <c r="S23" i="12" s="1"/>
  <c r="S22" i="12" a="1"/>
  <c r="S22" i="12" s="1"/>
  <c r="S21" i="12" a="1"/>
  <c r="S21" i="12" s="1"/>
  <c r="S20" i="12" a="1"/>
  <c r="S20" i="12" s="1"/>
  <c r="S19" i="12" a="1"/>
  <c r="S19" i="12" s="1"/>
  <c r="S18" i="12" a="1"/>
  <c r="S18" i="12" s="1"/>
  <c r="S17" i="12" a="1"/>
  <c r="S17" i="12" s="1"/>
  <c r="S16" i="12" a="1"/>
  <c r="S16" i="12" s="1"/>
  <c r="S15" i="12" a="1"/>
  <c r="S15" i="12" s="1"/>
  <c r="S14" i="12" a="1"/>
  <c r="S14" i="12" s="1"/>
  <c r="S13" i="12"/>
  <c r="S13" i="12" a="1"/>
  <c r="S12" i="12" a="1"/>
  <c r="S12" i="12" s="1"/>
  <c r="S11" i="12" a="1"/>
  <c r="S11" i="12" s="1"/>
  <c r="S10" i="12" a="1"/>
  <c r="S10" i="12" s="1"/>
  <c r="S9" i="12" a="1"/>
  <c r="S9" i="12" s="1"/>
  <c r="S8" i="12" a="1"/>
  <c r="S8" i="12" s="1"/>
  <c r="S7" i="12" a="1"/>
  <c r="S7" i="12" s="1"/>
  <c r="S6" i="12" a="1"/>
  <c r="S6" i="12" s="1"/>
  <c r="S5" i="12" a="1"/>
  <c r="S5" i="12" s="1"/>
  <c r="S4" i="12" a="1"/>
  <c r="S4" i="12" s="1"/>
  <c r="S3" i="12" a="1"/>
  <c r="S3" i="12" s="1"/>
  <c r="S2" i="12" a="1"/>
  <c r="S2" i="12" s="1"/>
  <c r="D11" i="14" l="1"/>
  <c r="D12" i="14"/>
  <c r="D10" i="14"/>
  <c r="D15" i="14" s="1"/>
  <c r="D17" i="14" l="1"/>
  <c r="D18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rent_comps_torrance_redlands.xlsx!Appended" type="102" refreshedVersion="8" minRefreshableVersion="5">
    <extLst>
      <ext xmlns:x15="http://schemas.microsoft.com/office/spreadsheetml/2010/11/main" uri="{DE250136-89BD-433C-8126-D09CA5730AF9}">
        <x15:connection id="Appended-488c0056-52c8-4039-a4cc-3ebbf9893c76" autoDelete="1">
          <x15:rangePr sourceName="_xlcn.WorksheetConnection_rent_comps_torrance_redlands.xlsxAppended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<sst xmlns="http://schemas.openxmlformats.org/spreadsheetml/2006/main" count="2975" uniqueCount="506">
  <si>
    <t>Rental Revenue</t>
  </si>
  <si>
    <t>Market</t>
  </si>
  <si>
    <t>Redlands</t>
  </si>
  <si>
    <t>City</t>
  </si>
  <si>
    <t>State</t>
  </si>
  <si>
    <t>Vacancy</t>
  </si>
  <si>
    <t>Size</t>
  </si>
  <si>
    <t>Torrance</t>
  </si>
  <si>
    <t>Year Built</t>
  </si>
  <si>
    <t>Soft Costs</t>
  </si>
  <si>
    <t>Appended Table</t>
  </si>
  <si>
    <t>Portfolio / Property Name</t>
  </si>
  <si>
    <t>Street Address</t>
  </si>
  <si>
    <t>Country</t>
  </si>
  <si>
    <t>Zip Code</t>
  </si>
  <si>
    <t>Sector</t>
  </si>
  <si>
    <t>Subsector</t>
  </si>
  <si>
    <t>Sector Attribute</t>
  </si>
  <si>
    <t>Part of Mixed Use Development</t>
  </si>
  <si>
    <t>Submarket</t>
  </si>
  <si>
    <t>Size Type</t>
  </si>
  <si>
    <t>Sale Date</t>
  </si>
  <si>
    <t>Stake Sold</t>
  </si>
  <si>
    <t>Local Currency Sale Price (M)</t>
  </si>
  <si>
    <t>Local Currency Symbol</t>
  </si>
  <si>
    <t>Sale Price Per (in Local Currency)</t>
  </si>
  <si>
    <t>Selected Currency Sale Price ($) (M)</t>
  </si>
  <si>
    <t>Submarket Grade</t>
  </si>
  <si>
    <t>Property Cap Rate</t>
  </si>
  <si>
    <t>Property Cap Rate Type</t>
  </si>
  <si>
    <t>Part of a Portfolio?</t>
  </si>
  <si>
    <t>Buyer</t>
  </si>
  <si>
    <t>Seller</t>
  </si>
  <si>
    <t>Buyer Objective</t>
  </si>
  <si>
    <t>To be demolished</t>
  </si>
  <si>
    <t>Buyer Broker</t>
  </si>
  <si>
    <t>Seller Broker</t>
  </si>
  <si>
    <t>Land Area (acres)</t>
  </si>
  <si>
    <t>Stories</t>
  </si>
  <si>
    <t>Parking</t>
  </si>
  <si>
    <t>Buildings</t>
  </si>
  <si>
    <t>Year Renovated</t>
  </si>
  <si>
    <t>Occupancy</t>
  </si>
  <si>
    <t>Green Street Market Cap Rate</t>
  </si>
  <si>
    <t>Submarket Cap Rate</t>
  </si>
  <si>
    <t>Zip Code Cap Rate</t>
  </si>
  <si>
    <t>Lender</t>
  </si>
  <si>
    <t>1st Mortgage</t>
  </si>
  <si>
    <t>Verified?</t>
  </si>
  <si>
    <t>1971 Essex Court</t>
  </si>
  <si>
    <t>1971 Essex Court, Redlands, CA 92373</t>
  </si>
  <si>
    <t>CA</t>
  </si>
  <si>
    <t>United States</t>
  </si>
  <si>
    <t>92373</t>
  </si>
  <si>
    <t>Industrial</t>
  </si>
  <si>
    <t>Flex Industrial</t>
  </si>
  <si>
    <t>No</t>
  </si>
  <si>
    <t>Inland Empire</t>
  </si>
  <si>
    <t>IE-East Redlands</t>
  </si>
  <si>
    <t>SF</t>
  </si>
  <si>
    <t>$</t>
  </si>
  <si>
    <t>A-</t>
  </si>
  <si>
    <t>Green Street Market Estimate</t>
  </si>
  <si>
    <t>CMJ Brother's Corp.</t>
  </si>
  <si>
    <t>Rediger Investments</t>
  </si>
  <si>
    <t>Yes</t>
  </si>
  <si>
    <t>1425 Cooley Court</t>
  </si>
  <si>
    <t>1425 Cooley Court, San Bernardino, CA 92408</t>
  </si>
  <si>
    <t>San Bernardino</t>
  </si>
  <si>
    <t>92408</t>
  </si>
  <si>
    <t>Warehouse</t>
  </si>
  <si>
    <t>Light Industrial</t>
  </si>
  <si>
    <t>Symetra Financial</t>
  </si>
  <si>
    <t>1320 Riverview Drive</t>
  </si>
  <si>
    <t>1320 Riverview Drive, San Bernardino, CA 92408</t>
  </si>
  <si>
    <t>Rogina Family Living Trust</t>
  </si>
  <si>
    <t>Wells Fargo Bank</t>
  </si>
  <si>
    <t>401 Alabama Street</t>
  </si>
  <si>
    <t>401 Alabama Street, Redlands, CA 92373</t>
  </si>
  <si>
    <t>As Reported</t>
  </si>
  <si>
    <t>General Investment &amp; Development Cos.</t>
  </si>
  <si>
    <t>Investment Building Group</t>
  </si>
  <si>
    <t>CBRE Group</t>
  </si>
  <si>
    <t>Carnegie Business Center</t>
  </si>
  <si>
    <t>720 East Carnegie Drive, San Bernardino, CA 92408</t>
  </si>
  <si>
    <t>Entrada Partners</t>
  </si>
  <si>
    <t>1990 Riverview Drive</t>
  </si>
  <si>
    <t>1990 Riverview Drive, San Bernardino, CA 92408</t>
  </si>
  <si>
    <t>1,172.28</t>
  </si>
  <si>
    <t>1393 East San Bernardino Avenue</t>
  </si>
  <si>
    <t>1393 East San Bernardino Avenue, San Bernardino, CA 92408</t>
  </si>
  <si>
    <t>First Industrial Realty Trust (FR)</t>
  </si>
  <si>
    <t>301 Tennessee Street</t>
  </si>
  <si>
    <t>301 Tennessee Street, Redlands, CA 92373</t>
  </si>
  <si>
    <t>Manufacturing / Heavy Industrial</t>
  </si>
  <si>
    <t>Stos Partners</t>
  </si>
  <si>
    <t>ESRI</t>
  </si>
  <si>
    <t>Savills</t>
  </si>
  <si>
    <t>1939 West Park Avenue</t>
  </si>
  <si>
    <t>1939 West Park Avenue, Redlands, CA 92373</t>
  </si>
  <si>
    <t>Scott Barnes</t>
  </si>
  <si>
    <t>John C. Steinmann</t>
  </si>
  <si>
    <t>I-215 Commerce Center</t>
  </si>
  <si>
    <t>1648 Ashley Way, Colton, CA 92324</t>
  </si>
  <si>
    <t>Colton</t>
  </si>
  <si>
    <t>92324</t>
  </si>
  <si>
    <t>Zurich Alternative Asset Management</t>
  </si>
  <si>
    <t>Transwestern Development Company</t>
  </si>
  <si>
    <t>Washington Commerce Center</t>
  </si>
  <si>
    <t>998 South Washington Avenue, San Bernardino, CA 92408</t>
  </si>
  <si>
    <t>PGIM</t>
  </si>
  <si>
    <t>Crow Holdings</t>
  </si>
  <si>
    <t>Eastdil Secured</t>
  </si>
  <si>
    <t>Washington Commerce Center, Building 3</t>
  </si>
  <si>
    <t>Washington Commerce Center, Building 2</t>
  </si>
  <si>
    <t>975 South Washington Avenue, San Bernardino, CA 92408</t>
  </si>
  <si>
    <t>Dedeaux Business Park Redlands</t>
  </si>
  <si>
    <t>509 Alabama Street, Redlands, CA 92373</t>
  </si>
  <si>
    <t>LBA Realty</t>
  </si>
  <si>
    <t>Brasa Capital; Dedeaux Properties</t>
  </si>
  <si>
    <t>Cushman &amp; Wakefield</t>
  </si>
  <si>
    <t>Cushman &amp; Wakefield; Lee &amp; Associates</t>
  </si>
  <si>
    <t>1255 Research Drive</t>
  </si>
  <si>
    <t>1255 Research Drive, Redlands, CA 92374</t>
  </si>
  <si>
    <t>92374</t>
  </si>
  <si>
    <t>EQT Exeter</t>
  </si>
  <si>
    <t>Garner Holt Productions Inc.</t>
  </si>
  <si>
    <t>Colliers</t>
  </si>
  <si>
    <t>Crow Holdings Los Angeles Area Industrial Portfolio</t>
  </si>
  <si>
    <t>1070 South Waterman Avenue, San Bernardino, CA 92408</t>
  </si>
  <si>
    <t>Principal Real Estate Investors</t>
  </si>
  <si>
    <t>CBRE Group; Eastdil Secured</t>
  </si>
  <si>
    <t>1070 South Waterman Avenue</t>
  </si>
  <si>
    <t>Redlands Corporate Center 1&amp;2</t>
  </si>
  <si>
    <t>1289 Bryn Mawr Avenue, Redlands, CA 92374</t>
  </si>
  <si>
    <t>Office</t>
  </si>
  <si>
    <t>Penwood Real Estate Investment Management</t>
  </si>
  <si>
    <t>Stockbridge Capital Group</t>
  </si>
  <si>
    <t>Redlands Corporate Center 2</t>
  </si>
  <si>
    <t>Redlands Corporate Center 1</t>
  </si>
  <si>
    <t>1115 Research Drive, Redlands, CA 92374</t>
  </si>
  <si>
    <t>Hillwood Development Multi-state Industrial Portfolio (B)</t>
  </si>
  <si>
    <t>1494 South Waterman Avenue, San Bernardino, CA 92408</t>
  </si>
  <si>
    <t>Hillwood Investment Properties</t>
  </si>
  <si>
    <t>1494 South Waterman Avenue</t>
  </si>
  <si>
    <t>1601&amp;1603 Steel Road</t>
  </si>
  <si>
    <t>1603 East Steel Road, Colton, CA 92324</t>
  </si>
  <si>
    <t>Brookfield Property Group</t>
  </si>
  <si>
    <t>Redlands Corporate Center</t>
  </si>
  <si>
    <t>1251 Research Drive, Redlands, CA 92374</t>
  </si>
  <si>
    <t>Stockbridge Real Estate</t>
  </si>
  <si>
    <t>La-Z-Boy Inc.</t>
  </si>
  <si>
    <t>1730 Marigold Avenue</t>
  </si>
  <si>
    <t>1730 Marigold Avenue, Redlands, CA 92374</t>
  </si>
  <si>
    <t>Black Creek Group</t>
  </si>
  <si>
    <t>Kensington Realty Advisors</t>
  </si>
  <si>
    <t>Los Angeles Area Industrial Portfolio</t>
  </si>
  <si>
    <t>Redlands, CA</t>
  </si>
  <si>
    <t>Park</t>
  </si>
  <si>
    <t>Other</t>
  </si>
  <si>
    <t>1445 South Tippacanoe Avenue</t>
  </si>
  <si>
    <t>1445 South Tippecanoe Avenue, San Bernardino, CA 92408</t>
  </si>
  <si>
    <t>Nuveen Real Estate</t>
  </si>
  <si>
    <t>Rockefeller Group</t>
  </si>
  <si>
    <t>1898 Marigold Avenue</t>
  </si>
  <si>
    <t>1898 Marigold Avenue, Redlands, CA 92374</t>
  </si>
  <si>
    <t>Liberty Property Trust</t>
  </si>
  <si>
    <t>Cabot Properties National Industrial Portfolio</t>
  </si>
  <si>
    <t>1833 Riverview Drive, San Bernardino, CA 92408</t>
  </si>
  <si>
    <t>Blackstone Real Estate Income Trust</t>
  </si>
  <si>
    <t>Cabot Properties</t>
  </si>
  <si>
    <t>1833 Riverview Dr</t>
  </si>
  <si>
    <t>1817 Riverview Dr</t>
  </si>
  <si>
    <t>1817 Riverview Drive, San Bernardino, CA 92408</t>
  </si>
  <si>
    <t>1811 Riverview Dr</t>
  </si>
  <si>
    <t>1811 Riverview Drive, San Bernardino, CA 92408</t>
  </si>
  <si>
    <t>1445-1455 E Riverview Dr</t>
  </si>
  <si>
    <t>1445 Riverview Drive, San Bernardino, CA 92408</t>
  </si>
  <si>
    <t>Redlands Gateway Logistics Center</t>
  </si>
  <si>
    <t>9712 Alabama Street, Redlands, CA 92374</t>
  </si>
  <si>
    <t>Alere Property Group</t>
  </si>
  <si>
    <t>Hillwood Investment National Industrial Portfolio</t>
  </si>
  <si>
    <t>555 East Orange Show Road, San Bernardino, CA 92408</t>
  </si>
  <si>
    <t>GLP</t>
  </si>
  <si>
    <t>555 Orange Show Road</t>
  </si>
  <si>
    <t>AREA Property Multi-State Industrial Portfolio</t>
  </si>
  <si>
    <t>2200 West San Bernardino Avenue, Redlands, CA 92374</t>
  </si>
  <si>
    <t>Industrial Property Trust</t>
  </si>
  <si>
    <t>AREA Property Partners</t>
  </si>
  <si>
    <t>2200 West San Bernardino Avenue</t>
  </si>
  <si>
    <t>CT Realty Southern California Industrial Portfolio</t>
  </si>
  <si>
    <t>1333 South Tippecanoe Avenue, San Bernardino, CA 92408</t>
  </si>
  <si>
    <t>Rexford Industrial Realty (REXR)</t>
  </si>
  <si>
    <t>CT Realty Investors</t>
  </si>
  <si>
    <t>1333 South Tippecanoe Avenue</t>
  </si>
  <si>
    <t>10444 Corporate Drive</t>
  </si>
  <si>
    <t>10444 Corporate Drive, Redlands, CA 92374</t>
  </si>
  <si>
    <t>TIAA</t>
  </si>
  <si>
    <t>Oakmont Industrial Group</t>
  </si>
  <si>
    <t>Redlands Business Center</t>
  </si>
  <si>
    <t>2220 Almond Avenue, Redlands, CA 92374</t>
  </si>
  <si>
    <t>Clarion Partners</t>
  </si>
  <si>
    <t>Bixby Land Co.</t>
  </si>
  <si>
    <t>JLL</t>
  </si>
  <si>
    <t>Hillwood Properties National Industrial Portfolio</t>
  </si>
  <si>
    <t>5631 South Waterman Avenue, San Bernardino, CA 92408</t>
  </si>
  <si>
    <t>Hillwood Properties</t>
  </si>
  <si>
    <t>AC Westgate</t>
  </si>
  <si>
    <t>Redlands Corporate Center 1-3</t>
  </si>
  <si>
    <t>Pacific Coast Capital Partners</t>
  </si>
  <si>
    <t>Redlands Industrial Centre</t>
  </si>
  <si>
    <t>East San Bernardino Avenue, Redlands, CA 92408</t>
  </si>
  <si>
    <t>Kearny Real Estate</t>
  </si>
  <si>
    <t>USAA Industrial Portfolio</t>
  </si>
  <si>
    <t>2300 West San Bernardino Avenue, Redlands, CA 92374</t>
  </si>
  <si>
    <t>Duke Realty</t>
  </si>
  <si>
    <t>USAA Real Estate</t>
  </si>
  <si>
    <t>2300 West San Bernardino Avenue</t>
  </si>
  <si>
    <t>1601&amp;1801 East Cooley Drive</t>
  </si>
  <si>
    <t>1801 East Cooley Drive, Colton, CA 92324</t>
  </si>
  <si>
    <t>Overton Moore Properties</t>
  </si>
  <si>
    <t>Silagi Development Los Angeles/Phoenix Area portfolio</t>
  </si>
  <si>
    <t>1220 Research Drive, Redlands, CA 92374</t>
  </si>
  <si>
    <t>Oxnard</t>
  </si>
  <si>
    <t>Muller Co.</t>
  </si>
  <si>
    <t>Silagi Development &amp; Management</t>
  </si>
  <si>
    <t>1110-1135</t>
  </si>
  <si>
    <t>9425 California Avenue</t>
  </si>
  <si>
    <t>9425 California Street, Redlands, CA 92374</t>
  </si>
  <si>
    <t>Lamps Plus</t>
  </si>
  <si>
    <t>Trammell Crow Company</t>
  </si>
  <si>
    <t>26682 Almond Avenue, Redlands, CA 92374</t>
  </si>
  <si>
    <t>Kearny Street</t>
  </si>
  <si>
    <t>Borstein Enterprises</t>
  </si>
  <si>
    <t>CBRE Investment Management</t>
  </si>
  <si>
    <t>1826 West 205th Street</t>
  </si>
  <si>
    <t>1826 West 205th Street, Torrance, CA 90501</t>
  </si>
  <si>
    <t>90501</t>
  </si>
  <si>
    <t>Los Angeles</t>
  </si>
  <si>
    <t>South Bay</t>
  </si>
  <si>
    <t>A++</t>
  </si>
  <si>
    <t>Proficiency Capital</t>
  </si>
  <si>
    <t>19020 Anelo Avenue</t>
  </si>
  <si>
    <t>19020 Anelo Avenue, Gardena, CA 90248</t>
  </si>
  <si>
    <t>Gardena</t>
  </si>
  <si>
    <t>90248</t>
  </si>
  <si>
    <t>ABC Supply Co. Inc.</t>
  </si>
  <si>
    <t>Carroll H. Shelby</t>
  </si>
  <si>
    <t>690-760 West 190th Street</t>
  </si>
  <si>
    <t>690 West 190th Street, Gardena, CA 90248</t>
  </si>
  <si>
    <t>Evergen Equity; Harbor Associates</t>
  </si>
  <si>
    <t>Gary Campbell</t>
  </si>
  <si>
    <t>206 West 196th Street</t>
  </si>
  <si>
    <t>206 West 196th Street, Torrance, CA 90502</t>
  </si>
  <si>
    <t>90502</t>
  </si>
  <si>
    <t>PACCAR Inc.</t>
  </si>
  <si>
    <t>21160 South Figueroa Street</t>
  </si>
  <si>
    <t>21160 South Figueroa Street, Carson, CA 90745</t>
  </si>
  <si>
    <t>Carson</t>
  </si>
  <si>
    <t>90745</t>
  </si>
  <si>
    <t>Grace Lin</t>
  </si>
  <si>
    <t>18421 South Main Street</t>
  </si>
  <si>
    <t>18421 South Main Street, Gardena, CA 90248</t>
  </si>
  <si>
    <t>AIDS Healthcare Foundation (AHF)</t>
  </si>
  <si>
    <t>Shultz Properties</t>
  </si>
  <si>
    <t>BRC Advisors</t>
  </si>
  <si>
    <t>Kidder Mathews</t>
  </si>
  <si>
    <t>1580 Francisco Street</t>
  </si>
  <si>
    <t>1580 Francisco Street, Torrance, CA 90501</t>
  </si>
  <si>
    <t>Prologis (PLD)</t>
  </si>
  <si>
    <t>Blackstone Real Estate</t>
  </si>
  <si>
    <t>1115-1117 West 190th Street</t>
  </si>
  <si>
    <t>1115 West 190th Street, Gardena, CA 90248</t>
  </si>
  <si>
    <t>Seppi Esfandi</t>
  </si>
  <si>
    <t>555 West 189th Street</t>
  </si>
  <si>
    <t>555 West 189th Street, Gardena, CA 90248</t>
  </si>
  <si>
    <t>Turnbridge Equities</t>
  </si>
  <si>
    <t>Burke Real Estate Group</t>
  </si>
  <si>
    <t>1210 Knox Street</t>
  </si>
  <si>
    <t>1210 Knox Street, Torrance, CA 90502</t>
  </si>
  <si>
    <t>Premier Infusion Care</t>
  </si>
  <si>
    <t>Universal Projects, Inc.</t>
  </si>
  <si>
    <t>1355-1361 West 190th Street</t>
  </si>
  <si>
    <t>1355 West 190th Street, Gardena, CA 90248</t>
  </si>
  <si>
    <t>Dunbar Real Estate Investment Management</t>
  </si>
  <si>
    <t>Altemus Company</t>
  </si>
  <si>
    <t>DAUM Commercial</t>
  </si>
  <si>
    <t>EquiTrust Life Insurance Company</t>
  </si>
  <si>
    <t>IDI Logistics CA Industrial Portfolio</t>
  </si>
  <si>
    <t>19145 Gramercy Place, Torrance, CA 90501</t>
  </si>
  <si>
    <t>Bulk Distribution</t>
  </si>
  <si>
    <t>IDI Logistics</t>
  </si>
  <si>
    <t>19145 Gramercy Place</t>
  </si>
  <si>
    <t>21022-21034 South Figueroa Street</t>
  </si>
  <si>
    <t>21022 South Figueroa Street, Carson, CA 90745</t>
  </si>
  <si>
    <t>Jobar International, Inc.</t>
  </si>
  <si>
    <t>20900 Normandie Avenue</t>
  </si>
  <si>
    <t>20900 South Normandie Avenue, Torrance, CA 90502</t>
  </si>
  <si>
    <t>Marcus Adams Properties LLC</t>
  </si>
  <si>
    <t>Newmark Group</t>
  </si>
  <si>
    <t>19475 Gramercy Place</t>
  </si>
  <si>
    <t>19475 Gramercy Place, Torrance, CA 90501</t>
  </si>
  <si>
    <t>19875 Pacific Gateway Drive</t>
  </si>
  <si>
    <t>19875 Pacific Gateway Drive, Torrance, CA 90502</t>
  </si>
  <si>
    <t>CenterPoint Properties</t>
  </si>
  <si>
    <t>1972 Del Amo Boulevard</t>
  </si>
  <si>
    <t>1972 Del Amo Boulevard, Torrance, CA 90501</t>
  </si>
  <si>
    <t>2700 California Street</t>
  </si>
  <si>
    <t>2700 California Street, Torrance, CA 90503</t>
  </si>
  <si>
    <t>90503</t>
  </si>
  <si>
    <t>Bain Capital Real Estate; Staley Point Capital</t>
  </si>
  <si>
    <t>Edelbrock LLC</t>
  </si>
  <si>
    <t>20405 Gramercy Place</t>
  </si>
  <si>
    <t>20405 Gramercy Place, Torrance, CA 90501</t>
  </si>
  <si>
    <t>Terreno Realty Corp. (TRNO)</t>
  </si>
  <si>
    <t>Dedeaux Los Angeles Area Industrial Portfolio</t>
  </si>
  <si>
    <t>711 Knox Street, Gardena, CA 90248</t>
  </si>
  <si>
    <t>Dedeaux Properties</t>
  </si>
  <si>
    <t>711 Knox Street</t>
  </si>
  <si>
    <t>1451 Knox Street</t>
  </si>
  <si>
    <t>1451 West Knox Street, Torrance, CA 90501</t>
  </si>
  <si>
    <t>Boeing Co.</t>
  </si>
  <si>
    <t>Gateway Logistics Center</t>
  </si>
  <si>
    <t>538 Crenshaw Boulevard, Torrance, CA 90503</t>
  </si>
  <si>
    <t>Lee &amp; Associates</t>
  </si>
  <si>
    <t>2665 Columbia Street</t>
  </si>
  <si>
    <t>2665 Columbia Street, Torrance, CA 90503</t>
  </si>
  <si>
    <t>20917 Higgins Court</t>
  </si>
  <si>
    <t>20917 Higgins Court, Torrance, CA 90501</t>
  </si>
  <si>
    <t>(None)</t>
  </si>
  <si>
    <t>20210 South Normandie Avenue</t>
  </si>
  <si>
    <t>20210 Normandie Avenue, Torrance, CA 90502</t>
  </si>
  <si>
    <t>Gramercy Property Trust</t>
  </si>
  <si>
    <t>Pacifica Capital Group</t>
  </si>
  <si>
    <t>Bridge Point South Bay</t>
  </si>
  <si>
    <t>20333 Normandie Avenue, Torrance, CA 90502</t>
  </si>
  <si>
    <t>Morgan Stanley Real Estate</t>
  </si>
  <si>
    <t>Bridge Development Partners</t>
  </si>
  <si>
    <t>19801 South Vermont Avenue</t>
  </si>
  <si>
    <t>19801 South Vermont Avenue, Torrance, CA 90502</t>
  </si>
  <si>
    <t>20333 South Normandie Avenue</t>
  </si>
  <si>
    <t>588 Crenshaw Boulevard</t>
  </si>
  <si>
    <t>588 Crenshaw Boulevard, Torrance, CA 90503</t>
  </si>
  <si>
    <t>IIT Acquisitions</t>
  </si>
  <si>
    <t>4000-4100 West 190th Street</t>
  </si>
  <si>
    <t>4000 West 190th Street, Torrance, CA 90504</t>
  </si>
  <si>
    <t>90504</t>
  </si>
  <si>
    <t>California Public Employees' Retirement System</t>
  </si>
  <si>
    <t>HDG Mansur</t>
  </si>
  <si>
    <t>20000 South Western Avenue</t>
  </si>
  <si>
    <t>20000 South Western Avenue, Torrance, CA 90501</t>
  </si>
  <si>
    <t>AMB Property Corp.</t>
  </si>
  <si>
    <t>Danat Investment Co.</t>
  </si>
  <si>
    <t>Prentiss Properties portfolio</t>
  </si>
  <si>
    <t>19780 Pacific Gateway Drive, Torrance, CA 90502</t>
  </si>
  <si>
    <t>PGIM Real Estate</t>
  </si>
  <si>
    <t>Prentiss Properties Trust</t>
  </si>
  <si>
    <t>Lazard Freres</t>
  </si>
  <si>
    <t>Pacific Gateway Center</t>
  </si>
  <si>
    <t>Starboard Distribution Center</t>
  </si>
  <si>
    <t>2027 Harpers Way, Torrance, CA 90501</t>
  </si>
  <si>
    <t>FHL Group</t>
  </si>
  <si>
    <t>Harbor Gateway Industrial Center</t>
  </si>
  <si>
    <t>19400 Harborgate Way, Torrance, CA 90501</t>
  </si>
  <si>
    <t>Sunrider International</t>
  </si>
  <si>
    <t>Deutsche Asset Management; Fremont Development</t>
  </si>
  <si>
    <t>Sum of Sale Price Per (in Local Currency)</t>
  </si>
  <si>
    <t>Grand Total</t>
  </si>
  <si>
    <t>Date As Of</t>
  </si>
  <si>
    <t>Zip Code Grade</t>
  </si>
  <si>
    <t>Effective Rent* ($/Size Type)</t>
  </si>
  <si>
    <t>Avg. Transaction Size</t>
  </si>
  <si>
    <t>Avg. Lease Terms (Months)</t>
  </si>
  <si>
    <t>Avg. Work Value ($/Size Type)</t>
  </si>
  <si>
    <t>Avg. Free Months</t>
  </si>
  <si>
    <t>Floors</t>
  </si>
  <si>
    <t>Size (SF)</t>
  </si>
  <si>
    <t>1000 Francisco Street</t>
  </si>
  <si>
    <t>-</t>
  </si>
  <si>
    <t>1000 West 190th Street</t>
  </si>
  <si>
    <t>1001 Knox Street</t>
  </si>
  <si>
    <t>1011 Francisco Street</t>
  </si>
  <si>
    <t>1024 East Del Amo Boulevard</t>
  </si>
  <si>
    <t>90746</t>
  </si>
  <si>
    <t>A+</t>
  </si>
  <si>
    <t>1048 East Burgrove Street</t>
  </si>
  <si>
    <t>1062 East Del Amo Boulevard</t>
  </si>
  <si>
    <t>1227 Knox Street</t>
  </si>
  <si>
    <t>1234 Francisco Street</t>
  </si>
  <si>
    <t>1380-1400 Charles Willard Street</t>
  </si>
  <si>
    <t>1450 Glenn Curtiss Street</t>
  </si>
  <si>
    <t>1450-1480 Charles Willard Street</t>
  </si>
  <si>
    <t>1451 West Knox Street</t>
  </si>
  <si>
    <t>1452 West Knox Street</t>
  </si>
  <si>
    <t>1457 Glenn Curtiss Street</t>
  </si>
  <si>
    <t>1460-1490 Beachey Place</t>
  </si>
  <si>
    <t>1500 Glenn Curtiss Street</t>
  </si>
  <si>
    <t>1521 Francisco Street</t>
  </si>
  <si>
    <t>1533-1543 East Del Amo Boulevard</t>
  </si>
  <si>
    <t>1540-1560 West 190th Street</t>
  </si>
  <si>
    <t>1545 Francisco Street</t>
  </si>
  <si>
    <t>1550-1650 Charles Willard Street</t>
  </si>
  <si>
    <t>1561 Beachey Place</t>
  </si>
  <si>
    <t>1640 West 190th Street</t>
  </si>
  <si>
    <t>1667 East Del Amo Boulevard</t>
  </si>
  <si>
    <t>1681 East Del Amo Boulevard</t>
  </si>
  <si>
    <t>1683 East Del Amo Boulevard</t>
  </si>
  <si>
    <t>1685 East Del Amo Boulevard</t>
  </si>
  <si>
    <t>1689 East Del Amo Boulevard</t>
  </si>
  <si>
    <t>1693 East Del Amo Boulevard</t>
  </si>
  <si>
    <t>1810 195th Street</t>
  </si>
  <si>
    <t>1820 195th Street</t>
  </si>
  <si>
    <t>1830 West 205th Street</t>
  </si>
  <si>
    <t>18300 Central Avenue</t>
  </si>
  <si>
    <t>1845 West 205th Street</t>
  </si>
  <si>
    <t>18600 Crenshaw Boulevard</t>
  </si>
  <si>
    <t>19000-19010 South Vermont Avenue</t>
  </si>
  <si>
    <t>19032 South Vermont Avenue</t>
  </si>
  <si>
    <t>19038 South Vermont Avenue</t>
  </si>
  <si>
    <t>19200-19270 South Western Avenue</t>
  </si>
  <si>
    <t>19301 Prairie Avenue</t>
  </si>
  <si>
    <t>19340-19370 Van Ness Avenue</t>
  </si>
  <si>
    <t>19400 Harborgate Way</t>
  </si>
  <si>
    <t>19400 South Western Avenue</t>
  </si>
  <si>
    <t>19500-19600 South Vermont Avenue</t>
  </si>
  <si>
    <t>19600 South Western Avenue</t>
  </si>
  <si>
    <t>19600-19688 Van Ness Avenue</t>
  </si>
  <si>
    <t>19601 Hamilton Avenue</t>
  </si>
  <si>
    <t>19681 Pacific Gateway Drive</t>
  </si>
  <si>
    <t>1603 East Steel Road</t>
  </si>
  <si>
    <t>1861 Mountain View Avenue</t>
  </si>
  <si>
    <t>Loma Linda</t>
  </si>
  <si>
    <t>92354</t>
  </si>
  <si>
    <t>1865 Mountain View Avenue</t>
  </si>
  <si>
    <t>25525 Redlands Boulevard</t>
  </si>
  <si>
    <t>10421 Corporate Drive</t>
  </si>
  <si>
    <t>10446 Enterprise Drive</t>
  </si>
  <si>
    <t>1115 Research Drive</t>
  </si>
  <si>
    <t>1125 Research Drive</t>
  </si>
  <si>
    <t>1235 Indiana Court</t>
  </si>
  <si>
    <t>1419 West State Street</t>
  </si>
  <si>
    <t>1645 West Park Avenue</t>
  </si>
  <si>
    <t>1670 West Park Avenue</t>
  </si>
  <si>
    <t>1941 West Park Avenue</t>
  </si>
  <si>
    <t>1972 Essex Court</t>
  </si>
  <si>
    <t>2351 West Lugonia Avenue</t>
  </si>
  <si>
    <t>1251 Research Drive</t>
  </si>
  <si>
    <t>1455 Research Drive</t>
  </si>
  <si>
    <t>2456 West Lugonia Avenue</t>
  </si>
  <si>
    <t>2459 Almond Avenue</t>
  </si>
  <si>
    <t>2470 West Lugonia Avenue</t>
  </si>
  <si>
    <t>10843 New Jersey Street</t>
  </si>
  <si>
    <t>1675 West Park Avenue</t>
  </si>
  <si>
    <t>1300 California Street</t>
  </si>
  <si>
    <t>2185 West Lugonia Avenue</t>
  </si>
  <si>
    <t>2220 Almond Avenue</t>
  </si>
  <si>
    <t>2301 West San Bernardino Avenue</t>
  </si>
  <si>
    <t>2501 West San Bernardino Avenue</t>
  </si>
  <si>
    <t>26525 Pioneer Avenue</t>
  </si>
  <si>
    <t>26597 San Bernardino Avenue</t>
  </si>
  <si>
    <t>26635 Pioneer Avenue</t>
  </si>
  <si>
    <t>10756 Nevada Street</t>
  </si>
  <si>
    <t>1351 West Park Avenue</t>
  </si>
  <si>
    <t>1450 Mountain View Avenue</t>
  </si>
  <si>
    <t>2466 West Lugonia Avenue</t>
  </si>
  <si>
    <t>1055 East Cooley Avenue</t>
  </si>
  <si>
    <t>1335 Riverview Drive</t>
  </si>
  <si>
    <t>1350 South Waterman Avenue</t>
  </si>
  <si>
    <t>1385 South Tippecanoe Avenue</t>
  </si>
  <si>
    <t>1390 South Tippecanoe Avenue</t>
  </si>
  <si>
    <t>1425 Victoria Court</t>
  </si>
  <si>
    <t>1442 South Gage Street</t>
  </si>
  <si>
    <t>1445 South Tippecanoe Avenue</t>
  </si>
  <si>
    <t>1445-1455 Riverview Drive</t>
  </si>
  <si>
    <t>1615 Riverview Drive</t>
  </si>
  <si>
    <t>1655 Riverview Drive</t>
  </si>
  <si>
    <t>1811-1833 Riverview Drive</t>
  </si>
  <si>
    <t>1833 Riverview Drive</t>
  </si>
  <si>
    <t>1834 Business Center Drive</t>
  </si>
  <si>
    <t>Effective Rent Market Summary</t>
  </si>
  <si>
    <t>Count</t>
  </si>
  <si>
    <t>Min</t>
  </si>
  <si>
    <t>Max</t>
  </si>
  <si>
    <t>SD</t>
  </si>
  <si>
    <t>Average Effective Rent</t>
  </si>
  <si>
    <t>250,001-350,000</t>
  </si>
  <si>
    <t>50,001-150,000</t>
  </si>
  <si>
    <t>0-50,000</t>
  </si>
  <si>
    <t>150,001-250,000</t>
  </si>
  <si>
    <t>350,001-450,000</t>
  </si>
  <si>
    <t>450,001-600,000</t>
  </si>
  <si>
    <t>600,001-750,000</t>
  </si>
  <si>
    <t>750,000+</t>
  </si>
  <si>
    <t>Market Rent</t>
  </si>
  <si>
    <t>Land Residual Valuation</t>
  </si>
  <si>
    <t>Required Return</t>
  </si>
  <si>
    <t>Efficiency</t>
  </si>
  <si>
    <t>/ rsf</t>
  </si>
  <si>
    <t>Operating Costs</t>
  </si>
  <si>
    <t>Hard Costs</t>
  </si>
  <si>
    <t>NOI</t>
  </si>
  <si>
    <t>Effective Rent</t>
  </si>
  <si>
    <t>/ gsf</t>
  </si>
  <si>
    <t xml:space="preserve">Maximum Land Cost </t>
  </si>
  <si>
    <t>Maximum Land Cost</t>
  </si>
  <si>
    <t xml:space="preserve">Maximum To Pay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</si>
</sst>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&quot;$&quot;#,##0.00"/>
    <numFmt numFmtId="165" formatCode="0.0%"/>
    <numFmt numFmtId="166" formatCode="yyyy\-mm\-dd"/>
    <numFmt numFmtId="167" formatCode="\$#,##0"/>
    <numFmt numFmtId="168" formatCode="_(* #,##0_);_(* \(#,##0\);_(* &quot;-&quot;??_);_(@_)"/>
    <numFmt numFmtId="169" formatCode="\$#,##0.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Ebrima"/>
    </font>
    <font>
      <sz val="10"/>
      <color theme="1"/>
      <name val="Ebrima"/>
    </font>
    <font>
      <b/>
      <sz val="11"/>
      <color theme="1"/>
      <name val="Ebri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29F48"/>
      <name val="Calibri"/>
      <family val="2"/>
    </font>
    <font>
      <sz val="11"/>
      <color rgb="FF000000"/>
      <name val="Ebrima"/>
    </font>
    <font>
      <sz val="10"/>
      <color theme="1"/>
      <name val="Calibri"/>
      <family val="2"/>
    </font>
    <font>
      <sz val="9"/>
      <color theme="1"/>
      <name val="Calibri"/>
      <family val="2"/>
    </font>
    <font>
      <sz val="9"/>
      <color theme="1"/>
      <name val="Ebrima"/>
    </font>
    <font>
      <sz val="9"/>
      <color theme="1"/>
      <name val="Calibri"/>
      <family val="2"/>
      <scheme val="minor"/>
    </font>
    <font>
      <sz val="8"/>
      <color theme="1"/>
      <name val="Ebrima"/>
    </font>
    <font>
      <sz val="9"/>
      <color rgb="FF0000FF"/>
      <name val="Ebrima"/>
    </font>
    <font>
      <b/>
      <sz val="9"/>
      <color theme="1"/>
      <name val="Ebrima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indexed="65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5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5"/>
      </top>
      <bottom/>
      <diagonal/>
    </border>
    <border>
      <left style="thin">
        <color indexed="64"/>
      </left>
      <right style="thin">
        <color indexed="64"/>
      </right>
      <top style="thin">
        <color indexed="65"/>
      </top>
      <bottom style="thin">
        <color indexed="64"/>
      </bottom>
      <diagonal/>
    </border>
    <border>
      <left style="thin">
        <color indexed="64"/>
      </left>
      <right/>
      <top style="thin">
        <color indexed="65"/>
      </top>
      <bottom/>
      <diagonal/>
    </border>
    <border>
      <left/>
      <right/>
      <top style="thin">
        <color indexed="65"/>
      </top>
      <bottom/>
      <diagonal/>
    </border>
    <border>
      <left style="thin">
        <color indexed="64"/>
      </left>
      <right/>
      <top style="thin">
        <color indexed="65"/>
      </top>
      <bottom style="thin">
        <color indexed="64"/>
      </bottom>
      <diagonal/>
    </border>
    <border>
      <left/>
      <right/>
      <top style="thin">
        <color indexed="65"/>
      </top>
      <bottom style="thin">
        <color indexed="64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6" fillId="0" borderId="0"/>
  </cellStyleXfs>
  <cellXfs count="108">
    <xf numFmtId="0" fontId="0" fillId="0" borderId="0" xfId="0"/>
    <xf numFmtId="0" fontId="1" fillId="0" borderId="5" xfId="0" applyFont="1" applyBorder="1"/>
    <xf numFmtId="0" fontId="1" fillId="0" borderId="8" xfId="0" applyFont="1" applyBorder="1"/>
    <xf numFmtId="0" fontId="1" fillId="0" borderId="10" xfId="0" applyFont="1" applyBorder="1"/>
    <xf numFmtId="0" fontId="3" fillId="0" borderId="2" xfId="0" applyFont="1" applyBorder="1"/>
    <xf numFmtId="3" fontId="2" fillId="0" borderId="0" xfId="0" applyNumberFormat="1" applyFont="1" applyAlignment="1">
      <alignment horizontal="center"/>
    </xf>
    <xf numFmtId="3" fontId="2" fillId="0" borderId="11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8" xfId="0" applyBorder="1"/>
    <xf numFmtId="0" fontId="6" fillId="0" borderId="0" xfId="2"/>
    <xf numFmtId="0" fontId="6" fillId="0" borderId="0" xfId="2" applyAlignment="1">
      <alignment horizontal="left"/>
    </xf>
    <xf numFmtId="0" fontId="6" fillId="0" borderId="0" xfId="2" applyAlignment="1">
      <alignment horizontal="right"/>
    </xf>
    <xf numFmtId="49" fontId="6" fillId="0" borderId="0" xfId="2" applyNumberFormat="1"/>
    <xf numFmtId="49" fontId="6" fillId="0" borderId="0" xfId="2" applyNumberFormat="1" applyAlignment="1">
      <alignment horizontal="left"/>
    </xf>
    <xf numFmtId="4" fontId="6" fillId="0" borderId="0" xfId="2" applyNumberFormat="1"/>
    <xf numFmtId="166" fontId="6" fillId="0" borderId="0" xfId="2" applyNumberFormat="1"/>
    <xf numFmtId="165" fontId="6" fillId="0" borderId="0" xfId="2" applyNumberFormat="1"/>
    <xf numFmtId="4" fontId="6" fillId="0" borderId="0" xfId="2" applyNumberFormat="1" applyAlignment="1">
      <alignment horizontal="right"/>
    </xf>
    <xf numFmtId="167" fontId="6" fillId="0" borderId="0" xfId="2" applyNumberFormat="1"/>
    <xf numFmtId="0" fontId="7" fillId="0" borderId="0" xfId="2" applyFont="1"/>
    <xf numFmtId="49" fontId="7" fillId="0" borderId="0" xfId="2" applyNumberFormat="1" applyFont="1"/>
    <xf numFmtId="49" fontId="7" fillId="0" borderId="0" xfId="2" applyNumberFormat="1" applyFont="1" applyAlignment="1">
      <alignment horizontal="left"/>
    </xf>
    <xf numFmtId="4" fontId="7" fillId="0" borderId="0" xfId="2" applyNumberFormat="1" applyFont="1"/>
    <xf numFmtId="166" fontId="7" fillId="0" borderId="0" xfId="2" applyNumberFormat="1" applyFont="1"/>
    <xf numFmtId="165" fontId="7" fillId="0" borderId="0" xfId="2" applyNumberFormat="1" applyFont="1"/>
    <xf numFmtId="4" fontId="7" fillId="0" borderId="0" xfId="2" applyNumberFormat="1" applyFont="1" applyAlignment="1">
      <alignment horizontal="right"/>
    </xf>
    <xf numFmtId="0" fontId="7" fillId="0" borderId="0" xfId="2" applyFont="1" applyAlignment="1">
      <alignment horizontal="right"/>
    </xf>
    <xf numFmtId="0" fontId="5" fillId="0" borderId="14" xfId="2" applyFont="1" applyBorder="1"/>
    <xf numFmtId="49" fontId="5" fillId="0" borderId="14" xfId="2" applyNumberFormat="1" applyFont="1" applyBorder="1"/>
    <xf numFmtId="49" fontId="5" fillId="0" borderId="14" xfId="2" applyNumberFormat="1" applyFont="1" applyBorder="1" applyAlignment="1">
      <alignment horizontal="left"/>
    </xf>
    <xf numFmtId="4" fontId="5" fillId="0" borderId="14" xfId="2" applyNumberFormat="1" applyFont="1" applyBorder="1"/>
    <xf numFmtId="166" fontId="5" fillId="0" borderId="14" xfId="2" applyNumberFormat="1" applyFont="1" applyBorder="1"/>
    <xf numFmtId="165" fontId="5" fillId="0" borderId="14" xfId="2" applyNumberFormat="1" applyFont="1" applyBorder="1"/>
    <xf numFmtId="4" fontId="5" fillId="0" borderId="14" xfId="2" applyNumberFormat="1" applyFont="1" applyBorder="1" applyAlignment="1">
      <alignment horizontal="right"/>
    </xf>
    <xf numFmtId="0" fontId="5" fillId="0" borderId="14" xfId="2" applyFont="1" applyBorder="1" applyAlignment="1">
      <alignment horizontal="right"/>
    </xf>
    <xf numFmtId="167" fontId="5" fillId="0" borderId="14" xfId="2" applyNumberFormat="1" applyFont="1" applyBorder="1"/>
    <xf numFmtId="0" fontId="5" fillId="0" borderId="0" xfId="2" applyFont="1"/>
    <xf numFmtId="49" fontId="5" fillId="0" borderId="0" xfId="2" applyNumberFormat="1" applyFont="1"/>
    <xf numFmtId="49" fontId="5" fillId="0" borderId="0" xfId="2" applyNumberFormat="1" applyFont="1" applyAlignment="1">
      <alignment horizontal="left"/>
    </xf>
    <xf numFmtId="4" fontId="5" fillId="0" borderId="0" xfId="2" applyNumberFormat="1" applyFont="1"/>
    <xf numFmtId="166" fontId="5" fillId="0" borderId="0" xfId="2" applyNumberFormat="1" applyFont="1"/>
    <xf numFmtId="165" fontId="5" fillId="0" borderId="0" xfId="2" applyNumberFormat="1" applyFont="1"/>
    <xf numFmtId="4" fontId="5" fillId="0" borderId="0" xfId="2" applyNumberFormat="1" applyFont="1" applyAlignment="1">
      <alignment horizontal="right"/>
    </xf>
    <xf numFmtId="0" fontId="5" fillId="0" borderId="0" xfId="2" applyFont="1" applyAlignment="1">
      <alignment horizontal="right"/>
    </xf>
    <xf numFmtId="167" fontId="5" fillId="0" borderId="0" xfId="2" applyNumberFormat="1" applyFont="1"/>
    <xf numFmtId="0" fontId="5" fillId="0" borderId="15" xfId="2" applyFont="1" applyBorder="1"/>
    <xf numFmtId="49" fontId="5" fillId="0" borderId="15" xfId="2" applyNumberFormat="1" applyFont="1" applyBorder="1"/>
    <xf numFmtId="49" fontId="5" fillId="0" borderId="15" xfId="2" applyNumberFormat="1" applyFont="1" applyBorder="1" applyAlignment="1">
      <alignment horizontal="left"/>
    </xf>
    <xf numFmtId="4" fontId="5" fillId="0" borderId="15" xfId="2" applyNumberFormat="1" applyFont="1" applyBorder="1"/>
    <xf numFmtId="166" fontId="5" fillId="0" borderId="15" xfId="2" applyNumberFormat="1" applyFont="1" applyBorder="1"/>
    <xf numFmtId="165" fontId="5" fillId="0" borderId="15" xfId="2" applyNumberFormat="1" applyFont="1" applyBorder="1"/>
    <xf numFmtId="4" fontId="5" fillId="0" borderId="15" xfId="2" applyNumberFormat="1" applyFont="1" applyBorder="1" applyAlignment="1">
      <alignment horizontal="right"/>
    </xf>
    <xf numFmtId="0" fontId="5" fillId="0" borderId="15" xfId="2" applyFont="1" applyBorder="1" applyAlignment="1">
      <alignment horizontal="right"/>
    </xf>
    <xf numFmtId="167" fontId="5" fillId="0" borderId="15" xfId="2" applyNumberFormat="1" applyFont="1" applyBorder="1"/>
    <xf numFmtId="166" fontId="6" fillId="0" borderId="0" xfId="2" applyNumberFormat="1" applyAlignment="1">
      <alignment horizontal="left"/>
    </xf>
    <xf numFmtId="168" fontId="0" fillId="0" borderId="0" xfId="1" applyNumberFormat="1" applyFont="1" applyAlignment="1">
      <alignment horizontal="right"/>
    </xf>
    <xf numFmtId="169" fontId="6" fillId="0" borderId="0" xfId="2" applyNumberFormat="1" applyAlignment="1">
      <alignment horizontal="left"/>
    </xf>
    <xf numFmtId="0" fontId="1" fillId="0" borderId="0" xfId="2" applyFont="1" applyAlignment="1">
      <alignment horizontal="center"/>
    </xf>
    <xf numFmtId="0" fontId="1" fillId="0" borderId="0" xfId="2" applyFont="1"/>
    <xf numFmtId="1" fontId="1" fillId="0" borderId="0" xfId="2" applyNumberFormat="1" applyFont="1"/>
    <xf numFmtId="0" fontId="8" fillId="0" borderId="0" xfId="2" applyFont="1"/>
    <xf numFmtId="0" fontId="5" fillId="0" borderId="16" xfId="2" applyFont="1" applyBorder="1"/>
    <xf numFmtId="0" fontId="5" fillId="0" borderId="16" xfId="2" applyFont="1" applyBorder="1" applyAlignment="1">
      <alignment horizontal="center"/>
    </xf>
    <xf numFmtId="0" fontId="5" fillId="0" borderId="17" xfId="2" applyFont="1" applyBorder="1" applyAlignment="1">
      <alignment horizontal="center"/>
    </xf>
    <xf numFmtId="0" fontId="5" fillId="0" borderId="13" xfId="2" applyFont="1" applyBorder="1" applyAlignment="1">
      <alignment horizontal="right"/>
    </xf>
    <xf numFmtId="0" fontId="8" fillId="0" borderId="0" xfId="2" applyFont="1" applyAlignment="1">
      <alignment horizontal="right"/>
    </xf>
    <xf numFmtId="0" fontId="5" fillId="0" borderId="1" xfId="2" applyFont="1" applyBorder="1"/>
    <xf numFmtId="0" fontId="5" fillId="0" borderId="18" xfId="2" applyFont="1" applyBorder="1"/>
    <xf numFmtId="0" fontId="5" fillId="0" borderId="2" xfId="2" applyFont="1" applyBorder="1" applyAlignment="1">
      <alignment horizontal="center"/>
    </xf>
    <xf numFmtId="164" fontId="9" fillId="0" borderId="3" xfId="2" applyNumberFormat="1" applyFont="1" applyBorder="1" applyAlignment="1">
      <alignment horizontal="right"/>
    </xf>
    <xf numFmtId="164" fontId="9" fillId="0" borderId="1" xfId="2" applyNumberFormat="1" applyFont="1" applyBorder="1" applyAlignment="1">
      <alignment horizontal="right"/>
    </xf>
    <xf numFmtId="0" fontId="5" fillId="0" borderId="19" xfId="2" applyFont="1" applyBorder="1"/>
    <xf numFmtId="0" fontId="5" fillId="2" borderId="19" xfId="2" applyFont="1" applyFill="1" applyBorder="1"/>
    <xf numFmtId="0" fontId="5" fillId="2" borderId="20" xfId="2" applyFont="1" applyFill="1" applyBorder="1"/>
    <xf numFmtId="0" fontId="5" fillId="2" borderId="8" xfId="2" applyFont="1" applyFill="1" applyBorder="1" applyAlignment="1">
      <alignment horizontal="center"/>
    </xf>
    <xf numFmtId="164" fontId="9" fillId="2" borderId="0" xfId="2" applyNumberFormat="1" applyFont="1" applyFill="1" applyAlignment="1">
      <alignment horizontal="right"/>
    </xf>
    <xf numFmtId="164" fontId="9" fillId="2" borderId="19" xfId="2" applyNumberFormat="1" applyFont="1" applyFill="1" applyBorder="1" applyAlignment="1">
      <alignment horizontal="right"/>
    </xf>
    <xf numFmtId="0" fontId="5" fillId="0" borderId="21" xfId="2" applyFont="1" applyBorder="1"/>
    <xf numFmtId="0" fontId="5" fillId="0" borderId="22" xfId="2" applyFont="1" applyBorder="1"/>
    <xf numFmtId="0" fontId="10" fillId="0" borderId="23" xfId="2" applyFont="1" applyBorder="1" applyAlignment="1">
      <alignment horizontal="center"/>
    </xf>
    <xf numFmtId="164" fontId="9" fillId="0" borderId="24" xfId="2" applyNumberFormat="1" applyFont="1" applyBorder="1" applyAlignment="1">
      <alignment horizontal="right"/>
    </xf>
    <xf numFmtId="164" fontId="9" fillId="0" borderId="21" xfId="2" applyNumberFormat="1" applyFont="1" applyBorder="1" applyAlignment="1">
      <alignment horizontal="right"/>
    </xf>
    <xf numFmtId="0" fontId="5" fillId="3" borderId="21" xfId="2" applyFont="1" applyFill="1" applyBorder="1"/>
    <xf numFmtId="0" fontId="10" fillId="3" borderId="23" xfId="2" applyFont="1" applyFill="1" applyBorder="1" applyAlignment="1">
      <alignment horizontal="center"/>
    </xf>
    <xf numFmtId="164" fontId="9" fillId="3" borderId="24" xfId="2" applyNumberFormat="1" applyFont="1" applyFill="1" applyBorder="1" applyAlignment="1">
      <alignment horizontal="right"/>
    </xf>
    <xf numFmtId="164" fontId="9" fillId="3" borderId="21" xfId="2" applyNumberFormat="1" applyFont="1" applyFill="1" applyBorder="1" applyAlignment="1">
      <alignment horizontal="right"/>
    </xf>
    <xf numFmtId="0" fontId="5" fillId="3" borderId="22" xfId="2" applyFont="1" applyFill="1" applyBorder="1"/>
    <xf numFmtId="0" fontId="10" fillId="3" borderId="25" xfId="2" applyFont="1" applyFill="1" applyBorder="1" applyAlignment="1">
      <alignment horizontal="center"/>
    </xf>
    <xf numFmtId="164" fontId="9" fillId="3" borderId="26" xfId="2" applyNumberFormat="1" applyFont="1" applyFill="1" applyBorder="1" applyAlignment="1">
      <alignment horizontal="right"/>
    </xf>
    <xf numFmtId="164" fontId="9" fillId="3" borderId="22" xfId="2" applyNumberFormat="1" applyFont="1" applyFill="1" applyBorder="1" applyAlignment="1">
      <alignment horizontal="right"/>
    </xf>
    <xf numFmtId="0" fontId="8" fillId="0" borderId="0" xfId="2" applyFont="1" applyAlignment="1">
      <alignment horizontal="center"/>
    </xf>
    <xf numFmtId="1" fontId="8" fillId="0" borderId="0" xfId="2" applyNumberFormat="1" applyFont="1"/>
    <xf numFmtId="0" fontId="12" fillId="0" borderId="0" xfId="0" applyFont="1"/>
    <xf numFmtId="0" fontId="11" fillId="0" borderId="4" xfId="0" applyFont="1" applyBorder="1" applyAlignment="1">
      <alignment horizontal="center"/>
    </xf>
    <xf numFmtId="9" fontId="11" fillId="0" borderId="9" xfId="0" applyNumberFormat="1" applyFont="1" applyBorder="1" applyAlignment="1">
      <alignment horizontal="center"/>
    </xf>
    <xf numFmtId="8" fontId="11" fillId="0" borderId="9" xfId="0" applyNumberFormat="1" applyFont="1" applyBorder="1" applyAlignment="1">
      <alignment horizontal="center"/>
    </xf>
    <xf numFmtId="9" fontId="14" fillId="0" borderId="7" xfId="0" applyNumberFormat="1" applyFont="1" applyBorder="1" applyAlignment="1">
      <alignment horizontal="center"/>
    </xf>
    <xf numFmtId="9" fontId="14" fillId="0" borderId="9" xfId="0" applyNumberFormat="1" applyFont="1" applyBorder="1" applyAlignment="1">
      <alignment horizontal="center"/>
    </xf>
    <xf numFmtId="3" fontId="13" fillId="0" borderId="6" xfId="0" applyNumberFormat="1" applyFont="1" applyBorder="1" applyAlignment="1">
      <alignment horizontal="center"/>
    </xf>
    <xf numFmtId="8" fontId="11" fillId="0" borderId="7" xfId="0" applyNumberFormat="1" applyFont="1" applyBorder="1" applyAlignment="1">
      <alignment horizontal="center"/>
    </xf>
    <xf numFmtId="8" fontId="14" fillId="0" borderId="12" xfId="0" applyNumberFormat="1" applyFont="1" applyBorder="1" applyAlignment="1">
      <alignment horizontal="center"/>
    </xf>
    <xf numFmtId="3" fontId="13" fillId="0" borderId="0" xfId="0" applyNumberFormat="1" applyFont="1" applyAlignment="1">
      <alignment horizontal="center"/>
    </xf>
    <xf numFmtId="0" fontId="12" fillId="0" borderId="9" xfId="0" applyFont="1" applyBorder="1"/>
    <xf numFmtId="3" fontId="13" fillId="0" borderId="3" xfId="0" applyNumberFormat="1" applyFont="1" applyBorder="1" applyAlignment="1">
      <alignment horizontal="center"/>
    </xf>
    <xf numFmtId="6" fontId="15" fillId="0" borderId="4" xfId="0" applyNumberFormat="1" applyFont="1" applyBorder="1" applyAlignment="1">
      <alignment horizontal="center"/>
    </xf>
    <xf numFmtId="0" fontId="3" fillId="0" borderId="2" xfId="2" applyFont="1" applyBorder="1" applyAlignment="1">
      <alignment horizontal="left"/>
    </xf>
    <xf numFmtId="0" fontId="3" fillId="0" borderId="3" xfId="2" applyFont="1" applyBorder="1" applyAlignment="1">
      <alignment horizontal="left"/>
    </xf>
    <xf numFmtId="0" fontId="3" fillId="0" borderId="4" xfId="2" applyFont="1" applyBorder="1" applyAlignment="1">
      <alignment horizontal="left"/>
    </xf>
  </cellXfs>
  <cellStyles count="3">
    <cellStyle name="Comma" xfId="1" builtinId="3"/>
    <cellStyle name="Normal" xfId="0" builtinId="0"/>
    <cellStyle name="Normal 2" xfId="2" xr:uid="{CD9C67EB-F7AF-4AF0-8AED-358457436E59}"/>
  </cellStyles>
  <dxfs count="164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alignment horizontal="center"/>
    </dxf>
    <dxf>
      <alignment horizontal="right"/>
    </dxf>
    <dxf>
      <fill>
        <patternFill>
          <fgColor theme="0" tint="-4.9989318521683403E-2"/>
        </patternFill>
      </fill>
    </dxf>
    <dxf>
      <fill>
        <patternFill>
          <fgColor theme="0" tint="-4.9989318521683403E-2"/>
        </patternFill>
      </fill>
    </dxf>
    <dxf>
      <fill>
        <patternFill>
          <fgColor theme="0" tint="-4.9989318521683403E-2"/>
        </patternFill>
      </fill>
    </dxf>
    <dxf>
      <fill>
        <patternFill>
          <fgColor theme="0" tint="-4.9989318521683403E-2"/>
        </patternFill>
      </fill>
    </dxf>
    <dxf>
      <fill>
        <patternFill>
          <fgColor theme="0" tint="-4.9989318521683403E-2"/>
        </patternFill>
      </fill>
    </dxf>
    <dxf>
      <fill>
        <patternFill>
          <f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f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ill>
        <patternFill patternType="solid">
          <fgColor indexed="64"/>
          <bgColor theme="3" tint="0.749992370372631"/>
        </patternFill>
      </fill>
    </dxf>
    <dxf>
      <fill>
        <patternFill patternType="solid">
          <fgColor indexed="64"/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numFmt numFmtId="164" formatCode="&quot;$&quot;#,##0.00"/>
    </dxf>
    <dxf>
      <font>
        <color auto="1"/>
      </font>
    </dxf>
    <dxf>
      <font>
        <sz val="10"/>
      </font>
    </dxf>
    <dxf>
      <numFmt numFmtId="164" formatCode="&quot;$&quot;#,##0.00"/>
    </dxf>
    <dxf>
      <numFmt numFmtId="164" formatCode="&quot;$&quot;#,##0.00"/>
    </dxf>
    <dxf>
      <border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right"/>
    </dxf>
    <dxf>
      <border>
        <bottom style="thin">
          <color indexed="64"/>
        </bottom>
      </border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9" formatCode="\$#,##0.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9" formatCode="\$#,##0.00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166" formatCode="yyyy\-mm\-dd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97F45964-9095-4E26-9BAA-ABD268CF030D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6593CF"/>
      <rgbColor rgb="00B0C4DE"/>
      <rgbColor rgb="00808080"/>
      <rgbColor rgb="00000000"/>
    </indexedColors>
    <mruColors>
      <color rgb="FFFFC1C1"/>
      <color rgb="FF0000FF"/>
      <color rgb="FF7B0B0E"/>
      <color rgb="FF9C0A0A"/>
      <color rgb="FF990000"/>
      <color rgb="FFFFC72C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[Valuation and Comps.xlsx]Sales Comp Summary!PivotTable1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'City': </a:t>
            </a:r>
            <a:r>
              <a:rPr lang="en-US">
                <a:solidFill>
                  <a:srgbClr val="DD5A13"/>
                </a:solidFill>
              </a:rPr>
              <a:t>Torrance</a:t>
            </a:r>
            <a:r>
              <a:rPr lang="en-US"/>
              <a:t> has noticeably higher 'Sale Price Per (in Local Currency)'.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>
            <a:noFill/>
          </a:ln>
          <a:effectLst/>
        </c:spPr>
      </c:pivotFmt>
      <c:pivotFmt>
        <c:idx val="2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D733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Comp Summary'!$B$2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951-4118-8A94-6908265D21A8}"/>
              </c:ext>
            </c:extLst>
          </c:dPt>
          <c:cat>
            <c:strRef>
              <c:f>'Sales Comp Summary'!$A$3:$A$10</c:f>
              <c:strCache>
                <c:ptCount val="7"/>
                <c:pt idx="0">
                  <c:v>Torrance</c:v>
                </c:pt>
                <c:pt idx="1">
                  <c:v>Redlands</c:v>
                </c:pt>
                <c:pt idx="2">
                  <c:v>Gardena</c:v>
                </c:pt>
                <c:pt idx="3">
                  <c:v>San Bernardino</c:v>
                </c:pt>
                <c:pt idx="4">
                  <c:v>Carson</c:v>
                </c:pt>
                <c:pt idx="5">
                  <c:v>Colton</c:v>
                </c:pt>
                <c:pt idx="6">
                  <c:v>Oxnard</c:v>
                </c:pt>
              </c:strCache>
            </c:strRef>
          </c:cat>
          <c:val>
            <c:numRef>
              <c:f>'Sales Comp Summary'!$B$3:$B$10</c:f>
              <c:numCache>
                <c:formatCode>#,##0.00</c:formatCode>
                <c:ptCount val="7"/>
                <c:pt idx="0">
                  <c:v>7180.6799999999994</c:v>
                </c:pt>
                <c:pt idx="1">
                  <c:v>2616.4499999999998</c:v>
                </c:pt>
                <c:pt idx="2">
                  <c:v>2320.6400000000003</c:v>
                </c:pt>
                <c:pt idx="3">
                  <c:v>1485.3</c:v>
                </c:pt>
                <c:pt idx="4">
                  <c:v>894.51</c:v>
                </c:pt>
                <c:pt idx="5">
                  <c:v>451.08</c:v>
                </c:pt>
                <c:pt idx="6">
                  <c:v>161.66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51-4118-8A94-6908265D2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777066591"/>
        <c:axId val="1777070431"/>
      </c:barChart>
      <c:catAx>
        <c:axId val="1777066591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070431"/>
        <c:crosses val="autoZero"/>
        <c:auto val="1"/>
        <c:lblAlgn val="ctr"/>
        <c:lblOffset val="100"/>
        <c:noMultiLvlLbl val="0"/>
      </c:catAx>
      <c:valAx>
        <c:axId val="1777070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 Price Per (in Local Currency)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066591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180974</xdr:rowOff>
    </xdr:from>
    <xdr:to>
      <xdr:col>11</xdr:col>
      <xdr:colOff>533400</xdr:colOff>
      <xdr:row>21</xdr:row>
      <xdr:rowOff>104774</xdr:rowOff>
    </xdr:to>
    <xdr:graphicFrame macro="">
      <xdr:nvGraphicFramePr>
        <xdr:cNvPr id="2" name="Chart 1" descr="Chart type: Clustered Bar. 'City': Torrance has noticeably higher 'Sale Price Per (in Local Currency)'.&#10;&#10;Description automatically generated">
          <a:extLst>
            <a:ext uri="{FF2B5EF4-FFF2-40B4-BE49-F238E27FC236}">
              <a16:creationId xmlns:a16="http://schemas.microsoft.com/office/drawing/2014/main" id="{48CA51E2-6E1D-4515-869D-E67B6FA9E4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ac\Home\Library\CloudStorage\OneDrive-UniversityofSouthernCalifornia\Semesters\Spring%202025\RED%20437\Cases\Case%203\Selected%20Data\Rent%20Comps%20Summary.xlsx" TargetMode="External"/><Relationship Id="rId1" Type="http://schemas.openxmlformats.org/officeDocument/2006/relationships/externalLinkPath" Target="/Library/CloudStorage/OneDrive-UniversityofSouthernCalifornia/Semesters/Spring%202025/RED%20437/Cases/Case%203/Selected%20Data/Rent%20Comps%20Summar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scedu-my.sharepoint.com/personal/kylettra_usc_edu/Documents/Semesters/Spring%202025/RED%20437/Cases/Case%203/Analysis/Torrance%20with%20Equity.xlsx" TargetMode="External"/><Relationship Id="rId1" Type="http://schemas.openxmlformats.org/officeDocument/2006/relationships/externalLinkPath" Target="https://uscedu-my.sharepoint.com/personal/kylettra_usc_edu/Documents/Semesters/Spring%202025/RED%20437/Cases/Case%203/Analysis/Torrance%20with%20Equ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nt Summary"/>
      <sheetName val="Sheet1"/>
      <sheetName val="Rent Table"/>
      <sheetName val="Torrance"/>
      <sheetName val="Redlands"/>
      <sheetName val="Torrance Comp Analysis"/>
      <sheetName val="Redlands Comp Analysis"/>
      <sheetName val="Rent Comps 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nnual Pro Forma"/>
      <sheetName val="Torrance Pro Forma"/>
      <sheetName val="Torrance Inputs"/>
      <sheetName val="Debt &amp; Equity Assumptions"/>
      <sheetName val="Debt Returns"/>
      <sheetName val="Equity Returns"/>
    </sheetNames>
    <sheetDataSet>
      <sheetData sheetId="0"/>
      <sheetData sheetId="1"/>
      <sheetData sheetId="2">
        <row r="3">
          <cell r="H3">
            <v>15000</v>
          </cell>
        </row>
        <row r="4">
          <cell r="H4">
            <v>15000</v>
          </cell>
        </row>
        <row r="5">
          <cell r="H5">
            <v>5000</v>
          </cell>
        </row>
        <row r="6">
          <cell r="H6">
            <v>193079.33333333334</v>
          </cell>
        </row>
        <row r="9">
          <cell r="D9">
            <v>608184.72</v>
          </cell>
        </row>
        <row r="36">
          <cell r="I36">
            <v>3000000</v>
          </cell>
        </row>
        <row r="37">
          <cell r="I37">
            <v>1500000</v>
          </cell>
        </row>
        <row r="38">
          <cell r="I38">
            <v>12500000</v>
          </cell>
        </row>
        <row r="39">
          <cell r="I39">
            <v>400000</v>
          </cell>
        </row>
        <row r="40">
          <cell r="I40">
            <v>100000</v>
          </cell>
        </row>
      </sheetData>
      <sheetData sheetId="3"/>
      <sheetData sheetId="4"/>
      <sheetData sheetId="5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Library/CloudStorage/OneDrive-UniversityofSouthernCalifornia/Semesters/Spring%202025/RED%20437/Cases/Case%203/Selected%20Data/Sale%20Comps%20Summary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yle Tran" refreshedDate="45718.64380150463" createdVersion="8" refreshedVersion="8" minRefreshableVersion="3" recordCount="92" xr:uid="{A443EFEA-3789-4258-AFED-281919323D4B}">
  <cacheSource type="worksheet">
    <worksheetSource ref="B4:AR96" sheet="Appended Table" r:id="rId2"/>
  </cacheSource>
  <cacheFields count="43">
    <cacheField name="Portfolio / Property Name" numFmtId="0">
      <sharedItems/>
    </cacheField>
    <cacheField name="Street Address" numFmtId="0">
      <sharedItems/>
    </cacheField>
    <cacheField name="City" numFmtId="0">
      <sharedItems containsBlank="1" count="8">
        <s v="Redlands"/>
        <s v="San Bernardino"/>
        <s v="Colton"/>
        <m/>
        <s v="Oxnard"/>
        <s v="Torrance"/>
        <s v="Gardena"/>
        <s v="Carson"/>
      </sharedItems>
    </cacheField>
    <cacheField name="State" numFmtId="0">
      <sharedItems containsBlank="1"/>
    </cacheField>
    <cacheField name="Country" numFmtId="49">
      <sharedItems/>
    </cacheField>
    <cacheField name="Zip Code" numFmtId="49">
      <sharedItems containsBlank="1"/>
    </cacheField>
    <cacheField name="Sector" numFmtId="0">
      <sharedItems/>
    </cacheField>
    <cacheField name="Subsector" numFmtId="49">
      <sharedItems/>
    </cacheField>
    <cacheField name="Sector Attribute" numFmtId="49">
      <sharedItems containsBlank="1"/>
    </cacheField>
    <cacheField name="Part of Mixed Use Development" numFmtId="0">
      <sharedItems/>
    </cacheField>
    <cacheField name="Market" numFmtId="0">
      <sharedItems/>
    </cacheField>
    <cacheField name="Submarket" numFmtId="0">
      <sharedItems containsBlank="1"/>
    </cacheField>
    <cacheField name="Size" numFmtId="4">
      <sharedItems containsSemiMixedTypes="0" containsString="0" containsNumber="1" minValue="11746" maxValue="21719000"/>
    </cacheField>
    <cacheField name="Size Type" numFmtId="49">
      <sharedItems/>
    </cacheField>
    <cacheField name="Sale Date" numFmtId="166">
      <sharedItems containsSemiMixedTypes="0" containsNonDate="0" containsDate="1" containsString="0" minDate="2004-09-01T00:00:00" maxDate="2024-09-11T00:00:00"/>
    </cacheField>
    <cacheField name="Stake Sold" numFmtId="165">
      <sharedItems containsSemiMixedTypes="0" containsString="0" containsNumber="1" minValue="0.95" maxValue="1"/>
    </cacheField>
    <cacheField name="Local Currency Sale Price (M)" numFmtId="4">
      <sharedItems containsString="0" containsBlank="1" containsNumber="1" minValue="5.0999999999999996" maxValue="132.81"/>
    </cacheField>
    <cacheField name="Local Currency Symbol" numFmtId="49">
      <sharedItems containsBlank="1"/>
    </cacheField>
    <cacheField name="Sale Price Per (in Local Currency)" numFmtId="4">
      <sharedItems containsBlank="1" containsMixedTypes="1" containsNumber="1" minValue="56.35" maxValue="780.71"/>
    </cacheField>
    <cacheField name="Selected Currency Sale Price ($) (M)" numFmtId="0">
      <sharedItems containsNonDate="0" containsString="0" containsBlank="1"/>
    </cacheField>
    <cacheField name="Submarket Grade" numFmtId="0">
      <sharedItems containsBlank="1"/>
    </cacheField>
    <cacheField name="Property Cap Rate" numFmtId="0">
      <sharedItems containsString="0" containsBlank="1" containsNumber="1" minValue="2.8000000000000001E-2" maxValue="6.2362790000000001E-2"/>
    </cacheField>
    <cacheField name="Property Cap Rate Type" numFmtId="0">
      <sharedItems containsBlank="1"/>
    </cacheField>
    <cacheField name="Part of a Portfolio?" numFmtId="0">
      <sharedItems containsBlank="1"/>
    </cacheField>
    <cacheField name="Buyer" numFmtId="0">
      <sharedItems containsBlank="1"/>
    </cacheField>
    <cacheField name="Seller" numFmtId="0">
      <sharedItems containsBlank="1"/>
    </cacheField>
    <cacheField name="Buyer Objective" numFmtId="0">
      <sharedItems containsNonDate="0" containsString="0" containsBlank="1"/>
    </cacheField>
    <cacheField name="To be demolished" numFmtId="0">
      <sharedItems containsBlank="1"/>
    </cacheField>
    <cacheField name="Buyer Broker" numFmtId="0">
      <sharedItems containsBlank="1"/>
    </cacheField>
    <cacheField name="Seller Broker" numFmtId="0">
      <sharedItems containsBlank="1"/>
    </cacheField>
    <cacheField name="Land Area (acres)" numFmtId="0">
      <sharedItems containsString="0" containsBlank="1" containsNumber="1" minValue="1.1830000000000001" maxValue="36.893999999999998"/>
    </cacheField>
    <cacheField name="Stories" numFmtId="0">
      <sharedItems containsString="0" containsBlank="1" containsNumber="1" containsInteger="1" minValue="1" maxValue="2"/>
    </cacheField>
    <cacheField name="Parking" numFmtId="0">
      <sharedItems containsString="0" containsBlank="1" containsNumber="1" containsInteger="1" minValue="0" maxValue="0"/>
    </cacheField>
    <cacheField name="Buildings" numFmtId="0">
      <sharedItems containsString="0" containsBlank="1" containsNumber="1" containsInteger="1" minValue="1" maxValue="1"/>
    </cacheField>
    <cacheField name="Year Built" numFmtId="0">
      <sharedItems containsString="0" containsBlank="1" containsNumber="1" containsInteger="1" minValue="1980" maxValue="2021"/>
    </cacheField>
    <cacheField name="Year Renovated" numFmtId="0">
      <sharedItems containsNonDate="0" containsString="0" containsBlank="1"/>
    </cacheField>
    <cacheField name="Occupancy" numFmtId="0">
      <sharedItems containsString="0" containsBlank="1" containsNumber="1" minValue="0.95" maxValue="1"/>
    </cacheField>
    <cacheField name="Green Street Market Cap Rate" numFmtId="0">
      <sharedItems containsString="0" containsBlank="1" containsNumber="1" minValue="4.7E-2" maxValue="4.7E-2"/>
    </cacheField>
    <cacheField name="Submarket Cap Rate" numFmtId="0">
      <sharedItems containsString="0" containsBlank="1" containsNumber="1" minValue="4.8187099999999997E-2" maxValue="4.8187099999999997E-2"/>
    </cacheField>
    <cacheField name="Zip Code Cap Rate" numFmtId="0">
      <sharedItems containsString="0" containsBlank="1" containsNumber="1" minValue="4.791285E-2" maxValue="4.791285E-2"/>
    </cacheField>
    <cacheField name="Lender" numFmtId="0">
      <sharedItems containsBlank="1"/>
    </cacheField>
    <cacheField name="1st Mortgage" numFmtId="0">
      <sharedItems containsString="0" containsBlank="1" containsNumber="1" containsInteger="1" minValue="2550000" maxValue="6400000"/>
    </cacheField>
    <cacheField name="Verified?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yle" refreshedDate="45714.576996180556" backgroundQuery="1" createdVersion="8" refreshedVersion="8" minRefreshableVersion="3" recordCount="0" supportSubquery="1" supportAdvancedDrill="1" xr:uid="{4BAEC38C-0BE6-4E45-B04D-F26558FA06C1}">
  <cacheSource type="external" connectionId="1"/>
  <cacheFields count="8">
    <cacheField name="[Measures].[Count of Effective Rent* ($/Size Type)]" caption="Count of Effective Rent* ($/Size Type)" numFmtId="0" hierarchy="21" level="32767"/>
    <cacheField name="[Measures].[Average of Effective Rent* ($/Size Type)]" caption="Average of Effective Rent* ($/Size Type)" numFmtId="0" hierarchy="22" level="32767"/>
    <cacheField name="[Appended].[Market].[Market]" caption="Market" numFmtId="0" hierarchy="4" level="1">
      <sharedItems count="2">
        <s v="Inland Empire"/>
        <s v="Los Angeles"/>
      </sharedItems>
    </cacheField>
    <cacheField name="[Appended].[City].[City]" caption="City" numFmtId="0" hierarchy="1" level="1">
      <sharedItems count="7">
        <s v="Colton"/>
        <s v="Loma Linda"/>
        <s v="Redlands"/>
        <s v="San Bernardino"/>
        <s v="Carson"/>
        <s v="Gardena"/>
        <s v="Torrance"/>
      </sharedItems>
    </cacheField>
    <cacheField name="[Appended].[Size (SF)].[Size (SF)]" caption="Size (SF)" numFmtId="0" hierarchy="18" level="1">
      <sharedItems count="8">
        <s v="250,001-350,000"/>
        <s v="50,001-150,000"/>
        <s v="0-50,000"/>
        <s v="150,001-250,000"/>
        <s v="350,001-450,000"/>
        <s v="450,001-600,000"/>
        <s v="600,001-750,000"/>
        <s v="750,000+"/>
      </sharedItems>
    </cacheField>
    <cacheField name="[Measures].[Min of Effective Rent* ($/Size Type)]" caption="Min of Effective Rent* ($/Size Type)" numFmtId="0" hierarchy="25" level="32767"/>
    <cacheField name="[Measures].[Max of Effective Rent* ($/Size Type)]" caption="Max of Effective Rent* ($/Size Type)" numFmtId="0" hierarchy="26" level="32767"/>
    <cacheField name="[Measures].[StdDev of Effective Rent* ($/Size Type)]" caption="StdDev of Effective Rent* ($/Size Type)" numFmtId="0" hierarchy="27" level="32767"/>
  </cacheFields>
  <cacheHierarchies count="28">
    <cacheHierarchy uniqueName="[Appended].[Street Address]" caption="Street Address" attribute="1" defaultMemberUniqueName="[Appended].[Street Address].[All]" allUniqueName="[Appended].[Street Address].[All]" dimensionUniqueName="[Appended]" displayFolder="" count="0" memberValueDatatype="130" unbalanced="0"/>
    <cacheHierarchy uniqueName="[Appended].[City]" caption="City" attribute="1" defaultMemberUniqueName="[Appended].[City].[All]" allUniqueName="[Appended].[City].[All]" dimensionUniqueName="[Appended]" displayFolder="" count="2" memberValueDatatype="130" unbalanced="0">
      <fieldsUsage count="2">
        <fieldUsage x="-1"/>
        <fieldUsage x="3"/>
      </fieldsUsage>
    </cacheHierarchy>
    <cacheHierarchy uniqueName="[Appended].[State]" caption="State" attribute="1" defaultMemberUniqueName="[Appended].[State].[All]" allUniqueName="[Appended].[State].[All]" dimensionUniqueName="[Appended]" displayFolder="" count="0" memberValueDatatype="130" unbalanced="0"/>
    <cacheHierarchy uniqueName="[Appended].[Zip Code]" caption="Zip Code" attribute="1" defaultMemberUniqueName="[Appended].[Zip Code].[All]" allUniqueName="[Appended].[Zip Code].[All]" dimensionUniqueName="[Appended]" displayFolder="" count="0" memberValueDatatype="130" unbalanced="0"/>
    <cacheHierarchy uniqueName="[Appended].[Market]" caption="Market" attribute="1" defaultMemberUniqueName="[Appended].[Market].[All]" allUniqueName="[Appended].[Market].[All]" dimensionUniqueName="[Appended]" displayFolder="" count="2" memberValueDatatype="130" unbalanced="0">
      <fieldsUsage count="2">
        <fieldUsage x="-1"/>
        <fieldUsage x="2"/>
      </fieldsUsage>
    </cacheHierarchy>
    <cacheHierarchy uniqueName="[Appended].[Sector]" caption="Sector" attribute="1" defaultMemberUniqueName="[Appended].[Sector].[All]" allUniqueName="[Appended].[Sector].[All]" dimensionUniqueName="[Appended]" displayFolder="" count="0" memberValueDatatype="130" unbalanced="0"/>
    <cacheHierarchy uniqueName="[Appended].[Date As Of]" caption="Date As Of" attribute="1" time="1" defaultMemberUniqueName="[Appended].[Date As Of].[All]" allUniqueName="[Appended].[Date As Of].[All]" dimensionUniqueName="[Appended]" displayFolder="" count="0" memberValueDatatype="7" unbalanced="0"/>
    <cacheHierarchy uniqueName="[Appended].[Zip Code Grade]" caption="Zip Code Grade" attribute="1" defaultMemberUniqueName="[Appended].[Zip Code Grade].[All]" allUniqueName="[Appended].[Zip Code Grade].[All]" dimensionUniqueName="[Appended]" displayFolder="" count="0" memberValueDatatype="130" unbalanced="0"/>
    <cacheHierarchy uniqueName="[Appended].[Size]" caption="Size" attribute="1" defaultMemberUniqueName="[Appended].[Size].[All]" allUniqueName="[Appended].[Size].[All]" dimensionUniqueName="[Appended]" displayFolder="" count="0" memberValueDatatype="20" unbalanced="0"/>
    <cacheHierarchy uniqueName="[Appended].[Size Type]" caption="Size Type" attribute="1" defaultMemberUniqueName="[Appended].[Size Type].[All]" allUniqueName="[Appended].[Size Type].[All]" dimensionUniqueName="[Appended]" displayFolder="" count="0" memberValueDatatype="130" unbalanced="0"/>
    <cacheHierarchy uniqueName="[Appended].[Effective Rent* ($/Size Type)]" caption="Effective Rent* ($/Size Type)" attribute="1" defaultMemberUniqueName="[Appended].[Effective Rent* ($/Size Type)].[All]" allUniqueName="[Appended].[Effective Rent* ($/Size Type)].[All]" dimensionUniqueName="[Appended]" displayFolder="" count="0" memberValueDatatype="5" unbalanced="0"/>
    <cacheHierarchy uniqueName="[Appended].[Avg. Transaction Size]" caption="Avg. Transaction Size" attribute="1" defaultMemberUniqueName="[Appended].[Avg. Transaction Size].[All]" allUniqueName="[Appended].[Avg. Transaction Size].[All]" dimensionUniqueName="[Appended]" displayFolder="" count="0" memberValueDatatype="5" unbalanced="0"/>
    <cacheHierarchy uniqueName="[Appended].[Avg. Lease Terms (Months)]" caption="Avg. Lease Terms (Months)" attribute="1" defaultMemberUniqueName="[Appended].[Avg. Lease Terms (Months)].[All]" allUniqueName="[Appended].[Avg. Lease Terms (Months)].[All]" dimensionUniqueName="[Appended]" displayFolder="" count="0" memberValueDatatype="5" unbalanced="0"/>
    <cacheHierarchy uniqueName="[Appended].[Avg. Work Value ($/Size Type)]" caption="Avg. Work Value ($/Size Type)" attribute="1" defaultMemberUniqueName="[Appended].[Avg. Work Value ($/Size Type)].[All]" allUniqueName="[Appended].[Avg. Work Value ($/Size Type)].[All]" dimensionUniqueName="[Appended]" displayFolder="" count="0" memberValueDatatype="130" unbalanced="0"/>
    <cacheHierarchy uniqueName="[Appended].[Avg. Free Months]" caption="Avg. Free Months" attribute="1" defaultMemberUniqueName="[Appended].[Avg. Free Months].[All]" allUniqueName="[Appended].[Avg. Free Months].[All]" dimensionUniqueName="[Appended]" displayFolder="" count="0" memberValueDatatype="130" unbalanced="0"/>
    <cacheHierarchy uniqueName="[Appended].[Floors]" caption="Floors" attribute="1" defaultMemberUniqueName="[Appended].[Floors].[All]" allUniqueName="[Appended].[Floors].[All]" dimensionUniqueName="[Appended]" displayFolder="" count="0" memberValueDatatype="130" unbalanced="0"/>
    <cacheHierarchy uniqueName="[Appended].[Year Built]" caption="Year Built" attribute="1" defaultMemberUniqueName="[Appended].[Year Built].[All]" allUniqueName="[Appended].[Year Built].[All]" dimensionUniqueName="[Appended]" displayFolder="" count="0" memberValueDatatype="20" unbalanced="0"/>
    <cacheHierarchy uniqueName="[Appended].[Year Renovated]" caption="Year Renovated" attribute="1" defaultMemberUniqueName="[Appended].[Year Renovated].[All]" allUniqueName="[Appended].[Year Renovated].[All]" dimensionUniqueName="[Appended]" displayFolder="" count="0" memberValueDatatype="130" unbalanced="0"/>
    <cacheHierarchy uniqueName="[Appended].[Size (SF)]" caption="Size (SF)" attribute="1" defaultMemberUniqueName="[Appended].[Size (SF)].[All]" allUniqueName="[Appended].[Size (SF)].[All]" dimensionUniqueName="[Appended]" displayFolder="" count="2" memberValueDatatype="130" unbalanced="0">
      <fieldsUsage count="2">
        <fieldUsage x="-1"/>
        <fieldUsage x="4"/>
      </fieldsUsage>
    </cacheHierarchy>
    <cacheHierarchy uniqueName="[Measures].[__XL_Count Appended]" caption="__XL_Count Appended" measure="1" displayFolder="" measureGroup="Appended" count="0" hidden="1"/>
    <cacheHierarchy uniqueName="[Measures].[__No measures defined]" caption="__No measures defined" measure="1" displayFolder="" count="0" hidden="1"/>
    <cacheHierarchy uniqueName="[Measures].[Count of Effective Rent* ($/Size Type)]" caption="Count of Effective Rent* ($/Size Type)" measure="1" displayFolder="" measureGroup="Appended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Effective Rent* ($/Size Type)]" caption="Average of Effective Rent* ($/Size Type)" measure="1" displayFolder="" measureGroup="Appended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Avg. Lease Terms (Months)]" caption="Average of Avg. Lease Terms (Months)" measure="1" displayFolder="" measureGroup="Appended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Effective Rent* ($/Size Type)]" caption="Sum of Effective Rent* ($/Size Type)" measure="1" displayFolder="" measureGroup="Appende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in of Effective Rent* ($/Size Type)]" caption="Min of Effective Rent* ($/Size Type)" measure="1" displayFolder="" measureGroup="Appended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ax of Effective Rent* ($/Size Type)]" caption="Max of Effective Rent* ($/Size Type)" measure="1" displayFolder="" measureGroup="Appended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tdDev of Effective Rent* ($/Size Type)]" caption="StdDev of Effective Rent* ($/Size Type)" measure="1" displayFolder="" measureGroup="Appended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name="Appended" uniqueName="[Appended]" caption="Appended"/>
    <dimension measure="1" name="Measures" uniqueName="[Measures]" caption="Measures"/>
  </dimensions>
  <measureGroups count="1">
    <measureGroup name="Appended" caption="Appended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">
  <r>
    <s v="1971 Essex Court"/>
    <s v="1971 Essex Court, Redlands, CA 92373"/>
    <x v="0"/>
    <s v="CA"/>
    <s v="United States"/>
    <s v="92373"/>
    <s v="Industrial"/>
    <s v="Flex Industrial"/>
    <m/>
    <s v="No"/>
    <s v="Inland Empire"/>
    <s v="IE-East Redlands"/>
    <n v="21228"/>
    <s v="SF"/>
    <d v="2024-01-04T00:00:00"/>
    <n v="1"/>
    <n v="5.0999999999999996"/>
    <s v="$"/>
    <n v="240.25"/>
    <m/>
    <s v="A-"/>
    <n v="4.0522530000000001E-2"/>
    <s v="Green Street Market Estimate"/>
    <s v="No"/>
    <s v="CMJ Brother's Corp."/>
    <m/>
    <m/>
    <s v="No"/>
    <m/>
    <m/>
    <n v="1.1830000000000001"/>
    <n v="1"/>
    <m/>
    <n v="1"/>
    <n v="2001"/>
    <m/>
    <m/>
    <n v="4.7E-2"/>
    <n v="4.8187099999999997E-2"/>
    <n v="4.791285E-2"/>
    <s v="Rediger Investments"/>
    <n v="2550000"/>
    <s v="Yes"/>
  </r>
  <r>
    <s v="1425 Cooley Court"/>
    <s v="1425 Cooley Court, San Bernardino, CA 92408"/>
    <x v="1"/>
    <s v="CA"/>
    <s v="United States"/>
    <s v="92408"/>
    <s v="Industrial"/>
    <s v="Warehouse"/>
    <s v="Light Industrial"/>
    <s v="No"/>
    <s v="Inland Empire"/>
    <s v="IE-East Redlands"/>
    <n v="78012"/>
    <s v="SF"/>
    <d v="2023-10-06T00:00:00"/>
    <n v="1"/>
    <n v="11.1"/>
    <s v="$"/>
    <n v="142.29"/>
    <m/>
    <s v="A-"/>
    <n v="4.2421100000000003E-2"/>
    <s v="Green Street Market Estimate"/>
    <s v="No"/>
    <m/>
    <m/>
    <m/>
    <s v="No"/>
    <m/>
    <m/>
    <n v="2.81"/>
    <n v="2"/>
    <m/>
    <n v="1"/>
    <n v="1988"/>
    <m/>
    <m/>
    <n v="4.7E-2"/>
    <n v="4.8187099999999997E-2"/>
    <n v="4.791285E-2"/>
    <s v="Symetra Financial"/>
    <n v="6400000"/>
    <s v="Yes"/>
  </r>
  <r>
    <s v="1320 Riverview Drive"/>
    <s v="1320 Riverview Drive, San Bernardino, CA 92408"/>
    <x v="1"/>
    <s v="CA"/>
    <s v="United States"/>
    <s v="92408"/>
    <s v="Industrial"/>
    <s v="Warehouse"/>
    <s v="Light Industrial"/>
    <s v="No"/>
    <s v="Inland Empire"/>
    <s v="IE-East Redlands"/>
    <n v="23397"/>
    <s v="SF"/>
    <d v="2023-10-02T00:00:00"/>
    <n v="1"/>
    <n v="5.62"/>
    <s v="$"/>
    <n v="240.01"/>
    <m/>
    <s v="A-"/>
    <n v="4.2421100000000003E-2"/>
    <s v="Green Street Market Estimate"/>
    <s v="No"/>
    <m/>
    <s v="Rogina Family Living Trust"/>
    <m/>
    <s v="No"/>
    <m/>
    <m/>
    <n v="1.24"/>
    <n v="2"/>
    <m/>
    <n v="1"/>
    <n v="2004"/>
    <m/>
    <m/>
    <n v="4.7E-2"/>
    <n v="4.8187099999999997E-2"/>
    <n v="4.791285E-2"/>
    <s v="Wells Fargo Bank"/>
    <n v="3369200"/>
    <s v="Yes"/>
  </r>
  <r>
    <s v="401 Alabama Street"/>
    <s v="401 Alabama Street, Redlands, CA 92373"/>
    <x v="0"/>
    <s v="CA"/>
    <s v="United States"/>
    <s v="92373"/>
    <s v="Industrial"/>
    <s v="Warehouse"/>
    <s v="Light Industrial"/>
    <s v="No"/>
    <s v="Inland Empire"/>
    <s v="IE-East Redlands"/>
    <n v="95500"/>
    <s v="SF"/>
    <d v="2023-05-05T00:00:00"/>
    <n v="1"/>
    <n v="27.25"/>
    <s v="$"/>
    <n v="285.33999999999997"/>
    <m/>
    <s v="A-"/>
    <n v="4.2999999999999997E-2"/>
    <s v="As Reported"/>
    <s v="No"/>
    <s v="General Investment &amp; Development Cos."/>
    <s v="Investment Building Group"/>
    <m/>
    <s v="No"/>
    <m/>
    <s v="CBRE Group"/>
    <n v="4.5259999999999998"/>
    <n v="1"/>
    <m/>
    <n v="1"/>
    <n v="2017"/>
    <m/>
    <n v="1"/>
    <n v="4.7E-2"/>
    <n v="4.8187099999999997E-2"/>
    <n v="4.791285E-2"/>
    <m/>
    <m/>
    <s v="Yes"/>
  </r>
  <r>
    <s v="Carnegie Business Center"/>
    <s v="720 East Carnegie Drive, San Bernardino, CA 92408"/>
    <x v="1"/>
    <s v="CA"/>
    <s v="United States"/>
    <s v="92408"/>
    <s v="Industrial"/>
    <s v="Warehouse"/>
    <s v="Light Industrial"/>
    <s v="No"/>
    <s v="Inland Empire"/>
    <s v="IE-East Redlands"/>
    <n v="51438"/>
    <s v="SF"/>
    <d v="2022-06-03T00:00:00"/>
    <n v="1"/>
    <n v="11.02"/>
    <s v="$"/>
    <n v="214.19"/>
    <m/>
    <s v="A-"/>
    <n v="5.7700000000000001E-2"/>
    <s v="As Reported"/>
    <s v="No"/>
    <m/>
    <s v="Entrada Partners"/>
    <m/>
    <s v="No"/>
    <s v="CBRE Group"/>
    <s v="CBRE Group"/>
    <m/>
    <m/>
    <n v="0"/>
    <n v="1"/>
    <n v="1987"/>
    <m/>
    <n v="0.95"/>
    <n v="4.7E-2"/>
    <n v="4.8187099999999997E-2"/>
    <n v="4.791285E-2"/>
    <m/>
    <m/>
    <s v="Yes"/>
  </r>
  <r>
    <s v="1990 Riverview Drive"/>
    <s v="1990 Riverview Drive, San Bernardino, CA 92408"/>
    <x v="1"/>
    <s v="CA"/>
    <s v="United States"/>
    <s v="92408"/>
    <s v="Industrial"/>
    <s v="Warehouse"/>
    <m/>
    <s v="No"/>
    <s v="Inland Empire"/>
    <s v="IE-East Redlands"/>
    <n v="20473"/>
    <s v="SF"/>
    <d v="2022-05-23T00:00:00"/>
    <n v="1"/>
    <n v="24"/>
    <s v="$"/>
    <s v="1,172.28"/>
    <m/>
    <s v="A-"/>
    <n v="3.667045E-2"/>
    <s v="Green Street Market Estimate"/>
    <s v="No"/>
    <m/>
    <m/>
    <m/>
    <s v="No"/>
    <s v="CBRE Group"/>
    <m/>
    <m/>
    <m/>
    <n v="0"/>
    <m/>
    <n v="1980"/>
    <m/>
    <m/>
    <n v="4.7E-2"/>
    <n v="4.8187099999999997E-2"/>
    <n v="4.791285E-2"/>
    <m/>
    <m/>
    <s v="Yes"/>
  </r>
  <r>
    <s v="1393 East San Bernardino Avenue"/>
    <s v="1393 East San Bernardino Avenue, San Bernardino, CA 92408"/>
    <x v="1"/>
    <s v="CA"/>
    <s v="United States"/>
    <s v="92408"/>
    <s v="Industrial"/>
    <s v="Warehouse"/>
    <s v="Light Industrial"/>
    <s v="No"/>
    <s v="Inland Empire"/>
    <s v="IE-East Redlands"/>
    <n v="117125"/>
    <s v="SF"/>
    <d v="2022-05-15T00:00:00"/>
    <n v="1"/>
    <n v="20"/>
    <s v="$"/>
    <n v="170.76"/>
    <m/>
    <s v="A-"/>
    <n v="3.667045E-2"/>
    <s v="Green Street Market Estimate"/>
    <s v="No"/>
    <s v="First Industrial Realty Trust (FR)"/>
    <m/>
    <m/>
    <s v="No"/>
    <m/>
    <m/>
    <m/>
    <m/>
    <m/>
    <m/>
    <m/>
    <m/>
    <m/>
    <n v="4.7E-2"/>
    <n v="4.8187099999999997E-2"/>
    <n v="4.791285E-2"/>
    <m/>
    <m/>
    <s v="Yes"/>
  </r>
  <r>
    <s v="301 Tennessee Street"/>
    <s v="301 Tennessee Street, Redlands, CA 92373"/>
    <x v="0"/>
    <s v="CA"/>
    <s v="United States"/>
    <s v="92373"/>
    <s v="Industrial"/>
    <s v="Warehouse"/>
    <s v="Manufacturing / Heavy Industrial"/>
    <s v="No"/>
    <s v="Inland Empire"/>
    <s v="IE-East Redlands"/>
    <n v="193469"/>
    <s v="SF"/>
    <d v="2022-04-14T00:00:00"/>
    <n v="1"/>
    <n v="18.25"/>
    <s v="$"/>
    <n v="94.33"/>
    <m/>
    <s v="A-"/>
    <n v="3.4120730000000002E-2"/>
    <s v="Green Street Market Estimate"/>
    <s v="No"/>
    <s v="Stos Partners"/>
    <s v="ESRI"/>
    <m/>
    <s v="No"/>
    <m/>
    <s v="Savills"/>
    <m/>
    <m/>
    <n v="0"/>
    <m/>
    <m/>
    <m/>
    <m/>
    <n v="4.7E-2"/>
    <n v="4.8187099999999997E-2"/>
    <n v="4.791285E-2"/>
    <m/>
    <m/>
    <s v="Yes"/>
  </r>
  <r>
    <s v="1939 West Park Avenue"/>
    <s v="1939 West Park Avenue, Redlands, CA 92373"/>
    <x v="0"/>
    <s v="CA"/>
    <s v="United States"/>
    <s v="92373"/>
    <s v="Industrial"/>
    <s v="Warehouse"/>
    <m/>
    <s v="No"/>
    <s v="Inland Empire"/>
    <s v="IE-East Redlands"/>
    <n v="21612"/>
    <s v="SF"/>
    <d v="2022-03-31T00:00:00"/>
    <n v="1"/>
    <n v="5.96"/>
    <s v="$"/>
    <n v="275.77"/>
    <m/>
    <s v="A-"/>
    <n v="3.162073E-2"/>
    <s v="Green Street Market Estimate"/>
    <s v="No"/>
    <s v="Scott Barnes"/>
    <s v="John C. Steinmann"/>
    <m/>
    <s v="No"/>
    <s v="CBRE Group"/>
    <s v="CBRE Group"/>
    <m/>
    <n v="1"/>
    <n v="0"/>
    <m/>
    <n v="2007"/>
    <m/>
    <m/>
    <n v="4.7E-2"/>
    <n v="4.8187099999999997E-2"/>
    <n v="4.791285E-2"/>
    <m/>
    <m/>
    <s v="Yes"/>
  </r>
  <r>
    <s v="I-215 Commerce Center"/>
    <s v="1648 Ashley Way, Colton, CA 92324"/>
    <x v="2"/>
    <s v="CA"/>
    <s v="United States"/>
    <s v="92324"/>
    <s v="Industrial"/>
    <s v="Warehouse"/>
    <m/>
    <s v="No"/>
    <s v="Inland Empire"/>
    <s v="IE-East Redlands"/>
    <n v="225353"/>
    <s v="SF"/>
    <d v="2021-08-31T00:00:00"/>
    <n v="1"/>
    <n v="57.5"/>
    <s v="$"/>
    <n v="255.16"/>
    <m/>
    <s v="A-"/>
    <n v="2.8000000000000001E-2"/>
    <s v="As Reported"/>
    <s v="No"/>
    <s v="Zurich Alternative Asset Management"/>
    <s v="Transwestern Development Company"/>
    <m/>
    <s v="No"/>
    <m/>
    <s v="CBRE Group"/>
    <m/>
    <m/>
    <n v="0"/>
    <m/>
    <n v="2021"/>
    <m/>
    <n v="1"/>
    <n v="4.7E-2"/>
    <n v="4.8187099999999997E-2"/>
    <n v="4.791285E-2"/>
    <m/>
    <m/>
    <s v="Yes"/>
  </r>
  <r>
    <s v="Washington Commerce Center"/>
    <s v="998 South Washington Avenue, San Bernardino, CA 92408"/>
    <x v="1"/>
    <s v="CA"/>
    <s v="United States"/>
    <s v="92408"/>
    <s v="Industrial"/>
    <s v="Warehouse"/>
    <m/>
    <s v="No"/>
    <s v="Inland Empire"/>
    <s v="IE-East Redlands"/>
    <n v="574984"/>
    <s v="SF"/>
    <d v="2021-08-15T00:00:00"/>
    <n v="1"/>
    <m/>
    <s v="$"/>
    <n v="164.53"/>
    <m/>
    <s v="A-"/>
    <m/>
    <m/>
    <s v="Yes"/>
    <s v="PGIM"/>
    <s v="Crow Holdings"/>
    <m/>
    <s v="No"/>
    <m/>
    <s v="Eastdil Secured"/>
    <m/>
    <m/>
    <n v="0"/>
    <m/>
    <m/>
    <m/>
    <m/>
    <n v="4.7E-2"/>
    <n v="4.8187099999999997E-2"/>
    <n v="4.791285E-2"/>
    <m/>
    <m/>
    <s v="Yes"/>
  </r>
  <r>
    <s v="Washington Commerce Center, Building 3"/>
    <s v="998 South Washington Avenue, San Bernardino, CA 92408"/>
    <x v="1"/>
    <s v="CA"/>
    <s v="United States"/>
    <s v="92408"/>
    <s v="Industrial"/>
    <s v="Warehouse"/>
    <m/>
    <s v="No"/>
    <s v="Inland Empire"/>
    <s v="IE-East Redlands"/>
    <n v="146800"/>
    <s v="SF"/>
    <d v="2021-08-15T00:00:00"/>
    <n v="1"/>
    <m/>
    <m/>
    <m/>
    <m/>
    <s v="A-"/>
    <m/>
    <m/>
    <s v="Yes"/>
    <s v="PGIM"/>
    <s v="Crow Holdings"/>
    <m/>
    <s v="No"/>
    <m/>
    <s v="Eastdil Secured"/>
    <m/>
    <m/>
    <n v="0"/>
    <m/>
    <m/>
    <m/>
    <m/>
    <n v="4.7E-2"/>
    <n v="4.8187099999999997E-2"/>
    <n v="4.791285E-2"/>
    <m/>
    <m/>
    <s v="Yes"/>
  </r>
  <r>
    <s v="Washington Commerce Center, Building 2"/>
    <s v="975 South Washington Avenue, San Bernardino, CA 92408"/>
    <x v="1"/>
    <s v="CA"/>
    <s v="United States"/>
    <s v="92408"/>
    <s v="Industrial"/>
    <s v="Warehouse"/>
    <m/>
    <s v="No"/>
    <s v="Inland Empire"/>
    <s v="IE-East Redlands"/>
    <n v="179584"/>
    <s v="SF"/>
    <d v="2021-08-15T00:00:00"/>
    <n v="1"/>
    <m/>
    <m/>
    <m/>
    <m/>
    <s v="A-"/>
    <m/>
    <m/>
    <s v="Yes"/>
    <s v="PGIM"/>
    <s v="Crow Holdings"/>
    <m/>
    <s v="No"/>
    <m/>
    <s v="Eastdil Secured"/>
    <m/>
    <m/>
    <n v="0"/>
    <m/>
    <m/>
    <m/>
    <m/>
    <n v="4.7E-2"/>
    <n v="4.8187099999999997E-2"/>
    <n v="4.791285E-2"/>
    <m/>
    <m/>
    <s v="Yes"/>
  </r>
  <r>
    <s v="Dedeaux Business Park Redlands"/>
    <s v="509 Alabama Street, Redlands, CA 92373"/>
    <x v="0"/>
    <s v="CA"/>
    <s v="United States"/>
    <s v="92373"/>
    <s v="Industrial"/>
    <s v="Warehouse"/>
    <m/>
    <s v="No"/>
    <s v="Inland Empire"/>
    <s v="IE-East Redlands"/>
    <n v="74000"/>
    <s v="SF"/>
    <d v="2021-05-04T00:00:00"/>
    <n v="1"/>
    <n v="16.899999999999999"/>
    <s v="$"/>
    <n v="228.38"/>
    <m/>
    <s v="A-"/>
    <n v="3.7100000000000001E-2"/>
    <s v="As Reported"/>
    <s v="No"/>
    <s v="LBA Realty"/>
    <s v="Brasa Capital; Dedeaux Properties"/>
    <m/>
    <s v="No"/>
    <s v="Cushman &amp; Wakefield"/>
    <s v="Cushman &amp; Wakefield; Lee &amp; Associates"/>
    <m/>
    <m/>
    <n v="0"/>
    <m/>
    <m/>
    <m/>
    <m/>
    <n v="4.7E-2"/>
    <n v="4.8187099999999997E-2"/>
    <n v="4.791285E-2"/>
    <m/>
    <m/>
    <s v="Yes"/>
  </r>
  <r>
    <s v="1255 Research Drive"/>
    <s v="1255 Research Drive, Redlands, CA 92374"/>
    <x v="0"/>
    <s v="CA"/>
    <s v="United States"/>
    <s v="92374"/>
    <s v="Industrial"/>
    <s v="Warehouse"/>
    <m/>
    <s v="No"/>
    <s v="Inland Empire"/>
    <s v="IE-East Redlands"/>
    <n v="118000"/>
    <s v="SF"/>
    <d v="2021-04-09T00:00:00"/>
    <n v="1"/>
    <n v="18.38"/>
    <s v="$"/>
    <n v="155.72"/>
    <m/>
    <s v="A-"/>
    <n v="3.6120729999999997E-2"/>
    <s v="Green Street Market Estimate"/>
    <s v="No"/>
    <s v="EQT Exeter"/>
    <s v="Garner Holt Productions Inc."/>
    <m/>
    <s v="No"/>
    <m/>
    <s v="Colliers"/>
    <m/>
    <m/>
    <n v="0"/>
    <m/>
    <m/>
    <m/>
    <m/>
    <n v="4.7E-2"/>
    <n v="4.8187099999999997E-2"/>
    <n v="4.791285E-2"/>
    <m/>
    <m/>
    <s v="Yes"/>
  </r>
  <r>
    <s v="Crow Holdings Los Angeles Area Industrial Portfolio"/>
    <s v="1070 South Waterman Avenue, San Bernardino, CA 92408"/>
    <x v="1"/>
    <s v="CA"/>
    <s v="United States"/>
    <s v="92408"/>
    <s v="Industrial"/>
    <s v="Warehouse"/>
    <m/>
    <s v="No"/>
    <s v="Inland Empire"/>
    <s v="IE-East Redlands"/>
    <n v="591000"/>
    <s v="SF"/>
    <d v="2021-03-21T00:00:00"/>
    <n v="1"/>
    <m/>
    <s v="$"/>
    <n v="155.77000000000001"/>
    <m/>
    <s v="A-"/>
    <m/>
    <m/>
    <s v="Yes"/>
    <s v="Principal Real Estate Investors"/>
    <s v="Crow Holdings"/>
    <m/>
    <s v="No"/>
    <m/>
    <s v="CBRE Group; Eastdil Secured"/>
    <m/>
    <m/>
    <n v="0"/>
    <m/>
    <m/>
    <m/>
    <m/>
    <n v="4.7E-2"/>
    <n v="4.8187099999999997E-2"/>
    <n v="4.791285E-2"/>
    <m/>
    <m/>
    <s v="Yes"/>
  </r>
  <r>
    <s v="1070 South Waterman Avenue"/>
    <s v="1070 South Waterman Avenue, San Bernardino, CA 92408"/>
    <x v="1"/>
    <s v="CA"/>
    <s v="United States"/>
    <s v="92408"/>
    <s v="Industrial"/>
    <s v="Warehouse"/>
    <m/>
    <s v="No"/>
    <s v="Inland Empire"/>
    <s v="IE-East Redlands"/>
    <n v="392000"/>
    <s v="SF"/>
    <d v="2021-03-21T00:00:00"/>
    <n v="1"/>
    <m/>
    <m/>
    <m/>
    <m/>
    <s v="A-"/>
    <m/>
    <m/>
    <s v="Yes"/>
    <s v="Principal Real Estate Investors"/>
    <s v="Crow Holdings"/>
    <m/>
    <s v="No"/>
    <m/>
    <s v="CBRE Group; Eastdil Secured"/>
    <m/>
    <m/>
    <n v="0"/>
    <m/>
    <m/>
    <m/>
    <m/>
    <n v="4.7E-2"/>
    <n v="4.8187099999999997E-2"/>
    <n v="4.791285E-2"/>
    <m/>
    <m/>
    <s v="Yes"/>
  </r>
  <r>
    <s v="Redlands Corporate Center 1&amp;2"/>
    <s v="1289 Bryn Mawr Avenue, Redlands, CA 92374"/>
    <x v="0"/>
    <s v="CA"/>
    <s v="United States"/>
    <s v="92374"/>
    <s v="Office"/>
    <s v="Warehouse"/>
    <m/>
    <s v="No"/>
    <s v="Inland Empire"/>
    <s v="IE-East Redlands"/>
    <n v="287000"/>
    <s v="SF"/>
    <d v="2021-01-19T00:00:00"/>
    <n v="1"/>
    <m/>
    <s v="$"/>
    <n v="141.46"/>
    <m/>
    <s v="A-"/>
    <m/>
    <m/>
    <s v="Yes"/>
    <s v="Penwood Real Estate Investment Management"/>
    <s v="Stockbridge Capital Group"/>
    <m/>
    <s v="No"/>
    <m/>
    <s v="CBRE Group"/>
    <m/>
    <m/>
    <n v="0"/>
    <m/>
    <n v="2003"/>
    <m/>
    <m/>
    <n v="4.7E-2"/>
    <n v="4.8187099999999997E-2"/>
    <n v="4.791285E-2"/>
    <m/>
    <m/>
    <s v="Yes"/>
  </r>
  <r>
    <s v="Redlands Corporate Center 2"/>
    <s v="1289 Bryn Mawr Avenue, Redlands, CA 92374"/>
    <x v="0"/>
    <s v="CA"/>
    <s v="United States"/>
    <s v="92374"/>
    <s v="Industrial"/>
    <s v="Warehouse"/>
    <m/>
    <s v="No"/>
    <s v="Inland Empire"/>
    <s v="IE-East Redlands"/>
    <n v="39000"/>
    <s v="SF"/>
    <d v="2021-01-19T00:00:00"/>
    <n v="1"/>
    <m/>
    <m/>
    <m/>
    <m/>
    <s v="A-"/>
    <m/>
    <m/>
    <s v="Yes"/>
    <s v="Penwood Real Estate Investment Management"/>
    <s v="Stockbridge Capital Group"/>
    <m/>
    <s v="No"/>
    <m/>
    <s v="CBRE Group"/>
    <m/>
    <m/>
    <n v="0"/>
    <m/>
    <n v="2003"/>
    <m/>
    <m/>
    <n v="4.7E-2"/>
    <n v="4.8187099999999997E-2"/>
    <n v="4.791285E-2"/>
    <m/>
    <m/>
    <s v="Yes"/>
  </r>
  <r>
    <s v="Redlands Corporate Center 1"/>
    <s v="1115 Research Drive, Redlands, CA 92374"/>
    <x v="0"/>
    <s v="CA"/>
    <s v="United States"/>
    <s v="92374"/>
    <s v="Industrial"/>
    <s v="Warehouse"/>
    <m/>
    <s v="No"/>
    <s v="Inland Empire"/>
    <s v="IE-East Redlands"/>
    <n v="31000"/>
    <s v="SF"/>
    <d v="2021-01-19T00:00:00"/>
    <n v="1"/>
    <m/>
    <m/>
    <m/>
    <m/>
    <s v="A-"/>
    <m/>
    <m/>
    <s v="Yes"/>
    <s v="Penwood Real Estate Investment Management"/>
    <s v="Stockbridge Capital Group"/>
    <m/>
    <s v="No"/>
    <m/>
    <s v="CBRE Group"/>
    <m/>
    <m/>
    <n v="0"/>
    <m/>
    <n v="1991"/>
    <m/>
    <m/>
    <n v="4.7E-2"/>
    <n v="4.8187099999999997E-2"/>
    <n v="4.791285E-2"/>
    <m/>
    <m/>
    <s v="Yes"/>
  </r>
  <r>
    <s v="Hillwood Development Multi-state Industrial Portfolio (B)"/>
    <s v="1494 South Waterman Avenue, San Bernardino, CA 92408"/>
    <x v="3"/>
    <m/>
    <s v="United States"/>
    <s v="92408"/>
    <s v="Industrial"/>
    <s v="Warehouse"/>
    <m/>
    <s v="No"/>
    <s v="Inland Empire"/>
    <s v="IE-East Redlands"/>
    <n v="4287000"/>
    <s v="SF"/>
    <d v="2020-12-02T00:00:00"/>
    <n v="1"/>
    <m/>
    <s v="$"/>
    <n v="107.89"/>
    <m/>
    <s v="A-"/>
    <m/>
    <m/>
    <s v="Yes"/>
    <s v="Stockbridge Capital Group"/>
    <s v="Hillwood Investment Properties"/>
    <m/>
    <s v="No"/>
    <m/>
    <s v="CBRE Group"/>
    <m/>
    <m/>
    <n v="0"/>
    <m/>
    <n v="2019"/>
    <m/>
    <m/>
    <n v="4.7E-2"/>
    <n v="4.8187099999999997E-2"/>
    <n v="4.791285E-2"/>
    <m/>
    <m/>
    <s v="Yes"/>
  </r>
  <r>
    <s v="1494 South Waterman Avenue"/>
    <s v="1494 South Waterman Avenue, San Bernardino, CA 92408"/>
    <x v="1"/>
    <s v="CA"/>
    <s v="United States"/>
    <s v="92408"/>
    <s v="Industrial"/>
    <s v="Warehouse"/>
    <m/>
    <s v="No"/>
    <s v="Inland Empire"/>
    <s v="IE-East Redlands"/>
    <n v="1066000"/>
    <s v="SF"/>
    <d v="2020-12-02T00:00:00"/>
    <n v="1"/>
    <n v="132.81"/>
    <s v="$"/>
    <n v="124.58"/>
    <m/>
    <s v="A-"/>
    <m/>
    <m/>
    <s v="Yes"/>
    <s v="Stockbridge Capital Group"/>
    <s v="Hillwood Investment Properties"/>
    <m/>
    <s v="No"/>
    <m/>
    <s v="CBRE Group"/>
    <m/>
    <m/>
    <n v="0"/>
    <m/>
    <n v="2019"/>
    <m/>
    <m/>
    <n v="4.7E-2"/>
    <n v="4.8187099999999997E-2"/>
    <n v="4.791285E-2"/>
    <m/>
    <m/>
    <s v="Yes"/>
  </r>
  <r>
    <s v="1601&amp;1603 Steel Road"/>
    <s v="1603 East Steel Road, Colton, CA 92324"/>
    <x v="2"/>
    <s v="CA"/>
    <s v="United States"/>
    <s v="92324"/>
    <s v="Industrial"/>
    <s v="Warehouse"/>
    <m/>
    <s v="No"/>
    <s v="Inland Empire"/>
    <s v="IE-East Redlands"/>
    <n v="331000"/>
    <s v="SF"/>
    <d v="2020-11-17T00:00:00"/>
    <n v="1"/>
    <n v="46"/>
    <s v="$"/>
    <n v="138.97"/>
    <m/>
    <s v="A-"/>
    <n v="4.0670449999999997E-2"/>
    <s v="Green Street Market Estimate"/>
    <s v="No"/>
    <s v="Brookfield Property Group"/>
    <m/>
    <m/>
    <s v="No"/>
    <s v="CBRE Group"/>
    <m/>
    <n v="8.99"/>
    <m/>
    <n v="0"/>
    <n v="1"/>
    <m/>
    <m/>
    <m/>
    <n v="4.7E-2"/>
    <n v="4.8187099999999997E-2"/>
    <n v="4.791285E-2"/>
    <m/>
    <m/>
    <s v="Yes"/>
  </r>
  <r>
    <s v="Redlands Corporate Center"/>
    <s v="1251 Research Drive, Redlands, CA 92374"/>
    <x v="0"/>
    <s v="CA"/>
    <s v="United States"/>
    <s v="92374"/>
    <s v="Industrial"/>
    <s v="Warehouse"/>
    <m/>
    <s v="No"/>
    <s v="Inland Empire"/>
    <s v="IE-East Redlands"/>
    <n v="118000"/>
    <s v="SF"/>
    <d v="2020-03-09T00:00:00"/>
    <n v="1"/>
    <n v="10.5"/>
    <s v="$"/>
    <n v="88.98"/>
    <m/>
    <s v="A-"/>
    <n v="3.9120729999999999E-2"/>
    <s v="Green Street Market Estimate"/>
    <s v="No"/>
    <s v="Garner Holt Productions Inc."/>
    <s v="Stockbridge Real Estate"/>
    <m/>
    <s v="No"/>
    <m/>
    <s v="Cushman &amp; Wakefield"/>
    <m/>
    <m/>
    <n v="0"/>
    <m/>
    <m/>
    <m/>
    <m/>
    <n v="4.7E-2"/>
    <n v="4.8187099999999997E-2"/>
    <n v="4.791285E-2"/>
    <m/>
    <m/>
    <s v="Yes"/>
  </r>
  <r>
    <s v="301 Tennessee Street"/>
    <s v="301 Tennessee Street, Redlands, CA 92373"/>
    <x v="0"/>
    <s v="CA"/>
    <s v="United States"/>
    <s v="92373"/>
    <s v="Industrial"/>
    <s v="Warehouse"/>
    <m/>
    <s v="No"/>
    <s v="Inland Empire"/>
    <s v="IE-East Redlands"/>
    <n v="193000"/>
    <s v="SF"/>
    <d v="2020-01-31T00:00:00"/>
    <n v="1"/>
    <n v="11.5"/>
    <s v="$"/>
    <n v="59.59"/>
    <m/>
    <s v="A-"/>
    <n v="3.9120729999999999E-2"/>
    <s v="Green Street Market Estimate"/>
    <s v="No"/>
    <m/>
    <s v="La-Z-Boy Inc."/>
    <m/>
    <s v="No"/>
    <m/>
    <s v="Savills"/>
    <m/>
    <m/>
    <n v="0"/>
    <m/>
    <m/>
    <m/>
    <m/>
    <n v="4.7E-2"/>
    <n v="4.8187099999999997E-2"/>
    <n v="4.791285E-2"/>
    <m/>
    <m/>
    <s v="Yes"/>
  </r>
  <r>
    <s v="1730 Marigold Avenue"/>
    <s v="1730 Marigold Avenue, Redlands, CA 92374"/>
    <x v="0"/>
    <s v="CA"/>
    <s v="United States"/>
    <s v="92374"/>
    <s v="Industrial"/>
    <s v="Warehouse"/>
    <m/>
    <s v="No"/>
    <s v="Inland Empire"/>
    <s v="IE-East Redlands"/>
    <n v="328000"/>
    <s v="SF"/>
    <d v="2019-12-31T00:00:00"/>
    <n v="1"/>
    <n v="39.700000000000003"/>
    <s v="$"/>
    <n v="121.04"/>
    <m/>
    <s v="A-"/>
    <n v="4.0620730000000001E-2"/>
    <s v="Green Street Market Estimate"/>
    <s v="No"/>
    <s v="Black Creek Group"/>
    <s v="Kensington Realty Advisors"/>
    <m/>
    <s v="No"/>
    <m/>
    <s v="Cushman &amp; Wakefield"/>
    <n v="15.368"/>
    <m/>
    <n v="0"/>
    <n v="1"/>
    <m/>
    <m/>
    <m/>
    <n v="4.7E-2"/>
    <n v="4.8187099999999997E-2"/>
    <n v="4.791285E-2"/>
    <m/>
    <m/>
    <s v="Yes"/>
  </r>
  <r>
    <s v="Los Angeles Area Industrial Portfolio"/>
    <s v="Redlands, CA"/>
    <x v="0"/>
    <s v="CA"/>
    <s v="United States"/>
    <m/>
    <s v="Industrial"/>
    <s v="Warehouse"/>
    <s v="Park"/>
    <s v="No"/>
    <s v="Other"/>
    <m/>
    <n v="257000"/>
    <s v="SF"/>
    <d v="2019-12-19T00:00:00"/>
    <n v="1"/>
    <n v="24.8"/>
    <s v="$"/>
    <n v="96.5"/>
    <m/>
    <m/>
    <m/>
    <m/>
    <s v="Yes"/>
    <m/>
    <m/>
    <m/>
    <s v="No"/>
    <m/>
    <s v="CBRE Group"/>
    <m/>
    <m/>
    <n v="0"/>
    <m/>
    <m/>
    <m/>
    <m/>
    <m/>
    <m/>
    <m/>
    <m/>
    <m/>
    <s v="Yes"/>
  </r>
  <r>
    <s v="1445 South Tippacanoe Avenue"/>
    <s v="1445 South Tippecanoe Avenue, San Bernardino, CA 92408"/>
    <x v="1"/>
    <s v="CA"/>
    <s v="United States"/>
    <s v="92408"/>
    <s v="Industrial"/>
    <s v="Warehouse"/>
    <m/>
    <s v="No"/>
    <s v="Inland Empire"/>
    <s v="IE-East Redlands"/>
    <n v="344000"/>
    <s v="SF"/>
    <d v="2019-07-17T00:00:00"/>
    <n v="1"/>
    <n v="43.1"/>
    <s v="$"/>
    <n v="125.29"/>
    <m/>
    <s v="A-"/>
    <n v="4.3170449999999999E-2"/>
    <s v="Green Street Market Estimate"/>
    <s v="No"/>
    <s v="Nuveen Real Estate"/>
    <s v="Rockefeller Group"/>
    <m/>
    <s v="No"/>
    <m/>
    <s v="Cushman &amp; Wakefield"/>
    <n v="14.885999999999999"/>
    <m/>
    <n v="0"/>
    <n v="1"/>
    <m/>
    <m/>
    <m/>
    <n v="4.7E-2"/>
    <n v="4.8187099999999997E-2"/>
    <n v="4.791285E-2"/>
    <m/>
    <m/>
    <s v="Yes"/>
  </r>
  <r>
    <s v="1898 Marigold Avenue"/>
    <s v="1898 Marigold Avenue, Redlands, CA 92374"/>
    <x v="0"/>
    <s v="CA"/>
    <s v="United States"/>
    <s v="92374"/>
    <s v="Industrial"/>
    <s v="Warehouse"/>
    <m/>
    <s v="No"/>
    <s v="Inland Empire"/>
    <s v="IE-East Redlands"/>
    <n v="290000"/>
    <s v="SF"/>
    <d v="2019-02-12T00:00:00"/>
    <n v="1"/>
    <n v="31.29"/>
    <s v="$"/>
    <n v="107.88"/>
    <m/>
    <s v="A-"/>
    <n v="4.2120730000000002E-2"/>
    <s v="Green Street Market Estimate"/>
    <s v="No"/>
    <s v="Liberty Property Trust"/>
    <m/>
    <m/>
    <s v="No"/>
    <m/>
    <s v="CBRE Group"/>
    <n v="16"/>
    <m/>
    <n v="0"/>
    <n v="1"/>
    <m/>
    <m/>
    <m/>
    <n v="4.7E-2"/>
    <n v="4.8187099999999997E-2"/>
    <n v="4.791285E-2"/>
    <m/>
    <m/>
    <s v="Yes"/>
  </r>
  <r>
    <s v="Cabot Properties National Industrial Portfolio"/>
    <s v="1833 Riverview Drive, San Bernardino, CA 92408"/>
    <x v="3"/>
    <m/>
    <s v="United States"/>
    <s v="92408"/>
    <s v="Industrial"/>
    <s v="Warehouse"/>
    <m/>
    <s v="No"/>
    <s v="Inland Empire"/>
    <s v="IE-East Redlands"/>
    <n v="21719000"/>
    <s v="SF"/>
    <d v="2018-03-13T00:00:00"/>
    <n v="1"/>
    <m/>
    <s v="$"/>
    <n v="83.11"/>
    <m/>
    <s v="A-"/>
    <m/>
    <m/>
    <s v="Yes"/>
    <s v="Blackstone Real Estate Income Trust"/>
    <s v="Cabot Properties"/>
    <m/>
    <s v="No"/>
    <m/>
    <s v="CBRE Group; Eastdil Secured"/>
    <m/>
    <m/>
    <n v="0"/>
    <m/>
    <m/>
    <m/>
    <m/>
    <n v="4.7E-2"/>
    <n v="4.8187099999999997E-2"/>
    <n v="4.791285E-2"/>
    <m/>
    <m/>
    <s v="Yes"/>
  </r>
  <r>
    <s v="1833 Riverview Dr"/>
    <s v="1833 Riverview Drive, San Bernardino, CA 92408"/>
    <x v="1"/>
    <s v="CA"/>
    <s v="United States"/>
    <s v="92408"/>
    <s v="Industrial"/>
    <s v="Warehouse"/>
    <m/>
    <s v="No"/>
    <s v="Inland Empire"/>
    <s v="IE-East Redlands"/>
    <n v="44000"/>
    <s v="SF"/>
    <d v="2018-03-13T00:00:00"/>
    <n v="1"/>
    <m/>
    <m/>
    <m/>
    <m/>
    <s v="A-"/>
    <m/>
    <m/>
    <s v="Yes"/>
    <s v="Blackstone Real Estate Income Trust"/>
    <s v="Cabot Properties"/>
    <m/>
    <s v="No"/>
    <m/>
    <s v="CBRE Group; Eastdil Secured"/>
    <m/>
    <m/>
    <n v="0"/>
    <m/>
    <m/>
    <m/>
    <m/>
    <n v="4.7E-2"/>
    <n v="4.8187099999999997E-2"/>
    <n v="4.791285E-2"/>
    <m/>
    <m/>
    <s v="Yes"/>
  </r>
  <r>
    <s v="1817 Riverview Dr"/>
    <s v="1817 Riverview Drive, San Bernardino, CA 92408"/>
    <x v="1"/>
    <s v="CA"/>
    <s v="United States"/>
    <s v="92408"/>
    <s v="Industrial"/>
    <s v="Warehouse"/>
    <m/>
    <s v="No"/>
    <s v="Inland Empire"/>
    <s v="IE-East Redlands"/>
    <n v="40000"/>
    <s v="SF"/>
    <d v="2018-03-13T00:00:00"/>
    <n v="1"/>
    <m/>
    <m/>
    <m/>
    <m/>
    <s v="A-"/>
    <m/>
    <m/>
    <s v="Yes"/>
    <s v="Blackstone Real Estate Income Trust"/>
    <s v="Cabot Properties"/>
    <m/>
    <s v="No"/>
    <m/>
    <s v="CBRE Group; Eastdil Secured"/>
    <m/>
    <m/>
    <n v="0"/>
    <m/>
    <m/>
    <m/>
    <m/>
    <n v="4.7E-2"/>
    <n v="4.8187099999999997E-2"/>
    <n v="4.791285E-2"/>
    <m/>
    <m/>
    <s v="Yes"/>
  </r>
  <r>
    <s v="1811 Riverview Dr"/>
    <s v="1811 Riverview Drive, San Bernardino, CA 92408"/>
    <x v="1"/>
    <s v="CA"/>
    <s v="United States"/>
    <s v="92408"/>
    <s v="Industrial"/>
    <s v="Warehouse"/>
    <m/>
    <s v="No"/>
    <s v="Inland Empire"/>
    <s v="IE-East Redlands"/>
    <n v="60000"/>
    <s v="SF"/>
    <d v="2018-03-13T00:00:00"/>
    <n v="1"/>
    <m/>
    <m/>
    <m/>
    <m/>
    <s v="A-"/>
    <m/>
    <m/>
    <s v="Yes"/>
    <s v="Blackstone Real Estate Income Trust"/>
    <s v="Cabot Properties"/>
    <m/>
    <s v="No"/>
    <m/>
    <s v="CBRE Group; Eastdil Secured"/>
    <m/>
    <m/>
    <n v="0"/>
    <m/>
    <m/>
    <m/>
    <m/>
    <n v="4.7E-2"/>
    <n v="4.8187099999999997E-2"/>
    <n v="4.791285E-2"/>
    <m/>
    <m/>
    <s v="Yes"/>
  </r>
  <r>
    <s v="1445-1455 E Riverview Dr"/>
    <s v="1445 Riverview Drive, San Bernardino, CA 92408"/>
    <x v="1"/>
    <s v="CA"/>
    <s v="United States"/>
    <s v="92408"/>
    <s v="Industrial"/>
    <s v="Warehouse"/>
    <m/>
    <s v="No"/>
    <s v="Inland Empire"/>
    <s v="IE-East Redlands"/>
    <n v="117000"/>
    <s v="SF"/>
    <d v="2018-03-13T00:00:00"/>
    <n v="1"/>
    <m/>
    <m/>
    <m/>
    <m/>
    <s v="A-"/>
    <m/>
    <m/>
    <s v="Yes"/>
    <s v="Blackstone Real Estate Income Trust"/>
    <s v="Cabot Properties"/>
    <m/>
    <s v="No"/>
    <m/>
    <s v="CBRE Group; Eastdil Secured"/>
    <m/>
    <m/>
    <n v="0"/>
    <m/>
    <m/>
    <m/>
    <m/>
    <n v="4.7E-2"/>
    <n v="4.8187099999999997E-2"/>
    <n v="4.791285E-2"/>
    <m/>
    <m/>
    <s v="Yes"/>
  </r>
  <r>
    <s v="Redlands Gateway Logistics Center"/>
    <s v="9712 Alabama Street, Redlands, CA 92374"/>
    <x v="0"/>
    <s v="CA"/>
    <s v="United States"/>
    <s v="92374"/>
    <s v="Industrial"/>
    <s v="Warehouse"/>
    <m/>
    <s v="No"/>
    <s v="Inland Empire"/>
    <s v="IE-East Redlands"/>
    <n v="928000"/>
    <s v="SF"/>
    <d v="2018-02-27T00:00:00"/>
    <n v="1"/>
    <n v="100.5"/>
    <s v="$"/>
    <n v="108.3"/>
    <m/>
    <s v="A-"/>
    <n v="4.3620730000000003E-2"/>
    <s v="Green Street Market Estimate"/>
    <s v="No"/>
    <s v="Alere Property Group"/>
    <s v="Crow Holdings"/>
    <m/>
    <s v="No"/>
    <m/>
    <s v="CBRE Group"/>
    <m/>
    <m/>
    <n v="0"/>
    <m/>
    <m/>
    <m/>
    <m/>
    <n v="4.7E-2"/>
    <n v="4.8187099999999997E-2"/>
    <n v="4.791285E-2"/>
    <m/>
    <m/>
    <s v="Yes"/>
  </r>
  <r>
    <s v="Hillwood Investment National Industrial Portfolio"/>
    <s v="555 East Orange Show Road, San Bernardino, CA 92408"/>
    <x v="3"/>
    <m/>
    <s v="United States"/>
    <s v="92408"/>
    <s v="Industrial"/>
    <s v="Warehouse"/>
    <m/>
    <s v="No"/>
    <s v="Inland Empire"/>
    <s v="IE-East Redlands"/>
    <n v="9116000"/>
    <s v="SF"/>
    <d v="2016-12-19T00:00:00"/>
    <n v="1"/>
    <m/>
    <s v="$"/>
    <n v="73.680000000000007"/>
    <m/>
    <s v="A-"/>
    <m/>
    <m/>
    <s v="Yes"/>
    <s v="GLP"/>
    <s v="Hillwood Investment Properties"/>
    <m/>
    <s v="No"/>
    <m/>
    <s v="CBRE Group; Eastdil Secured"/>
    <m/>
    <m/>
    <n v="0"/>
    <m/>
    <m/>
    <m/>
    <m/>
    <n v="4.7E-2"/>
    <n v="4.8187099999999997E-2"/>
    <n v="4.791285E-2"/>
    <m/>
    <m/>
    <s v="Yes"/>
  </r>
  <r>
    <s v="555 Orange Show Road"/>
    <s v="555 East Orange Show Road, San Bernardino, CA 92408"/>
    <x v="1"/>
    <s v="CA"/>
    <s v="United States"/>
    <s v="92408"/>
    <s v="Industrial"/>
    <s v="Warehouse"/>
    <m/>
    <s v="No"/>
    <s v="Inland Empire"/>
    <s v="IE-East Redlands"/>
    <n v="1103000"/>
    <s v="SF"/>
    <d v="2016-12-19T00:00:00"/>
    <n v="1"/>
    <n v="98.9"/>
    <s v="$"/>
    <n v="89.66"/>
    <m/>
    <s v="A-"/>
    <m/>
    <m/>
    <s v="Yes"/>
    <s v="GLP"/>
    <s v="Hillwood Investment Properties"/>
    <m/>
    <s v="No"/>
    <m/>
    <s v="CBRE Group; Eastdil Secured"/>
    <m/>
    <m/>
    <n v="0"/>
    <m/>
    <m/>
    <m/>
    <m/>
    <n v="4.7E-2"/>
    <n v="4.8187099999999997E-2"/>
    <n v="4.791285E-2"/>
    <m/>
    <m/>
    <s v="Yes"/>
  </r>
  <r>
    <s v="AREA Property Multi-State Industrial Portfolio"/>
    <s v="2200 West San Bernardino Avenue, Redlands, CA 92374"/>
    <x v="3"/>
    <m/>
    <s v="United States"/>
    <s v="92374"/>
    <s v="Industrial"/>
    <s v="Warehouse"/>
    <m/>
    <s v="No"/>
    <s v="Inland Empire"/>
    <s v="IE-East Redlands"/>
    <n v="2858000"/>
    <s v="SF"/>
    <d v="2016-06-07T00:00:00"/>
    <n v="1"/>
    <m/>
    <s v="$"/>
    <n v="65.61"/>
    <m/>
    <s v="A-"/>
    <m/>
    <m/>
    <s v="Yes"/>
    <s v="Industrial Property Trust"/>
    <s v="AREA Property Partners"/>
    <m/>
    <s v="No"/>
    <m/>
    <m/>
    <m/>
    <m/>
    <n v="0"/>
    <n v="1"/>
    <m/>
    <m/>
    <m/>
    <n v="4.7E-2"/>
    <n v="4.8187099999999997E-2"/>
    <n v="4.791285E-2"/>
    <m/>
    <m/>
    <s v="Yes"/>
  </r>
  <r>
    <s v="2200 West San Bernardino Avenue"/>
    <s v="2200 West San Bernardino Avenue, Redlands, CA 92374"/>
    <x v="0"/>
    <s v="CA"/>
    <s v="United States"/>
    <s v="92374"/>
    <s v="Industrial"/>
    <s v="Warehouse"/>
    <m/>
    <s v="No"/>
    <s v="Inland Empire"/>
    <s v="IE-East Redlands"/>
    <n v="425000"/>
    <s v="SF"/>
    <d v="2016-06-07T00:00:00"/>
    <n v="1"/>
    <n v="37.5"/>
    <s v="$"/>
    <n v="88.24"/>
    <m/>
    <s v="A-"/>
    <m/>
    <m/>
    <s v="Yes"/>
    <s v="Industrial Property Trust"/>
    <s v="AREA Property Partners"/>
    <m/>
    <s v="No"/>
    <m/>
    <m/>
    <n v="24"/>
    <m/>
    <n v="0"/>
    <n v="1"/>
    <m/>
    <m/>
    <m/>
    <n v="4.7E-2"/>
    <n v="4.8187099999999997E-2"/>
    <n v="4.791285E-2"/>
    <m/>
    <m/>
    <s v="Yes"/>
  </r>
  <r>
    <s v="CT Realty Southern California Industrial Portfolio"/>
    <s v="1333 South Tippecanoe Avenue, San Bernardino, CA 92408"/>
    <x v="3"/>
    <s v="CA"/>
    <s v="United States"/>
    <s v="92408"/>
    <s v="Industrial"/>
    <s v="Warehouse"/>
    <m/>
    <s v="No"/>
    <s v="Inland Empire"/>
    <s v="IE-East Redlands"/>
    <n v="1427000"/>
    <s v="SF"/>
    <d v="2016-04-19T00:00:00"/>
    <n v="1"/>
    <m/>
    <s v="$"/>
    <n v="143.1"/>
    <m/>
    <s v="A-"/>
    <m/>
    <m/>
    <s v="Yes"/>
    <s v="Rexford Industrial Realty (REXR)"/>
    <s v="CT Realty Investors"/>
    <m/>
    <s v="No"/>
    <m/>
    <s v="CBRE Group; Eastdil Secured"/>
    <m/>
    <m/>
    <n v="0"/>
    <m/>
    <m/>
    <m/>
    <m/>
    <n v="4.7E-2"/>
    <n v="4.8187099999999997E-2"/>
    <n v="4.791285E-2"/>
    <m/>
    <m/>
    <s v="Yes"/>
  </r>
  <r>
    <s v="1333 South Tippecanoe Avenue"/>
    <s v="1333 South Tippecanoe Avenue, San Bernardino, CA 92408"/>
    <x v="1"/>
    <s v="CA"/>
    <s v="United States"/>
    <s v="92408"/>
    <s v="Industrial"/>
    <s v="Warehouse"/>
    <m/>
    <s v="No"/>
    <s v="Inland Empire"/>
    <s v="IE-East Redlands"/>
    <n v="225000"/>
    <s v="SF"/>
    <d v="2016-04-19T00:00:00"/>
    <n v="1"/>
    <n v="13.1"/>
    <s v="$"/>
    <n v="58.22"/>
    <m/>
    <s v="A-"/>
    <m/>
    <m/>
    <s v="Yes"/>
    <s v="Rexford Industrial Realty (REXR)"/>
    <s v="CT Realty Investors"/>
    <m/>
    <s v="No"/>
    <m/>
    <s v="CBRE Group; Eastdil Secured"/>
    <n v="19"/>
    <m/>
    <n v="0"/>
    <m/>
    <m/>
    <m/>
    <m/>
    <n v="4.7E-2"/>
    <n v="4.8187099999999997E-2"/>
    <n v="4.791285E-2"/>
    <m/>
    <m/>
    <s v="Yes"/>
  </r>
  <r>
    <s v="10444 Corporate Drive"/>
    <s v="10444 Corporate Drive, Redlands, CA 92374"/>
    <x v="0"/>
    <s v="CA"/>
    <s v="United States"/>
    <s v="92374"/>
    <s v="Industrial"/>
    <s v="Warehouse"/>
    <m/>
    <s v="No"/>
    <s v="Inland Empire"/>
    <s v="IE-East Redlands"/>
    <n v="527000"/>
    <s v="SF"/>
    <d v="2015-12-23T00:00:00"/>
    <n v="1"/>
    <n v="46.2"/>
    <s v="$"/>
    <n v="87.67"/>
    <m/>
    <s v="A-"/>
    <n v="4.6620729999999999E-2"/>
    <s v="Green Street Market Estimate"/>
    <s v="No"/>
    <s v="TIAA"/>
    <s v="Oakmont Industrial Group"/>
    <m/>
    <s v="No"/>
    <m/>
    <s v="CBRE Group"/>
    <m/>
    <m/>
    <n v="0"/>
    <m/>
    <m/>
    <m/>
    <m/>
    <n v="4.7E-2"/>
    <n v="4.8187099999999997E-2"/>
    <n v="4.791285E-2"/>
    <m/>
    <m/>
    <s v="Yes"/>
  </r>
  <r>
    <s v="Redlands Business Center"/>
    <s v="2220 Almond Avenue, Redlands, CA 92374"/>
    <x v="0"/>
    <s v="CA"/>
    <s v="United States"/>
    <s v="92374"/>
    <s v="Industrial"/>
    <s v="Warehouse"/>
    <m/>
    <s v="No"/>
    <s v="Inland Empire"/>
    <s v="IE-East Redlands"/>
    <n v="412000"/>
    <s v="SF"/>
    <d v="2015-12-15T00:00:00"/>
    <n v="1"/>
    <n v="33.299999999999997"/>
    <s v="$"/>
    <n v="80.83"/>
    <m/>
    <s v="A-"/>
    <n v="4.6620729999999999E-2"/>
    <s v="Green Street Market Estimate"/>
    <s v="No"/>
    <s v="Clarion Partners"/>
    <s v="Bixby Land Co."/>
    <m/>
    <s v="No"/>
    <m/>
    <s v="JLL"/>
    <n v="21"/>
    <m/>
    <n v="0"/>
    <n v="1"/>
    <m/>
    <m/>
    <m/>
    <n v="4.7E-2"/>
    <n v="4.8187099999999997E-2"/>
    <n v="4.791285E-2"/>
    <m/>
    <m/>
    <s v="Yes"/>
  </r>
  <r>
    <s v="Hillwood Properties National Industrial Portfolio"/>
    <s v="5631 South Waterman Avenue, San Bernardino, CA 92408"/>
    <x v="3"/>
    <m/>
    <s v="United States"/>
    <s v="92408"/>
    <s v="Industrial"/>
    <s v="Warehouse"/>
    <m/>
    <s v="No"/>
    <s v="Inland Empire"/>
    <s v="IE-East Redlands"/>
    <n v="5933000"/>
    <s v="SF"/>
    <d v="2014-12-08T00:00:00"/>
    <n v="1"/>
    <m/>
    <s v="$"/>
    <n v="56.35"/>
    <m/>
    <s v="A-"/>
    <m/>
    <m/>
    <s v="Yes"/>
    <s v="Clarion Partners"/>
    <s v="Hillwood Properties"/>
    <m/>
    <s v="No"/>
    <m/>
    <s v="CBRE Group"/>
    <m/>
    <m/>
    <n v="0"/>
    <m/>
    <m/>
    <m/>
    <m/>
    <n v="4.7E-2"/>
    <n v="4.8187099999999997E-2"/>
    <n v="4.791285E-2"/>
    <m/>
    <m/>
    <s v="Yes"/>
  </r>
  <r>
    <s v="AC Westgate"/>
    <s v="5631 South Waterman Avenue, San Bernardino, CA 92408"/>
    <x v="1"/>
    <s v="CA"/>
    <s v="United States"/>
    <s v="92408"/>
    <s v="Industrial"/>
    <s v="Warehouse"/>
    <m/>
    <s v="No"/>
    <s v="Inland Empire"/>
    <s v="IE-East Redlands"/>
    <n v="346000"/>
    <s v="SF"/>
    <d v="2014-12-08T00:00:00"/>
    <n v="1"/>
    <m/>
    <m/>
    <m/>
    <m/>
    <s v="A-"/>
    <m/>
    <m/>
    <s v="Yes"/>
    <s v="Clarion Partners"/>
    <s v="Hillwood Properties"/>
    <m/>
    <s v="No"/>
    <m/>
    <s v="CBRE Group"/>
    <m/>
    <m/>
    <n v="0"/>
    <m/>
    <m/>
    <m/>
    <m/>
    <n v="4.7E-2"/>
    <n v="4.8187099999999997E-2"/>
    <n v="4.791285E-2"/>
    <m/>
    <m/>
    <s v="Yes"/>
  </r>
  <r>
    <s v="Redlands Corporate Center 1-3"/>
    <s v="1251 Research Drive, Redlands, CA 92374"/>
    <x v="0"/>
    <s v="CA"/>
    <s v="United States"/>
    <s v="92374"/>
    <s v="Industrial"/>
    <s v="Warehouse"/>
    <m/>
    <s v="No"/>
    <s v="Inland Empire"/>
    <s v="IE-East Redlands"/>
    <n v="404000"/>
    <s v="SF"/>
    <d v="2014-09-02T00:00:00"/>
    <n v="1"/>
    <n v="27.5"/>
    <s v="$"/>
    <n v="68.069999999999993"/>
    <m/>
    <s v="A-"/>
    <n v="4.812073E-2"/>
    <s v="Green Street Market Estimate"/>
    <s v="No"/>
    <s v="Stockbridge Capital Group"/>
    <s v="Pacific Coast Capital Partners"/>
    <m/>
    <s v="No"/>
    <m/>
    <s v="CBRE Group"/>
    <m/>
    <m/>
    <n v="0"/>
    <m/>
    <m/>
    <m/>
    <m/>
    <n v="4.7E-2"/>
    <n v="4.8187099999999997E-2"/>
    <n v="4.791285E-2"/>
    <m/>
    <m/>
    <s v="Yes"/>
  </r>
  <r>
    <s v="Redlands Industrial Centre"/>
    <s v="East San Bernardino Avenue, Redlands, CA 92408"/>
    <x v="0"/>
    <s v="CA"/>
    <s v="United States"/>
    <s v="92408"/>
    <s v="Industrial"/>
    <s v="Warehouse"/>
    <m/>
    <s v="No"/>
    <s v="Inland Empire"/>
    <s v="IE-East Redlands"/>
    <n v="586000"/>
    <s v="SF"/>
    <d v="2013-12-05T00:00:00"/>
    <n v="1"/>
    <n v="39.299999999999997"/>
    <s v="$"/>
    <n v="67.06"/>
    <m/>
    <s v="A-"/>
    <n v="5.2365059999999998E-2"/>
    <s v="Green Street Market Estimate"/>
    <s v="No"/>
    <m/>
    <s v="Kearny Real Estate"/>
    <m/>
    <s v="No"/>
    <m/>
    <s v="Colliers"/>
    <m/>
    <m/>
    <n v="0"/>
    <m/>
    <m/>
    <m/>
    <m/>
    <n v="4.7E-2"/>
    <n v="4.8187099999999997E-2"/>
    <n v="4.791285E-2"/>
    <m/>
    <m/>
    <s v="Yes"/>
  </r>
  <r>
    <s v="USAA Industrial Portfolio"/>
    <s v="2300 West San Bernardino Avenue, Redlands, CA 92374"/>
    <x v="3"/>
    <m/>
    <s v="United States"/>
    <s v="92374"/>
    <s v="Industrial"/>
    <s v="Warehouse"/>
    <m/>
    <s v="No"/>
    <s v="Inland Empire"/>
    <s v="IE-East Redlands"/>
    <n v="4839000"/>
    <s v="SF"/>
    <d v="2013-06-18T00:00:00"/>
    <n v="1"/>
    <m/>
    <s v="$"/>
    <n v="64.27"/>
    <m/>
    <s v="A-"/>
    <m/>
    <m/>
    <s v="Yes"/>
    <s v="Duke Realty"/>
    <s v="USAA Real Estate"/>
    <m/>
    <s v="No"/>
    <m/>
    <s v="CBRE Group"/>
    <m/>
    <m/>
    <n v="0"/>
    <n v="1"/>
    <m/>
    <m/>
    <m/>
    <n v="4.7E-2"/>
    <n v="4.8187099999999997E-2"/>
    <n v="4.791285E-2"/>
    <m/>
    <m/>
    <s v="Yes"/>
  </r>
  <r>
    <s v="2300 West San Bernardino Avenue"/>
    <s v="2300 West San Bernardino Avenue, Redlands, CA 92374"/>
    <x v="0"/>
    <s v="CA"/>
    <s v="United States"/>
    <s v="92374"/>
    <s v="Industrial"/>
    <s v="Warehouse"/>
    <m/>
    <s v="No"/>
    <s v="Inland Empire"/>
    <s v="IE-East Redlands"/>
    <n v="575000"/>
    <s v="SF"/>
    <d v="2013-06-18T00:00:00"/>
    <n v="1"/>
    <m/>
    <m/>
    <m/>
    <m/>
    <s v="A-"/>
    <m/>
    <m/>
    <s v="Yes"/>
    <s v="Duke Realty"/>
    <s v="USAA Real Estate"/>
    <m/>
    <s v="No"/>
    <m/>
    <s v="CBRE Group"/>
    <n v="36.893999999999998"/>
    <m/>
    <n v="0"/>
    <n v="1"/>
    <m/>
    <m/>
    <m/>
    <n v="4.7E-2"/>
    <n v="4.8187099999999997E-2"/>
    <n v="4.791285E-2"/>
    <m/>
    <m/>
    <s v="Yes"/>
  </r>
  <r>
    <s v="1601&amp;1801 East Cooley Drive"/>
    <s v="1801 East Cooley Drive, Colton, CA 92324"/>
    <x v="2"/>
    <s v="CA"/>
    <s v="United States"/>
    <s v="92324"/>
    <s v="Industrial"/>
    <s v="Warehouse"/>
    <m/>
    <s v="No"/>
    <s v="Inland Empire"/>
    <s v="IE-East Redlands"/>
    <n v="439000"/>
    <s v="SF"/>
    <d v="2008-01-08T00:00:00"/>
    <n v="1"/>
    <n v="25"/>
    <s v="$"/>
    <n v="56.95"/>
    <m/>
    <s v="A-"/>
    <n v="5.5911910000000002E-2"/>
    <s v="Green Street Market Estimate"/>
    <s v="No"/>
    <s v="Overton Moore Properties"/>
    <m/>
    <m/>
    <s v="No"/>
    <m/>
    <s v="CBRE Group"/>
    <m/>
    <m/>
    <n v="0"/>
    <m/>
    <m/>
    <m/>
    <m/>
    <n v="4.7E-2"/>
    <n v="4.8187099999999997E-2"/>
    <n v="4.791285E-2"/>
    <m/>
    <m/>
    <s v="Yes"/>
  </r>
  <r>
    <s v="Silagi Development Los Angeles/Phoenix Area portfolio"/>
    <s v="1220 Research Drive, Redlands, CA 92374"/>
    <x v="4"/>
    <s v="CA"/>
    <s v="United States"/>
    <s v="92374"/>
    <s v="Office"/>
    <s v="Warehouse"/>
    <m/>
    <s v="No"/>
    <s v="Inland Empire"/>
    <s v="IE-East Redlands"/>
    <n v="2444000"/>
    <s v="SF"/>
    <d v="2007-08-28T00:00:00"/>
    <n v="1"/>
    <m/>
    <s v="$"/>
    <n v="161.66"/>
    <m/>
    <s v="A-"/>
    <m/>
    <m/>
    <s v="Yes"/>
    <s v="Muller Co."/>
    <s v="Silagi Development &amp; Management"/>
    <m/>
    <s v="No"/>
    <m/>
    <s v="CBRE Group"/>
    <m/>
    <m/>
    <n v="0"/>
    <m/>
    <m/>
    <m/>
    <m/>
    <n v="4.7E-2"/>
    <n v="4.8187099999999997E-2"/>
    <n v="4.791285E-2"/>
    <m/>
    <m/>
    <s v="Yes"/>
  </r>
  <r>
    <s v="1110-1135"/>
    <s v="1220 Research Drive, Redlands, CA 92374"/>
    <x v="0"/>
    <s v="CA"/>
    <s v="United States"/>
    <s v="92374"/>
    <s v="Industrial"/>
    <s v="Warehouse"/>
    <m/>
    <s v="No"/>
    <s v="Inland Empire"/>
    <s v="IE-East Redlands"/>
    <n v="400000"/>
    <s v="SF"/>
    <d v="2007-08-28T00:00:00"/>
    <n v="1"/>
    <m/>
    <m/>
    <m/>
    <m/>
    <s v="A-"/>
    <m/>
    <m/>
    <s v="Yes"/>
    <s v="Muller Co."/>
    <s v="Silagi Development &amp; Management"/>
    <m/>
    <s v="No"/>
    <m/>
    <s v="CBRE Group"/>
    <m/>
    <m/>
    <n v="0"/>
    <m/>
    <m/>
    <m/>
    <m/>
    <n v="4.7E-2"/>
    <n v="4.8187099999999997E-2"/>
    <n v="4.791285E-2"/>
    <m/>
    <m/>
    <s v="Yes"/>
  </r>
  <r>
    <s v="9425 California Avenue"/>
    <s v="9425 California Street, Redlands, CA 92374"/>
    <x v="0"/>
    <s v="CA"/>
    <s v="United States"/>
    <s v="92374"/>
    <s v="Industrial"/>
    <s v="Warehouse"/>
    <m/>
    <s v="No"/>
    <s v="Inland Empire"/>
    <s v="IE-East Redlands"/>
    <n v="784000"/>
    <s v="SF"/>
    <d v="2006-12-28T00:00:00"/>
    <n v="1"/>
    <n v="54"/>
    <s v="$"/>
    <n v="68.88"/>
    <m/>
    <s v="A-"/>
    <n v="5.571152E-2"/>
    <s v="Green Street Market Estimate"/>
    <s v="No"/>
    <s v="Lamps Plus"/>
    <s v="Trammell Crow Company"/>
    <m/>
    <s v="No"/>
    <m/>
    <s v="CBRE Group"/>
    <m/>
    <m/>
    <n v="0"/>
    <m/>
    <m/>
    <m/>
    <m/>
    <n v="4.7E-2"/>
    <n v="4.8187099999999997E-2"/>
    <n v="4.791285E-2"/>
    <m/>
    <m/>
    <s v="Yes"/>
  </r>
  <r>
    <s v="Redlands Industrial Centre"/>
    <s v="26682 Almond Avenue, Redlands, CA 92374"/>
    <x v="0"/>
    <s v="CA"/>
    <s v="United States"/>
    <s v="92374"/>
    <s v="Industrial"/>
    <s v="Warehouse"/>
    <m/>
    <s v="No"/>
    <s v="Inland Empire"/>
    <s v="IE-East Redlands"/>
    <n v="584000"/>
    <s v="SF"/>
    <d v="2006-11-01T00:00:00"/>
    <n v="1"/>
    <n v="39.5"/>
    <s v="$"/>
    <n v="67.64"/>
    <m/>
    <s v="A-"/>
    <n v="5.571152E-2"/>
    <s v="Green Street Market Estimate"/>
    <s v="No"/>
    <s v="Kearny Street"/>
    <s v="Borstein Enterprises"/>
    <m/>
    <s v="No"/>
    <m/>
    <s v="CBRE Group"/>
    <m/>
    <m/>
    <n v="0"/>
    <m/>
    <m/>
    <m/>
    <m/>
    <n v="4.7E-2"/>
    <n v="4.8187099999999997E-2"/>
    <n v="4.791285E-2"/>
    <m/>
    <m/>
    <s v="Yes"/>
  </r>
  <r>
    <s v="2300 West San Bernardino Avenue"/>
    <s v="2300 West San Bernardino Avenue, Redlands, CA 92374"/>
    <x v="0"/>
    <s v="CA"/>
    <s v="United States"/>
    <s v="92374"/>
    <s v="Industrial"/>
    <s v="Warehouse"/>
    <m/>
    <s v="No"/>
    <s v="Inland Empire"/>
    <s v="IE-East Redlands"/>
    <n v="575000"/>
    <s v="SF"/>
    <d v="2005-06-05T00:00:00"/>
    <n v="1"/>
    <n v="48.6"/>
    <s v="$"/>
    <n v="84.52"/>
    <m/>
    <s v="A-"/>
    <n v="6.2362790000000001E-2"/>
    <s v="Green Street Market Estimate"/>
    <s v="No"/>
    <s v="CBRE Investment Management"/>
    <s v="USAA Real Estate"/>
    <m/>
    <s v="No"/>
    <m/>
    <s v="CBRE Group"/>
    <m/>
    <m/>
    <n v="0"/>
    <m/>
    <m/>
    <m/>
    <m/>
    <n v="4.7E-2"/>
    <n v="4.8187099999999997E-2"/>
    <n v="4.791285E-2"/>
    <m/>
    <m/>
    <s v="Yes"/>
  </r>
  <r>
    <s v="1826 West 205th Street"/>
    <s v="1826 West 205th Street, Torrance, CA 90501"/>
    <x v="5"/>
    <s v="CA"/>
    <s v="United States"/>
    <s v="90501"/>
    <s v="Industrial"/>
    <s v="Warehouse"/>
    <s v="Light Industrial"/>
    <s v="No"/>
    <s v="Los Angeles"/>
    <s v="South Bay"/>
    <n v="29158"/>
    <s v="SF"/>
    <d v="2024-09-10T00:00:00"/>
    <n v="1"/>
    <n v="12.85"/>
    <s v="$"/>
    <n v="440.7"/>
    <m/>
    <m/>
    <m/>
    <m/>
    <m/>
    <m/>
    <m/>
    <m/>
    <m/>
    <m/>
    <m/>
    <m/>
    <m/>
    <m/>
    <m/>
    <m/>
    <m/>
    <m/>
    <m/>
    <m/>
    <m/>
    <m/>
    <m/>
    <m/>
  </r>
  <r>
    <s v="19020 Anelo Avenue"/>
    <s v="19020 Anelo Avenue, Gardena, CA 90248"/>
    <x v="6"/>
    <s v="CA"/>
    <s v="United States"/>
    <s v="90248"/>
    <s v="Industrial"/>
    <s v="Warehouse"/>
    <s v="Light Industrial"/>
    <s v="No"/>
    <s v="Los Angeles"/>
    <s v="South Bay"/>
    <n v="71407.899999999994"/>
    <s v="SF"/>
    <d v="2024-07-05T00:00:00"/>
    <n v="1"/>
    <n v="19.71"/>
    <s v="$"/>
    <n v="276.02999999999997"/>
    <m/>
    <m/>
    <m/>
    <m/>
    <m/>
    <m/>
    <m/>
    <m/>
    <m/>
    <m/>
    <m/>
    <m/>
    <m/>
    <m/>
    <m/>
    <m/>
    <m/>
    <m/>
    <m/>
    <m/>
    <m/>
    <m/>
    <m/>
    <m/>
  </r>
  <r>
    <s v="690-760 West 190th Street"/>
    <s v="690 West 190th Street, Gardena, CA 90248"/>
    <x v="6"/>
    <s v="CA"/>
    <s v="United States"/>
    <s v="90248"/>
    <s v="Industrial"/>
    <s v="Warehouse"/>
    <s v="Park"/>
    <s v="No"/>
    <s v="Los Angeles"/>
    <s v="South Bay"/>
    <n v="126015"/>
    <s v="SF"/>
    <d v="2023-11-21T00:00:00"/>
    <n v="1"/>
    <n v="55"/>
    <s v="$"/>
    <n v="436.46"/>
    <m/>
    <m/>
    <m/>
    <m/>
    <m/>
    <m/>
    <m/>
    <m/>
    <m/>
    <m/>
    <m/>
    <m/>
    <m/>
    <m/>
    <m/>
    <m/>
    <m/>
    <m/>
    <m/>
    <m/>
    <m/>
    <m/>
    <m/>
    <m/>
  </r>
  <r>
    <s v="206 West 196th Street"/>
    <s v="206 West 196th Street, Torrance, CA 90502"/>
    <x v="5"/>
    <s v="CA"/>
    <s v="United States"/>
    <s v="90502"/>
    <s v="Industrial"/>
    <s v="Warehouse"/>
    <s v="Light Industrial"/>
    <s v="No"/>
    <s v="Los Angeles"/>
    <s v="South Bay"/>
    <n v="100254"/>
    <s v="SF"/>
    <d v="2023-11-15T00:00:00"/>
    <n v="1"/>
    <n v="12.02"/>
    <s v="$"/>
    <n v="119.92"/>
    <m/>
    <m/>
    <m/>
    <m/>
    <m/>
    <m/>
    <m/>
    <m/>
    <m/>
    <m/>
    <m/>
    <m/>
    <m/>
    <m/>
    <m/>
    <m/>
    <m/>
    <m/>
    <m/>
    <m/>
    <m/>
    <m/>
    <m/>
    <m/>
  </r>
  <r>
    <s v="21160 South Figueroa Street"/>
    <s v="21160 South Figueroa Street, Carson, CA 90745"/>
    <x v="7"/>
    <s v="CA"/>
    <s v="United States"/>
    <s v="90745"/>
    <s v="Industrial"/>
    <s v="Warehouse"/>
    <s v="Light Industrial"/>
    <s v="No"/>
    <s v="Los Angeles"/>
    <s v="South Bay"/>
    <n v="27388"/>
    <s v="SF"/>
    <d v="2023-10-31T00:00:00"/>
    <n v="1"/>
    <n v="11.55"/>
    <s v="$"/>
    <n v="421.72"/>
    <m/>
    <m/>
    <m/>
    <m/>
    <m/>
    <m/>
    <m/>
    <m/>
    <m/>
    <m/>
    <m/>
    <m/>
    <m/>
    <m/>
    <m/>
    <m/>
    <m/>
    <m/>
    <m/>
    <m/>
    <m/>
    <m/>
    <m/>
    <m/>
  </r>
  <r>
    <s v="18421 South Main Street"/>
    <s v="18421 South Main Street, Gardena, CA 90248"/>
    <x v="6"/>
    <s v="CA"/>
    <s v="United States"/>
    <s v="90248"/>
    <s v="Industrial"/>
    <s v="Warehouse"/>
    <s v="Light Industrial"/>
    <s v="No"/>
    <s v="Los Angeles"/>
    <s v="South Bay"/>
    <n v="53978"/>
    <s v="SF"/>
    <d v="2023-10-09T00:00:00"/>
    <n v="1"/>
    <n v="20"/>
    <s v="$"/>
    <n v="370.52"/>
    <m/>
    <m/>
    <m/>
    <m/>
    <m/>
    <m/>
    <m/>
    <m/>
    <m/>
    <m/>
    <m/>
    <m/>
    <m/>
    <m/>
    <m/>
    <m/>
    <m/>
    <m/>
    <m/>
    <m/>
    <m/>
    <m/>
    <m/>
    <m/>
  </r>
  <r>
    <s v="1580 Francisco Street"/>
    <s v="1580 Francisco Street, Torrance, CA 90501"/>
    <x v="5"/>
    <s v="CA"/>
    <s v="United States"/>
    <s v="90501"/>
    <s v="Industrial"/>
    <s v="Warehouse"/>
    <s v="Light Industrial"/>
    <s v="No"/>
    <s v="Los Angeles"/>
    <s v="South Bay"/>
    <n v="116433"/>
    <s v="SF"/>
    <d v="2023-08-09T00:00:00"/>
    <n v="1"/>
    <n v="88"/>
    <s v="$"/>
    <n v="755.8"/>
    <m/>
    <m/>
    <m/>
    <m/>
    <m/>
    <m/>
    <m/>
    <m/>
    <m/>
    <m/>
    <m/>
    <m/>
    <m/>
    <m/>
    <m/>
    <m/>
    <m/>
    <m/>
    <m/>
    <m/>
    <m/>
    <m/>
    <m/>
    <m/>
  </r>
  <r>
    <s v="1115-1117 West 190th Street"/>
    <s v="1115 West 190th Street, Gardena, CA 90248"/>
    <x v="6"/>
    <s v="CA"/>
    <s v="United States"/>
    <s v="90248"/>
    <s v="Industrial"/>
    <s v="Flex Industrial"/>
    <s v="Park"/>
    <s v="No"/>
    <s v="Los Angeles"/>
    <s v="South Bay"/>
    <n v="11746"/>
    <s v="SF"/>
    <d v="2023-03-24T00:00:00"/>
    <n v="1"/>
    <n v="5.5"/>
    <s v="$"/>
    <n v="468.24"/>
    <m/>
    <m/>
    <m/>
    <m/>
    <m/>
    <m/>
    <m/>
    <m/>
    <m/>
    <m/>
    <m/>
    <m/>
    <m/>
    <m/>
    <m/>
    <m/>
    <m/>
    <m/>
    <m/>
    <m/>
    <m/>
    <m/>
    <m/>
    <m/>
  </r>
  <r>
    <s v="555 West 189th Street"/>
    <s v="555 West 189th Street, Gardena, CA 90248"/>
    <x v="6"/>
    <s v="CA"/>
    <s v="United States"/>
    <s v="90248"/>
    <s v="Industrial"/>
    <s v="Warehouse"/>
    <s v="Light Industrial"/>
    <s v="No"/>
    <s v="Los Angeles"/>
    <s v="South Bay"/>
    <n v="34900"/>
    <s v="SF"/>
    <d v="2023-03-23T00:00:00"/>
    <n v="1"/>
    <n v="18.3"/>
    <s v="$"/>
    <n v="524.36"/>
    <m/>
    <m/>
    <m/>
    <m/>
    <m/>
    <m/>
    <m/>
    <m/>
    <m/>
    <m/>
    <m/>
    <m/>
    <m/>
    <m/>
    <m/>
    <m/>
    <m/>
    <m/>
    <m/>
    <m/>
    <m/>
    <m/>
    <m/>
    <m/>
  </r>
  <r>
    <s v="1210 Knox Street"/>
    <s v="1210 Knox Street, Torrance, CA 90502"/>
    <x v="5"/>
    <s v="CA"/>
    <s v="United States"/>
    <s v="90502"/>
    <s v="Industrial"/>
    <s v="Warehouse"/>
    <s v="Light Industrial"/>
    <s v="No"/>
    <s v="Los Angeles"/>
    <s v="South Bay"/>
    <n v="12000"/>
    <s v="SF"/>
    <d v="2023-02-01T00:00:00"/>
    <n v="1"/>
    <n v="5.65"/>
    <s v="$"/>
    <n v="471"/>
    <m/>
    <m/>
    <m/>
    <m/>
    <m/>
    <m/>
    <m/>
    <m/>
    <m/>
    <m/>
    <m/>
    <m/>
    <m/>
    <m/>
    <m/>
    <m/>
    <m/>
    <m/>
    <m/>
    <m/>
    <m/>
    <m/>
    <m/>
    <m/>
  </r>
  <r>
    <s v="1355-1361 West 190th Street"/>
    <s v="1355 West 190th Street, Gardena, CA 90248"/>
    <x v="6"/>
    <s v="CA"/>
    <s v="United States"/>
    <s v="90248"/>
    <s v="Industrial"/>
    <s v="Warehouse"/>
    <s v="Park"/>
    <s v="No"/>
    <s v="Los Angeles"/>
    <s v="South Bay"/>
    <n v="92640"/>
    <s v="SF"/>
    <d v="2023-01-23T00:00:00"/>
    <n v="1"/>
    <n v="22.7"/>
    <s v="$"/>
    <n v="245.03"/>
    <m/>
    <m/>
    <m/>
    <m/>
    <m/>
    <m/>
    <m/>
    <m/>
    <m/>
    <m/>
    <m/>
    <m/>
    <m/>
    <m/>
    <m/>
    <m/>
    <m/>
    <m/>
    <m/>
    <m/>
    <m/>
    <m/>
    <m/>
    <m/>
  </r>
  <r>
    <s v="IDI Logistics CA Industrial Portfolio"/>
    <s v="19145 Gramercy Place, Torrance, CA 90501"/>
    <x v="3"/>
    <s v="CA"/>
    <s v="United States"/>
    <s v="90501"/>
    <s v="Industrial"/>
    <s v="Warehouse"/>
    <s v="Bulk Distribution"/>
    <s v="No"/>
    <s v="Los Angeles"/>
    <s v="South Bay"/>
    <n v="511379"/>
    <s v="SF"/>
    <d v="2022-12-27T00:00:00"/>
    <n v="1"/>
    <m/>
    <s v="$"/>
    <n v="387.29"/>
    <m/>
    <m/>
    <m/>
    <m/>
    <m/>
    <m/>
    <m/>
    <m/>
    <m/>
    <m/>
    <m/>
    <m/>
    <m/>
    <m/>
    <m/>
    <m/>
    <m/>
    <m/>
    <m/>
    <m/>
    <m/>
    <m/>
    <m/>
    <m/>
  </r>
  <r>
    <s v="19145 Gramercy Place"/>
    <s v="19145 Gramercy Place, Torrance, CA 90501"/>
    <x v="5"/>
    <s v="CA"/>
    <s v="United States"/>
    <s v="90501"/>
    <s v="Industrial"/>
    <s v="Warehouse"/>
    <s v="Bulk Distribution"/>
    <s v="No"/>
    <s v="Los Angeles"/>
    <s v="South Bay"/>
    <n v="102143"/>
    <s v="SF"/>
    <d v="2022-12-27T00:00:00"/>
    <n v="1"/>
    <n v="37"/>
    <s v="$"/>
    <n v="362.24"/>
    <m/>
    <m/>
    <m/>
    <m/>
    <m/>
    <m/>
    <m/>
    <m/>
    <m/>
    <m/>
    <m/>
    <m/>
    <m/>
    <m/>
    <m/>
    <m/>
    <m/>
    <m/>
    <m/>
    <m/>
    <m/>
    <m/>
    <m/>
    <m/>
  </r>
  <r>
    <s v="21022-21034 South Figueroa Street"/>
    <s v="21022 South Figueroa Street, Carson, CA 90745"/>
    <x v="7"/>
    <s v="CA"/>
    <s v="United States"/>
    <s v="90745"/>
    <s v="Industrial"/>
    <s v="Warehouse"/>
    <m/>
    <s v="No"/>
    <s v="Los Angeles"/>
    <s v="South Bay"/>
    <n v="51185"/>
    <s v="SF"/>
    <d v="2022-09-08T00:00:00"/>
    <n v="1"/>
    <n v="24.2"/>
    <s v="$"/>
    <n v="472.79"/>
    <m/>
    <m/>
    <m/>
    <m/>
    <m/>
    <m/>
    <m/>
    <m/>
    <m/>
    <m/>
    <m/>
    <m/>
    <m/>
    <m/>
    <m/>
    <m/>
    <m/>
    <m/>
    <m/>
    <m/>
    <m/>
    <m/>
    <m/>
    <m/>
  </r>
  <r>
    <s v="20900 Normandie Avenue"/>
    <s v="20900 South Normandie Avenue, Torrance, CA 90502"/>
    <x v="5"/>
    <s v="CA"/>
    <s v="United States"/>
    <s v="90502"/>
    <s v="Industrial"/>
    <s v="Warehouse"/>
    <m/>
    <s v="No"/>
    <s v="Los Angeles"/>
    <s v="South Bay"/>
    <n v="74038"/>
    <s v="SF"/>
    <d v="2022-06-02T00:00:00"/>
    <n v="1"/>
    <n v="39.979999999999997"/>
    <s v="$"/>
    <n v="539.99"/>
    <m/>
    <m/>
    <m/>
    <m/>
    <m/>
    <m/>
    <m/>
    <m/>
    <m/>
    <m/>
    <m/>
    <m/>
    <m/>
    <m/>
    <m/>
    <m/>
    <m/>
    <m/>
    <m/>
    <m/>
    <m/>
    <m/>
    <m/>
    <m/>
  </r>
  <r>
    <s v="19475 Gramercy Place"/>
    <s v="19475 Gramercy Place, Torrance, CA 90501"/>
    <x v="5"/>
    <s v="CA"/>
    <s v="United States"/>
    <s v="90501"/>
    <s v="Industrial"/>
    <s v="Warehouse"/>
    <m/>
    <s v="No"/>
    <s v="Los Angeles"/>
    <s v="South Bay"/>
    <n v="47712"/>
    <s v="SF"/>
    <d v="2022-02-09T00:00:00"/>
    <n v="1"/>
    <n v="11.3"/>
    <s v="$"/>
    <n v="236.84"/>
    <m/>
    <m/>
    <m/>
    <m/>
    <m/>
    <m/>
    <m/>
    <m/>
    <m/>
    <m/>
    <m/>
    <m/>
    <m/>
    <m/>
    <m/>
    <m/>
    <m/>
    <m/>
    <m/>
    <m/>
    <m/>
    <m/>
    <m/>
    <m/>
  </r>
  <r>
    <s v="19875 Pacific Gateway Drive"/>
    <s v="19875 Pacific Gateway Drive, Torrance, CA 90502"/>
    <x v="5"/>
    <s v="CA"/>
    <s v="United States"/>
    <s v="90502"/>
    <s v="Industrial"/>
    <s v="Warehouse"/>
    <m/>
    <s v="No"/>
    <s v="Los Angeles"/>
    <s v="South Bay"/>
    <n v="65998"/>
    <s v="SF"/>
    <d v="2021-12-07T00:00:00"/>
    <n v="1"/>
    <n v="51.53"/>
    <s v="$"/>
    <n v="780.71"/>
    <m/>
    <m/>
    <m/>
    <m/>
    <m/>
    <m/>
    <m/>
    <m/>
    <m/>
    <m/>
    <m/>
    <m/>
    <m/>
    <m/>
    <m/>
    <m/>
    <m/>
    <m/>
    <m/>
    <m/>
    <m/>
    <m/>
    <m/>
    <m/>
  </r>
  <r>
    <s v="1972 Del Amo Boulevard"/>
    <s v="1972 Del Amo Boulevard, Torrance, CA 90501"/>
    <x v="5"/>
    <s v="CA"/>
    <s v="United States"/>
    <s v="90501"/>
    <s v="Industrial"/>
    <s v="Warehouse"/>
    <m/>
    <s v="No"/>
    <s v="Los Angeles"/>
    <s v="South Bay"/>
    <n v="20000"/>
    <s v="SF"/>
    <d v="2021-08-25T00:00:00"/>
    <n v="1"/>
    <n v="5.93"/>
    <s v="$"/>
    <n v="296.56"/>
    <m/>
    <m/>
    <m/>
    <m/>
    <m/>
    <m/>
    <m/>
    <m/>
    <m/>
    <m/>
    <m/>
    <m/>
    <m/>
    <m/>
    <m/>
    <m/>
    <m/>
    <m/>
    <m/>
    <m/>
    <m/>
    <m/>
    <m/>
    <m/>
  </r>
  <r>
    <s v="2700 California Street"/>
    <s v="2700 California Street, Torrance, CA 90503"/>
    <x v="5"/>
    <s v="CA"/>
    <s v="United States"/>
    <s v="90503"/>
    <s v="Industrial"/>
    <s v="Warehouse"/>
    <m/>
    <s v="No"/>
    <s v="Los Angeles"/>
    <s v="South Bay"/>
    <n v="135000"/>
    <s v="SF"/>
    <d v="2021-06-29T00:00:00"/>
    <n v="1"/>
    <n v="34.5"/>
    <s v="$"/>
    <n v="255.56"/>
    <m/>
    <m/>
    <m/>
    <m/>
    <m/>
    <m/>
    <m/>
    <m/>
    <m/>
    <m/>
    <m/>
    <m/>
    <m/>
    <m/>
    <m/>
    <m/>
    <m/>
    <m/>
    <m/>
    <m/>
    <m/>
    <m/>
    <m/>
    <m/>
  </r>
  <r>
    <s v="20405 Gramercy Place"/>
    <s v="20405 Gramercy Place, Torrance, CA 90501"/>
    <x v="5"/>
    <s v="CA"/>
    <s v="United States"/>
    <s v="90501"/>
    <s v="Industrial"/>
    <s v="Warehouse"/>
    <s v="Light Industrial"/>
    <s v="No"/>
    <s v="Los Angeles"/>
    <s v="South Bay"/>
    <n v="16899"/>
    <s v="SF"/>
    <d v="2021-05-12T00:00:00"/>
    <n v="1"/>
    <n v="6.29"/>
    <s v="$"/>
    <n v="372.21"/>
    <m/>
    <m/>
    <m/>
    <m/>
    <m/>
    <m/>
    <m/>
    <m/>
    <m/>
    <m/>
    <m/>
    <m/>
    <m/>
    <m/>
    <m/>
    <m/>
    <m/>
    <m/>
    <m/>
    <m/>
    <m/>
    <m/>
    <m/>
    <m/>
  </r>
  <r>
    <s v="Dedeaux Los Angeles Area Industrial Portfolio"/>
    <s v="711 Knox Street, Gardena, CA 90248"/>
    <x v="3"/>
    <s v="CA"/>
    <s v="United States"/>
    <s v="90248"/>
    <s v="Industrial"/>
    <s v="Warehouse"/>
    <m/>
    <s v="No"/>
    <s v="Los Angeles"/>
    <s v="South Bay"/>
    <n v="1335436"/>
    <s v="SF"/>
    <d v="2020-10-15T00:00:00"/>
    <n v="0.95"/>
    <m/>
    <s v="$"/>
    <n v="177.43"/>
    <m/>
    <m/>
    <m/>
    <m/>
    <m/>
    <m/>
    <m/>
    <m/>
    <m/>
    <m/>
    <m/>
    <m/>
    <m/>
    <m/>
    <m/>
    <m/>
    <m/>
    <m/>
    <m/>
    <m/>
    <m/>
    <m/>
    <m/>
    <m/>
  </r>
  <r>
    <s v="711 Knox Street"/>
    <s v="711 Knox Street, Gardena, CA 90248"/>
    <x v="6"/>
    <s v="CA"/>
    <s v="United States"/>
    <s v="90248"/>
    <s v="Industrial"/>
    <s v="Warehouse"/>
    <m/>
    <s v="No"/>
    <s v="Los Angeles"/>
    <s v="South Bay"/>
    <n v="40000"/>
    <s v="SF"/>
    <d v="2020-10-15T00:00:00"/>
    <n v="0.95"/>
    <m/>
    <m/>
    <m/>
    <m/>
    <m/>
    <m/>
    <m/>
    <m/>
    <m/>
    <m/>
    <m/>
    <m/>
    <m/>
    <m/>
    <m/>
    <m/>
    <m/>
    <m/>
    <m/>
    <m/>
    <m/>
    <m/>
    <m/>
    <m/>
    <m/>
    <m/>
    <m/>
  </r>
  <r>
    <s v="1451 Knox Street"/>
    <s v="1451 West Knox Street, Torrance, CA 90501"/>
    <x v="5"/>
    <s v="CA"/>
    <s v="United States"/>
    <s v="90501"/>
    <s v="Industrial"/>
    <s v="Warehouse"/>
    <m/>
    <s v="No"/>
    <s v="Los Angeles"/>
    <s v="South Bay"/>
    <n v="153000"/>
    <s v="SF"/>
    <d v="2020-07-30T00:00:00"/>
    <n v="1"/>
    <n v="44.23"/>
    <s v="$"/>
    <n v="289.08"/>
    <m/>
    <m/>
    <m/>
    <m/>
    <m/>
    <m/>
    <m/>
    <m/>
    <m/>
    <m/>
    <m/>
    <m/>
    <m/>
    <m/>
    <m/>
    <m/>
    <m/>
    <m/>
    <m/>
    <m/>
    <m/>
    <m/>
    <m/>
    <m/>
  </r>
  <r>
    <s v="Gateway Logistics Center"/>
    <s v="538 Crenshaw Boulevard, Torrance, CA 90503"/>
    <x v="5"/>
    <s v="CA"/>
    <s v="United States"/>
    <s v="90503"/>
    <s v="Industrial"/>
    <s v="Warehouse"/>
    <m/>
    <s v="No"/>
    <s v="Los Angeles"/>
    <s v="South Bay"/>
    <n v="174000"/>
    <s v="SF"/>
    <d v="2020-05-11T00:00:00"/>
    <n v="1"/>
    <n v="49.5"/>
    <s v="$"/>
    <n v="284.48"/>
    <m/>
    <m/>
    <m/>
    <m/>
    <m/>
    <m/>
    <m/>
    <m/>
    <m/>
    <m/>
    <m/>
    <m/>
    <m/>
    <m/>
    <m/>
    <m/>
    <m/>
    <m/>
    <m/>
    <m/>
    <m/>
    <m/>
    <m/>
    <m/>
  </r>
  <r>
    <s v="2665 Columbia Street"/>
    <s v="2665 Columbia Street, Torrance, CA 90503"/>
    <x v="5"/>
    <s v="CA"/>
    <s v="United States"/>
    <s v="90503"/>
    <s v="Industrial"/>
    <s v="Warehouse"/>
    <m/>
    <s v="No"/>
    <s v="Los Angeles"/>
    <s v="South Bay"/>
    <n v="61000"/>
    <s v="SF"/>
    <d v="2019-11-07T00:00:00"/>
    <n v="1"/>
    <n v="10.199999999999999"/>
    <s v="$"/>
    <n v="167.21"/>
    <m/>
    <m/>
    <m/>
    <m/>
    <m/>
    <m/>
    <m/>
    <m/>
    <m/>
    <m/>
    <m/>
    <m/>
    <m/>
    <m/>
    <m/>
    <m/>
    <m/>
    <m/>
    <m/>
    <m/>
    <m/>
    <m/>
    <m/>
    <m/>
  </r>
  <r>
    <s v="20917 Higgins Court"/>
    <s v="20917 Higgins Court, Torrance, CA 90501"/>
    <x v="5"/>
    <s v="CA"/>
    <s v="United States"/>
    <s v="90501"/>
    <s v="Industrial"/>
    <s v="Warehouse"/>
    <m/>
    <s v="No"/>
    <s v="Los Angeles"/>
    <s v="South Bay"/>
    <n v="31000"/>
    <s v="SF"/>
    <d v="2019-09-01T00:00:00"/>
    <n v="1"/>
    <n v="8.5"/>
    <s v="$"/>
    <n v="274.19"/>
    <m/>
    <m/>
    <m/>
    <m/>
    <m/>
    <m/>
    <m/>
    <m/>
    <m/>
    <m/>
    <m/>
    <m/>
    <m/>
    <m/>
    <m/>
    <m/>
    <m/>
    <m/>
    <m/>
    <m/>
    <m/>
    <m/>
    <m/>
    <m/>
  </r>
  <r>
    <s v="20210 South Normandie Avenue"/>
    <s v="20210 Normandie Avenue, Torrance, CA 90502"/>
    <x v="5"/>
    <s v="CA"/>
    <s v="United States"/>
    <s v="90502"/>
    <s v="Industrial"/>
    <s v="Warehouse"/>
    <m/>
    <s v="No"/>
    <s v="Los Angeles"/>
    <s v="South Bay"/>
    <n v="79000"/>
    <s v="SF"/>
    <d v="2019-03-20T00:00:00"/>
    <n v="1"/>
    <n v="16.649999999999999"/>
    <s v="$"/>
    <n v="210.76"/>
    <m/>
    <m/>
    <m/>
    <m/>
    <m/>
    <m/>
    <m/>
    <m/>
    <m/>
    <m/>
    <m/>
    <m/>
    <m/>
    <m/>
    <m/>
    <m/>
    <m/>
    <m/>
    <m/>
    <m/>
    <m/>
    <m/>
    <m/>
    <m/>
  </r>
  <r>
    <s v="Bridge Point South Bay"/>
    <s v="20333 Normandie Avenue, Torrance, CA 90502"/>
    <x v="5"/>
    <s v="CA"/>
    <s v="United States"/>
    <s v="90502"/>
    <s v="Industrial"/>
    <s v="Warehouse"/>
    <m/>
    <s v="No"/>
    <s v="Los Angeles"/>
    <s v="South Bay"/>
    <n v="512000"/>
    <s v="SF"/>
    <d v="2018-04-23T00:00:00"/>
    <n v="1"/>
    <n v="102.5"/>
    <s v="$"/>
    <n v="200.2"/>
    <m/>
    <m/>
    <m/>
    <m/>
    <m/>
    <m/>
    <m/>
    <m/>
    <m/>
    <m/>
    <m/>
    <m/>
    <m/>
    <m/>
    <m/>
    <m/>
    <m/>
    <m/>
    <m/>
    <m/>
    <m/>
    <m/>
    <m/>
    <m/>
  </r>
  <r>
    <s v="19801 South Vermont Avenue"/>
    <s v="19801 South Vermont Avenue, Torrance, CA 90502"/>
    <x v="5"/>
    <s v="CA"/>
    <s v="United States"/>
    <s v="90502"/>
    <s v="Industrial"/>
    <s v="Warehouse"/>
    <m/>
    <s v="No"/>
    <s v="Los Angeles"/>
    <s v="South Bay"/>
    <n v="98660"/>
    <s v="SF"/>
    <d v="2018-01-31T00:00:00"/>
    <n v="1"/>
    <n v="17.5"/>
    <s v="$"/>
    <n v="177.38"/>
    <m/>
    <m/>
    <m/>
    <m/>
    <m/>
    <m/>
    <m/>
    <m/>
    <m/>
    <m/>
    <m/>
    <m/>
    <m/>
    <m/>
    <m/>
    <m/>
    <m/>
    <m/>
    <m/>
    <m/>
    <m/>
    <m/>
    <m/>
    <m/>
  </r>
  <r>
    <s v="20333 South Normandie Avenue"/>
    <s v="20333 Normandie Avenue, Torrance, CA 90502"/>
    <x v="5"/>
    <s v="CA"/>
    <s v="United States"/>
    <s v="90502"/>
    <s v="Industrial"/>
    <s v="Warehouse"/>
    <m/>
    <s v="No"/>
    <s v="Los Angeles"/>
    <s v="South Bay"/>
    <n v="665000"/>
    <s v="SF"/>
    <d v="2016-07-15T00:00:00"/>
    <n v="1"/>
    <n v="43"/>
    <s v="$"/>
    <n v="64.66"/>
    <m/>
    <m/>
    <m/>
    <m/>
    <m/>
    <m/>
    <m/>
    <m/>
    <m/>
    <m/>
    <m/>
    <m/>
    <m/>
    <m/>
    <m/>
    <m/>
    <m/>
    <m/>
    <m/>
    <m/>
    <m/>
    <m/>
    <m/>
    <m/>
  </r>
  <r>
    <s v="588 Crenshaw Boulevard"/>
    <s v="588 Crenshaw Boulevard, Torrance, CA 90503"/>
    <x v="5"/>
    <s v="CA"/>
    <s v="United States"/>
    <s v="90503"/>
    <s v="Industrial"/>
    <s v="Warehouse"/>
    <m/>
    <s v="No"/>
    <s v="Los Angeles"/>
    <s v="South Bay"/>
    <n v="133000"/>
    <s v="SF"/>
    <d v="2013-09-03T00:00:00"/>
    <n v="1"/>
    <n v="33.6"/>
    <s v="$"/>
    <n v="252.63"/>
    <m/>
    <m/>
    <m/>
    <m/>
    <m/>
    <m/>
    <m/>
    <m/>
    <m/>
    <m/>
    <m/>
    <m/>
    <m/>
    <m/>
    <m/>
    <m/>
    <m/>
    <m/>
    <m/>
    <m/>
    <m/>
    <m/>
    <m/>
    <m/>
  </r>
  <r>
    <s v="4000-4100 West 190th Street"/>
    <s v="4000 West 190th Street, Torrance, CA 90504"/>
    <x v="5"/>
    <s v="CA"/>
    <s v="United States"/>
    <s v="90504"/>
    <s v="Industrial"/>
    <s v="Warehouse"/>
    <m/>
    <s v="No"/>
    <s v="Los Angeles"/>
    <s v="South Bay"/>
    <n v="363000"/>
    <s v="SF"/>
    <d v="2011-09-15T00:00:00"/>
    <n v="1"/>
    <n v="44.4"/>
    <s v="$"/>
    <n v="122.31"/>
    <m/>
    <m/>
    <m/>
    <m/>
    <m/>
    <m/>
    <m/>
    <m/>
    <m/>
    <m/>
    <m/>
    <m/>
    <m/>
    <m/>
    <m/>
    <m/>
    <m/>
    <m/>
    <m/>
    <m/>
    <m/>
    <m/>
    <m/>
    <m/>
  </r>
  <r>
    <s v="20000 South Western Avenue"/>
    <s v="20000 South Western Avenue, Torrance, CA 90501"/>
    <x v="5"/>
    <s v="CA"/>
    <s v="United States"/>
    <s v="90501"/>
    <s v="Industrial"/>
    <s v="Warehouse"/>
    <m/>
    <s v="No"/>
    <s v="Los Angeles"/>
    <s v="South Bay"/>
    <n v="434000"/>
    <s v="SF"/>
    <d v="2007-03-01T00:00:00"/>
    <n v="1"/>
    <n v="81.819999999999993"/>
    <s v="$"/>
    <n v="188.52"/>
    <m/>
    <m/>
    <m/>
    <m/>
    <m/>
    <m/>
    <m/>
    <m/>
    <m/>
    <m/>
    <m/>
    <m/>
    <m/>
    <m/>
    <m/>
    <m/>
    <m/>
    <m/>
    <m/>
    <m/>
    <m/>
    <m/>
    <m/>
    <m/>
  </r>
  <r>
    <s v="Prentiss Properties portfolio"/>
    <s v="19780 Pacific Gateway Drive, Torrance, CA 90502"/>
    <x v="5"/>
    <s v="CA"/>
    <s v="United States"/>
    <s v="90502"/>
    <s v="Industrial"/>
    <s v="Warehouse"/>
    <m/>
    <s v="No"/>
    <s v="Los Angeles"/>
    <s v="South Bay"/>
    <n v="4324000"/>
    <s v="SF"/>
    <d v="2006-01-01T00:00:00"/>
    <n v="1"/>
    <m/>
    <s v="$"/>
    <n v="172.92"/>
    <m/>
    <m/>
    <m/>
    <m/>
    <m/>
    <m/>
    <m/>
    <m/>
    <m/>
    <m/>
    <m/>
    <m/>
    <m/>
    <m/>
    <m/>
    <m/>
    <m/>
    <m/>
    <m/>
    <m/>
    <m/>
    <m/>
    <m/>
    <m/>
  </r>
  <r>
    <s v="Pacific Gateway Center"/>
    <s v="19780 Pacific Gateway Drive, Torrance, CA 90502"/>
    <x v="5"/>
    <s v="CA"/>
    <s v="United States"/>
    <s v="90502"/>
    <s v="Industrial"/>
    <s v="Warehouse"/>
    <m/>
    <s v="No"/>
    <s v="Los Angeles"/>
    <s v="South Bay"/>
    <n v="1253000"/>
    <s v="SF"/>
    <d v="2006-01-01T00:00:00"/>
    <n v="1"/>
    <m/>
    <m/>
    <m/>
    <m/>
    <m/>
    <m/>
    <m/>
    <m/>
    <m/>
    <m/>
    <m/>
    <m/>
    <m/>
    <m/>
    <m/>
    <m/>
    <m/>
    <m/>
    <m/>
    <m/>
    <m/>
    <m/>
    <m/>
    <m/>
    <m/>
    <m/>
    <m/>
  </r>
  <r>
    <s v="Starboard Distribution Center"/>
    <s v="2027 Harpers Way, Torrance, CA 90501"/>
    <x v="5"/>
    <s v="CA"/>
    <s v="United States"/>
    <s v="90501"/>
    <s v="Industrial"/>
    <s v="Warehouse"/>
    <m/>
    <s v="No"/>
    <s v="Los Angeles"/>
    <s v="South Bay"/>
    <n v="559000"/>
    <s v="SF"/>
    <d v="2005-06-05T00:00:00"/>
    <n v="1"/>
    <n v="38.700000000000003"/>
    <s v="$"/>
    <n v="69.23"/>
    <m/>
    <m/>
    <m/>
    <m/>
    <m/>
    <m/>
    <m/>
    <m/>
    <m/>
    <m/>
    <m/>
    <m/>
    <m/>
    <m/>
    <m/>
    <m/>
    <m/>
    <m/>
    <m/>
    <m/>
    <m/>
    <m/>
    <m/>
    <m/>
  </r>
  <r>
    <s v="Harbor Gateway Industrial Center"/>
    <s v="19400 Harborgate Way, Torrance, CA 90501"/>
    <x v="5"/>
    <s v="CA"/>
    <s v="United States"/>
    <s v="90501"/>
    <s v="Industrial"/>
    <s v="Warehouse"/>
    <m/>
    <s v="No"/>
    <s v="Los Angeles"/>
    <s v="South Bay"/>
    <n v="860000"/>
    <s v="SF"/>
    <d v="2004-09-01T00:00:00"/>
    <n v="1"/>
    <n v="65"/>
    <s v="$"/>
    <n v="75.58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C94810-A6B0-4B1D-B33D-7CC86312CDF0}" name="PivotTable2" cacheId="16" applyNumberFormats="0" applyBorderFormats="0" applyFontFormats="0" applyPatternFormats="0" applyAlignmentFormats="0" applyWidthHeightFormats="1" dataCaption="Values" showError="1" updatedVersion="8" minRefreshableVersion="3" showDrill="0" rowGrandTotals="0" colGrandTotals="0" itemPrintTitles="1" createdVersion="8" indent="0" showHeaders="0" compact="0" outline="1" outlineData="1" compactData="0" multipleFieldFilters="0" chartFormat="5">
  <location ref="B3:I40" firstHeaderRow="0" firstDataRow="1" firstDataCol="3"/>
  <pivotFields count="8">
    <pivotField dataField="1" compact="0" showAll="0" defaultSubtotal="0"/>
    <pivotField dataField="1" compact="0" showAll="0" defaultSubtotal="0"/>
    <pivotField axis="axisRow" compact="0" allDrilled="1" showAll="0" dataSourceSort="1" defaultAttributeDrillState="1">
      <items count="3">
        <item x="0"/>
        <item x="1"/>
        <item t="default"/>
      </items>
    </pivotField>
    <pivotField axis="axisRow" compact="0" allDrilled="1" showAll="0" defaultAttributeDrillState="1">
      <items count="8">
        <item x="0"/>
        <item x="1"/>
        <item x="2"/>
        <item x="3"/>
        <item x="4"/>
        <item x="5"/>
        <item x="6"/>
        <item t="default"/>
      </items>
    </pivotField>
    <pivotField axis="axisRow" compact="0" allDrilled="1" showAll="0" dataSourceSort="1" defaultAttributeDrillState="1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compact="0" showAll="0"/>
    <pivotField dataField="1" compact="0" showAll="0"/>
    <pivotField dataField="1" compact="0" showAll="0"/>
  </pivotFields>
  <rowFields count="3">
    <field x="2"/>
    <field x="3"/>
    <field x="4"/>
  </rowFields>
  <rowItems count="37">
    <i>
      <x/>
    </i>
    <i r="1">
      <x/>
    </i>
    <i r="2">
      <x/>
    </i>
    <i r="1">
      <x v="1"/>
    </i>
    <i r="2">
      <x/>
    </i>
    <i r="2">
      <x v="1"/>
    </i>
    <i r="1">
      <x v="2"/>
    </i>
    <i r="2">
      <x v="2"/>
    </i>
    <i r="2">
      <x v="3"/>
    </i>
    <i r="2">
      <x/>
    </i>
    <i r="2">
      <x v="4"/>
    </i>
    <i r="2">
      <x v="5"/>
    </i>
    <i r="2">
      <x v="1"/>
    </i>
    <i r="2">
      <x v="6"/>
    </i>
    <i r="2">
      <x v="7"/>
    </i>
    <i r="1">
      <x v="3"/>
    </i>
    <i r="2">
      <x v="2"/>
    </i>
    <i r="2">
      <x/>
    </i>
    <i r="2">
      <x v="5"/>
    </i>
    <i r="2">
      <x v="1"/>
    </i>
    <i>
      <x v="1"/>
    </i>
    <i r="1">
      <x v="4"/>
    </i>
    <i r="2">
      <x v="2"/>
    </i>
    <i r="2">
      <x v="3"/>
    </i>
    <i r="2">
      <x/>
    </i>
    <i r="2">
      <x v="1"/>
    </i>
    <i r="1">
      <x v="5"/>
    </i>
    <i r="2">
      <x v="2"/>
    </i>
    <i r="2">
      <x v="1"/>
    </i>
    <i r="1">
      <x v="6"/>
    </i>
    <i r="2">
      <x v="2"/>
    </i>
    <i r="2">
      <x v="3"/>
    </i>
    <i r="2">
      <x/>
    </i>
    <i r="2">
      <x v="4"/>
    </i>
    <i r="2">
      <x v="1"/>
    </i>
    <i r="2">
      <x v="6"/>
    </i>
    <i r="2">
      <x v="7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" fld="0" subtotal="count" baseField="0" baseItem="0"/>
    <dataField name="Min" fld="5" subtotal="min" baseField="2" baseItem="0" numFmtId="164"/>
    <dataField name="Max" fld="6" subtotal="max" baseField="2" baseItem="0" numFmtId="164"/>
    <dataField name="SD" fld="7" subtotal="stdDev" baseField="2" baseItem="0" numFmtId="164"/>
    <dataField name="Average Effective Rent" fld="1" subtotal="average" baseField="4" baseItem="0" numFmtId="164"/>
  </dataFields>
  <formats count="98">
    <format dxfId="142">
      <pivotArea fieldPosition="0">
        <references count="1">
          <reference field="2" count="1">
            <x v="0"/>
          </reference>
        </references>
      </pivotArea>
    </format>
    <format dxfId="141">
      <pivotArea dataOnly="0" labelOnly="1" outline="0" fieldPosition="0">
        <references count="1">
          <reference field="2" count="1">
            <x v="0"/>
          </reference>
        </references>
      </pivotArea>
    </format>
    <format dxfId="140">
      <pivotArea fieldPosition="0">
        <references count="1">
          <reference field="2" count="1">
            <x v="0"/>
          </reference>
        </references>
      </pivotArea>
    </format>
    <format dxfId="139">
      <pivotArea fieldPosition="0">
        <references count="1">
          <reference field="2" count="1">
            <x v="1"/>
          </reference>
        </references>
      </pivotArea>
    </format>
    <format dxfId="138">
      <pivotArea dataOnly="0" labelOnly="1" outline="0" fieldPosition="0">
        <references count="1">
          <reference field="2" count="1">
            <x v="1"/>
          </reference>
        </references>
      </pivotArea>
    </format>
    <format dxfId="137">
      <pivotArea fieldPosition="0">
        <references count="1">
          <reference field="2" count="1">
            <x v="1"/>
          </reference>
        </references>
      </pivotArea>
    </format>
    <format dxfId="136">
      <pivotArea outline="0" collapsedLevelsAreSubtotals="1" fieldPosition="0"/>
    </format>
    <format dxfId="135">
      <pivotArea dataOnly="0" labelOnly="1" outline="0" fieldPosition="0">
        <references count="1">
          <reference field="2" count="0"/>
        </references>
      </pivotArea>
    </format>
    <format dxfId="134">
      <pivotArea dataOnly="0" labelOnly="1" outline="0" fieldPosition="0">
        <references count="2">
          <reference field="2" count="1" selected="0">
            <x v="0"/>
          </reference>
          <reference field="3" count="4">
            <x v="0"/>
            <x v="1"/>
            <x v="2"/>
            <x v="3"/>
          </reference>
        </references>
      </pivotArea>
    </format>
    <format dxfId="133">
      <pivotArea dataOnly="0" labelOnly="1" outline="0" fieldPosition="0">
        <references count="2">
          <reference field="2" count="1" selected="0">
            <x v="1"/>
          </reference>
          <reference field="3" count="3">
            <x v="4"/>
            <x v="5"/>
            <x v="6"/>
          </reference>
        </references>
      </pivotArea>
    </format>
    <format dxfId="132">
      <pivotArea dataOnly="0" labelOnly="1" outline="0" fieldPosition="0">
        <references count="3"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131">
      <pivotArea dataOnly="0" labelOnly="1" outline="0" fieldPosition="0">
        <references count="3">
          <reference field="2" count="1" selected="0">
            <x v="0"/>
          </reference>
          <reference field="3" count="1" selected="0">
            <x v="1"/>
          </reference>
          <reference field="4" count="2">
            <x v="0"/>
            <x v="1"/>
          </reference>
        </references>
      </pivotArea>
    </format>
    <format dxfId="130">
      <pivotArea dataOnly="0" labelOnly="1" outline="0" fieldPosition="0">
        <references count="3">
          <reference field="2" count="1" selected="0">
            <x v="0"/>
          </reference>
          <reference field="3" count="1" selected="0">
            <x v="2"/>
          </reference>
          <reference field="4" count="0"/>
        </references>
      </pivotArea>
    </format>
    <format dxfId="129">
      <pivotArea dataOnly="0" labelOnly="1" outline="0" fieldPosition="0">
        <references count="3">
          <reference field="2" count="1" selected="0">
            <x v="0"/>
          </reference>
          <reference field="3" count="1" selected="0">
            <x v="3"/>
          </reference>
          <reference field="4" count="4">
            <x v="0"/>
            <x v="1"/>
            <x v="2"/>
            <x v="5"/>
          </reference>
        </references>
      </pivotArea>
    </format>
    <format dxfId="128">
      <pivotArea dataOnly="0" labelOnly="1" outline="0" fieldPosition="0">
        <references count="3">
          <reference field="2" count="1" selected="0">
            <x v="1"/>
          </reference>
          <reference field="3" count="1" selected="0">
            <x v="4"/>
          </reference>
          <reference field="4" count="4">
            <x v="0"/>
            <x v="1"/>
            <x v="2"/>
            <x v="3"/>
          </reference>
        </references>
      </pivotArea>
    </format>
    <format dxfId="127">
      <pivotArea dataOnly="0" labelOnly="1" outline="0" fieldPosition="0">
        <references count="3">
          <reference field="2" count="1" selected="0">
            <x v="1"/>
          </reference>
          <reference field="3" count="1" selected="0">
            <x v="5"/>
          </reference>
          <reference field="4" count="2">
            <x v="1"/>
            <x v="2"/>
          </reference>
        </references>
      </pivotArea>
    </format>
    <format dxfId="126">
      <pivotArea dataOnly="0" labelOnly="1" outline="0" fieldPosition="0">
        <references count="3">
          <reference field="2" count="1" selected="0">
            <x v="1"/>
          </reference>
          <reference field="3" count="1" selected="0">
            <x v="6"/>
          </reference>
          <reference field="4" count="7">
            <x v="0"/>
            <x v="1"/>
            <x v="2"/>
            <x v="3"/>
            <x v="4"/>
            <x v="6"/>
            <x v="7"/>
          </reference>
        </references>
      </pivotArea>
    </format>
    <format dxfId="125">
      <pivotArea dataOnly="0" labelOnly="1" outline="0" fieldPosition="0">
        <references count="2">
          <reference field="2" count="1" selected="0">
            <x v="0"/>
          </reference>
          <reference field="3" count="1">
            <x v="0"/>
          </reference>
        </references>
      </pivotArea>
    </format>
    <format dxfId="124">
      <pivotArea dataOnly="0" labelOnly="1" outline="0" fieldPosition="0">
        <references count="2">
          <reference field="2" count="1" selected="0">
            <x v="0"/>
          </reference>
          <reference field="3" count="1">
            <x v="1"/>
          </reference>
        </references>
      </pivotArea>
    </format>
    <format dxfId="123">
      <pivotArea dataOnly="0" labelOnly="1" outline="0" fieldPosition="0">
        <references count="2">
          <reference field="2" count="1" selected="0">
            <x v="0"/>
          </reference>
          <reference field="3" count="1">
            <x v="2"/>
          </reference>
        </references>
      </pivotArea>
    </format>
    <format dxfId="122">
      <pivotArea dataOnly="0" labelOnly="1" outline="0" fieldPosition="0">
        <references count="2">
          <reference field="2" count="1" selected="0">
            <x v="0"/>
          </reference>
          <reference field="3" count="1">
            <x v="3"/>
          </reference>
        </references>
      </pivotArea>
    </format>
    <format dxfId="121">
      <pivotArea dataOnly="0" labelOnly="1" outline="0" fieldPosition="0">
        <references count="2">
          <reference field="2" count="1" selected="0">
            <x v="1"/>
          </reference>
          <reference field="3" count="1">
            <x v="4"/>
          </reference>
        </references>
      </pivotArea>
    </format>
    <format dxfId="120">
      <pivotArea dataOnly="0" labelOnly="1" outline="0" fieldPosition="0">
        <references count="2">
          <reference field="2" count="1" selected="0">
            <x v="1"/>
          </reference>
          <reference field="3" count="1">
            <x v="5"/>
          </reference>
        </references>
      </pivotArea>
    </format>
    <format dxfId="119">
      <pivotArea dataOnly="0" labelOnly="1" outline="0" fieldPosition="0">
        <references count="2">
          <reference field="2" count="1" selected="0">
            <x v="1"/>
          </reference>
          <reference field="3" count="1">
            <x v="6"/>
          </reference>
        </references>
      </pivotArea>
    </format>
    <format dxfId="118">
      <pivotArea fieldPosition="0">
        <references count="2">
          <reference field="2" count="1" selected="0">
            <x v="1"/>
          </reference>
          <reference field="3" count="1">
            <x v="6"/>
          </reference>
        </references>
      </pivotArea>
    </format>
    <format dxfId="117">
      <pivotArea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116">
      <pivotArea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115">
      <pivotArea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114">
      <pivotArea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113">
      <pivotArea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>
            <x v="1"/>
          </reference>
        </references>
      </pivotArea>
    </format>
    <format dxfId="112">
      <pivotArea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111">
      <pivotArea fieldPosition="0">
        <references count="3"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110">
      <pivotArea fieldPosition="0">
        <references count="3">
          <reference field="2" count="1" selected="0">
            <x v="0"/>
          </reference>
          <reference field="3" count="1" selected="0">
            <x v="1"/>
          </reference>
          <reference field="4" count="2">
            <x v="0"/>
            <x v="1"/>
          </reference>
        </references>
      </pivotArea>
    </format>
    <format dxfId="109">
      <pivotArea fieldPosition="0">
        <references count="3">
          <reference field="2" count="1" selected="0">
            <x v="0"/>
          </reference>
          <reference field="3" count="1" selected="0">
            <x v="2"/>
          </reference>
          <reference field="4" count="0"/>
        </references>
      </pivotArea>
    </format>
    <format dxfId="108">
      <pivotArea fieldPosition="0">
        <references count="3">
          <reference field="2" count="1" selected="0">
            <x v="0"/>
          </reference>
          <reference field="3" count="1" selected="0">
            <x v="3"/>
          </reference>
          <reference field="4" count="4">
            <x v="0"/>
            <x v="1"/>
            <x v="2"/>
            <x v="5"/>
          </reference>
        </references>
      </pivotArea>
    </format>
    <format dxfId="107">
      <pivotArea fieldPosition="0">
        <references count="3">
          <reference field="2" count="1" selected="0">
            <x v="1"/>
          </reference>
          <reference field="3" count="1" selected="0">
            <x v="4"/>
          </reference>
          <reference field="4" count="4">
            <x v="0"/>
            <x v="1"/>
            <x v="2"/>
            <x v="3"/>
          </reference>
        </references>
      </pivotArea>
    </format>
    <format dxfId="106">
      <pivotArea fieldPosition="0">
        <references count="3">
          <reference field="2" count="1" selected="0">
            <x v="1"/>
          </reference>
          <reference field="3" count="1" selected="0">
            <x v="5"/>
          </reference>
          <reference field="4" count="2">
            <x v="1"/>
            <x v="2"/>
          </reference>
        </references>
      </pivotArea>
    </format>
    <format dxfId="105">
      <pivotArea fieldPosition="0">
        <references count="3">
          <reference field="2" count="1" selected="0">
            <x v="1"/>
          </reference>
          <reference field="3" count="1" selected="0">
            <x v="6"/>
          </reference>
          <reference field="4" count="7">
            <x v="0"/>
            <x v="1"/>
            <x v="2"/>
            <x v="3"/>
            <x v="4"/>
            <x v="6"/>
            <x v="7"/>
          </reference>
        </references>
      </pivotArea>
    </format>
    <format dxfId="104">
      <pivotArea fieldPosition="0">
        <references count="3">
          <reference field="2" count="1" selected="0">
            <x v="1"/>
          </reference>
          <reference field="3" count="1" selected="0">
            <x v="6"/>
          </reference>
          <reference field="4" count="1">
            <x v="7"/>
          </reference>
        </references>
      </pivotArea>
    </format>
    <format dxfId="103">
      <pivotArea dataOnly="0" labelOnly="1" outline="0" fieldPosition="0">
        <references count="1">
          <reference field="4294967294" count="2">
            <x v="1"/>
            <x v="4"/>
          </reference>
        </references>
      </pivotArea>
    </format>
    <format dxfId="102">
      <pivotArea outline="0" fieldPosition="0">
        <references count="1">
          <reference field="4294967294" count="1" selected="0">
            <x v="0"/>
          </reference>
        </references>
      </pivotArea>
    </format>
    <format dxfId="10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0">
      <pivotArea dataOnly="0" labelOnly="1" outline="0" fieldPosition="0">
        <references count="2">
          <reference field="2" count="1" selected="0">
            <x v="0"/>
          </reference>
          <reference field="3" count="1">
            <x v="3"/>
          </reference>
        </references>
      </pivotArea>
    </format>
    <format dxfId="99">
      <pivotArea dataOnly="0" labelOnly="1" outline="0" fieldPosition="0">
        <references count="2">
          <reference field="2" count="1" selected="0">
            <x v="0"/>
          </reference>
          <reference field="3" count="1">
            <x v="2"/>
          </reference>
        </references>
      </pivotArea>
    </format>
    <format dxfId="98">
      <pivotArea dataOnly="0" labelOnly="1" outline="0" fieldPosition="0">
        <references count="2">
          <reference field="2" count="1" selected="0">
            <x v="0"/>
          </reference>
          <reference field="3" count="1">
            <x v="1"/>
          </reference>
        </references>
      </pivotArea>
    </format>
    <format dxfId="97">
      <pivotArea dataOnly="0" labelOnly="1" outline="0" fieldPosition="0">
        <references count="2">
          <reference field="2" count="1" selected="0">
            <x v="0"/>
          </reference>
          <reference field="3" count="1">
            <x v="0"/>
          </reference>
        </references>
      </pivotArea>
    </format>
    <format dxfId="96">
      <pivotArea outline="0" fieldPosition="0">
        <references count="1">
          <reference field="4294967294" count="1">
            <x v="1"/>
          </reference>
        </references>
      </pivotArea>
    </format>
    <format dxfId="95">
      <pivotArea outline="0" fieldPosition="0">
        <references count="1">
          <reference field="4294967294" count="1">
            <x v="2"/>
          </reference>
        </references>
      </pivotArea>
    </format>
    <format dxfId="94">
      <pivotArea outline="0" fieldPosition="0">
        <references count="1">
          <reference field="4294967294" count="4" selected="0">
            <x v="1"/>
            <x v="2"/>
            <x v="3"/>
            <x v="4"/>
          </reference>
        </references>
      </pivotArea>
    </format>
    <format dxfId="93">
      <pivotArea outline="0" fieldPosition="0">
        <references count="1">
          <reference field="4294967294" count="4" selected="0">
            <x v="1"/>
            <x v="2"/>
            <x v="3"/>
            <x v="4"/>
          </reference>
        </references>
      </pivotArea>
    </format>
    <format dxfId="92">
      <pivotArea outline="0" fieldPosition="0">
        <references count="1">
          <reference field="4294967294" count="1">
            <x v="3"/>
          </reference>
        </references>
      </pivotArea>
    </format>
    <format dxfId="91">
      <pivotArea fieldPosition="0">
        <references count="1">
          <reference field="2" count="1">
            <x v="0"/>
          </reference>
        </references>
      </pivotArea>
    </format>
    <format dxfId="90">
      <pivotArea dataOnly="0" labelOnly="1" outline="0" fieldPosition="0">
        <references count="1">
          <reference field="2" count="1">
            <x v="0"/>
          </reference>
        </references>
      </pivotArea>
    </format>
    <format dxfId="89">
      <pivotArea fieldPosition="0">
        <references count="1">
          <reference field="2" count="1">
            <x v="1"/>
          </reference>
        </references>
      </pivotArea>
    </format>
    <format dxfId="88">
      <pivotArea dataOnly="0" labelOnly="1" outline="0" fieldPosition="0">
        <references count="1">
          <reference field="2" count="1">
            <x v="1"/>
          </reference>
        </references>
      </pivotArea>
    </format>
    <format dxfId="87">
      <pivotArea fieldPosition="0">
        <references count="2">
          <reference field="2" count="1" selected="0">
            <x v="0"/>
          </reference>
          <reference field="3" count="1">
            <x v="2"/>
          </reference>
        </references>
      </pivotArea>
    </format>
    <format dxfId="86">
      <pivotArea dataOnly="0" labelOnly="1" outline="0" fieldPosition="0">
        <references count="2">
          <reference field="2" count="1" selected="0">
            <x v="0"/>
          </reference>
          <reference field="3" count="1">
            <x v="2"/>
          </reference>
        </references>
      </pivotArea>
    </format>
    <format dxfId="85">
      <pivotArea dataOnly="0" labelOnly="1" outline="0" offset="A256" fieldPosition="0">
        <references count="2">
          <reference field="2" count="1" selected="0">
            <x v="0"/>
          </reference>
          <reference field="3" count="1">
            <x v="1"/>
          </reference>
        </references>
      </pivotArea>
    </format>
    <format dxfId="84">
      <pivotArea dataOnly="0" labelOnly="1" outline="0" offset="A256" fieldPosition="0">
        <references count="2">
          <reference field="2" count="1" selected="0">
            <x v="0"/>
          </reference>
          <reference field="3" count="1">
            <x v="0"/>
          </reference>
        </references>
      </pivotArea>
    </format>
    <format dxfId="83">
      <pivotArea dataOnly="0" labelOnly="1" outline="0" offset="A256" fieldPosition="0">
        <references count="2">
          <reference field="2" count="1" selected="0">
            <x v="0"/>
          </reference>
          <reference field="3" count="1">
            <x v="3"/>
          </reference>
        </references>
      </pivotArea>
    </format>
    <format dxfId="82">
      <pivotArea fieldPosition="0">
        <references count="2">
          <reference field="2" count="1" selected="0">
            <x v="1"/>
          </reference>
          <reference field="3" count="1">
            <x v="4"/>
          </reference>
        </references>
      </pivotArea>
    </format>
    <format dxfId="81">
      <pivotArea dataOnly="0" labelOnly="1" outline="0" fieldPosition="0">
        <references count="2">
          <reference field="2" count="1" selected="0">
            <x v="1"/>
          </reference>
          <reference field="3" count="1">
            <x v="4"/>
          </reference>
        </references>
      </pivotArea>
    </format>
    <format dxfId="80">
      <pivotArea dataOnly="0" labelOnly="1" outline="0" offset="A256" fieldPosition="0">
        <references count="2">
          <reference field="2" count="1" selected="0">
            <x v="1"/>
          </reference>
          <reference field="3" count="1">
            <x v="5"/>
          </reference>
        </references>
      </pivotArea>
    </format>
    <format dxfId="79">
      <pivotArea dataOnly="0" labelOnly="1" outline="0" offset="A256" fieldPosition="0">
        <references count="2">
          <reference field="2" count="1" selected="0">
            <x v="1"/>
          </reference>
          <reference field="3" count="1">
            <x v="6"/>
          </reference>
        </references>
      </pivotArea>
    </format>
    <format dxfId="78">
      <pivotArea type="all" dataOnly="0" outline="0" fieldPosition="0"/>
    </format>
    <format dxfId="77">
      <pivotArea outline="0" collapsedLevelsAreSubtotals="1" fieldPosition="0"/>
    </format>
    <format dxfId="76">
      <pivotArea dataOnly="0" labelOnly="1" outline="0" fieldPosition="0">
        <references count="1">
          <reference field="2" count="0"/>
        </references>
      </pivotArea>
    </format>
    <format dxfId="75">
      <pivotArea dataOnly="0" labelOnly="1" outline="0" fieldPosition="0">
        <references count="2">
          <reference field="2" count="1" selected="0">
            <x v="0"/>
          </reference>
          <reference field="3" count="4">
            <x v="0"/>
            <x v="1"/>
            <x v="2"/>
            <x v="3"/>
          </reference>
        </references>
      </pivotArea>
    </format>
    <format dxfId="74">
      <pivotArea dataOnly="0" labelOnly="1" outline="0" fieldPosition="0">
        <references count="2">
          <reference field="2" count="1" selected="0">
            <x v="1"/>
          </reference>
          <reference field="3" count="3">
            <x v="4"/>
            <x v="5"/>
            <x v="6"/>
          </reference>
        </references>
      </pivotArea>
    </format>
    <format dxfId="73">
      <pivotArea dataOnly="0" labelOnly="1" outline="0" fieldPosition="0">
        <references count="3"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72">
      <pivotArea dataOnly="0" labelOnly="1" outline="0" fieldPosition="0">
        <references count="3">
          <reference field="2" count="1" selected="0">
            <x v="0"/>
          </reference>
          <reference field="3" count="1" selected="0">
            <x v="1"/>
          </reference>
          <reference field="4" count="2">
            <x v="0"/>
            <x v="1"/>
          </reference>
        </references>
      </pivotArea>
    </format>
    <format dxfId="71">
      <pivotArea dataOnly="0" labelOnly="1" outline="0" fieldPosition="0">
        <references count="3">
          <reference field="2" count="1" selected="0">
            <x v="0"/>
          </reference>
          <reference field="3" count="1" selected="0">
            <x v="2"/>
          </reference>
          <reference field="4" count="0"/>
        </references>
      </pivotArea>
    </format>
    <format dxfId="70">
      <pivotArea dataOnly="0" labelOnly="1" outline="0" fieldPosition="0">
        <references count="3">
          <reference field="2" count="1" selected="0">
            <x v="0"/>
          </reference>
          <reference field="3" count="1" selected="0">
            <x v="3"/>
          </reference>
          <reference field="4" count="4">
            <x v="0"/>
            <x v="1"/>
            <x v="2"/>
            <x v="5"/>
          </reference>
        </references>
      </pivotArea>
    </format>
    <format dxfId="69">
      <pivotArea dataOnly="0" labelOnly="1" outline="0" fieldPosition="0">
        <references count="3">
          <reference field="2" count="1" selected="0">
            <x v="1"/>
          </reference>
          <reference field="3" count="1" selected="0">
            <x v="4"/>
          </reference>
          <reference field="4" count="4">
            <x v="0"/>
            <x v="1"/>
            <x v="2"/>
            <x v="3"/>
          </reference>
        </references>
      </pivotArea>
    </format>
    <format dxfId="68">
      <pivotArea dataOnly="0" labelOnly="1" outline="0" fieldPosition="0">
        <references count="3">
          <reference field="2" count="1" selected="0">
            <x v="1"/>
          </reference>
          <reference field="3" count="1" selected="0">
            <x v="5"/>
          </reference>
          <reference field="4" count="2">
            <x v="1"/>
            <x v="2"/>
          </reference>
        </references>
      </pivotArea>
    </format>
    <format dxfId="67">
      <pivotArea dataOnly="0" labelOnly="1" outline="0" fieldPosition="0">
        <references count="3">
          <reference field="2" count="1" selected="0">
            <x v="1"/>
          </reference>
          <reference field="3" count="1" selected="0">
            <x v="6"/>
          </reference>
          <reference field="4" count="7">
            <x v="0"/>
            <x v="1"/>
            <x v="2"/>
            <x v="3"/>
            <x v="4"/>
            <x v="6"/>
            <x v="7"/>
          </reference>
        </references>
      </pivotArea>
    </format>
    <format dxfId="6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65">
      <pivotArea fieldPosition="0">
        <references count="2">
          <reference field="2" count="1" selected="0">
            <x v="1"/>
          </reference>
          <reference field="3" count="1">
            <x v="4"/>
          </reference>
        </references>
      </pivotArea>
    </format>
    <format dxfId="64">
      <pivotArea dataOnly="0" labelOnly="1" outline="0" fieldPosition="0">
        <references count="2">
          <reference field="2" count="1" selected="0">
            <x v="1"/>
          </reference>
          <reference field="3" count="1">
            <x v="4"/>
          </reference>
        </references>
      </pivotArea>
    </format>
    <format dxfId="63">
      <pivotArea dataOnly="0" labelOnly="1" outline="0" offset="A256" fieldPosition="0">
        <references count="2">
          <reference field="2" count="1" selected="0">
            <x v="1"/>
          </reference>
          <reference field="3" count="1">
            <x v="6"/>
          </reference>
        </references>
      </pivotArea>
    </format>
    <format dxfId="62">
      <pivotArea fieldPosition="0">
        <references count="2">
          <reference field="2" count="1" selected="0">
            <x v="1"/>
          </reference>
          <reference field="3" count="1">
            <x v="6"/>
          </reference>
        </references>
      </pivotArea>
    </format>
    <format dxfId="61">
      <pivotArea dataOnly="0" labelOnly="1" outline="0" fieldPosition="0">
        <references count="2">
          <reference field="2" count="1" selected="0">
            <x v="1"/>
          </reference>
          <reference field="3" count="1">
            <x v="6"/>
          </reference>
        </references>
      </pivotArea>
    </format>
    <format dxfId="60">
      <pivotArea dataOnly="0" labelOnly="1" outline="0" offset="A256" fieldPosition="0">
        <references count="2">
          <reference field="2" count="1" selected="0">
            <x v="1"/>
          </reference>
          <reference field="3" count="1">
            <x v="5"/>
          </reference>
        </references>
      </pivotArea>
    </format>
    <format dxfId="59">
      <pivotArea dataOnly="0" labelOnly="1" outline="0" offset="A256" fieldPosition="0">
        <references count="2">
          <reference field="2" count="1" selected="0">
            <x v="1"/>
          </reference>
          <reference field="3" count="1">
            <x v="4"/>
          </reference>
        </references>
      </pivotArea>
    </format>
    <format dxfId="58">
      <pivotArea dataOnly="0" labelOnly="1" outline="0" offset="A256" fieldPosition="0">
        <references count="2">
          <reference field="2" count="1" selected="0">
            <x v="0"/>
          </reference>
          <reference field="3" count="1">
            <x v="3"/>
          </reference>
        </references>
      </pivotArea>
    </format>
    <format dxfId="57">
      <pivotArea dataOnly="0" labelOnly="1" outline="0" offset="A256" fieldPosition="0">
        <references count="2">
          <reference field="2" count="1" selected="0">
            <x v="0"/>
          </reference>
          <reference field="3" count="1">
            <x v="2"/>
          </reference>
        </references>
      </pivotArea>
    </format>
    <format dxfId="56">
      <pivotArea dataOnly="0" labelOnly="1" outline="0" offset="A256" fieldPosition="0">
        <references count="2">
          <reference field="2" count="1" selected="0">
            <x v="0"/>
          </reference>
          <reference field="3" count="1">
            <x v="1"/>
          </reference>
        </references>
      </pivotArea>
    </format>
    <format dxfId="55">
      <pivotArea dataOnly="0" labelOnly="1" outline="0" offset="A256" fieldPosition="0">
        <references count="2">
          <reference field="2" count="1" selected="0">
            <x v="0"/>
          </reference>
          <reference field="3" count="1">
            <x v="0"/>
          </reference>
        </references>
      </pivotArea>
    </format>
    <format dxfId="54">
      <pivotArea outline="0" fieldPosition="0">
        <references count="1">
          <reference field="4294967294" count="4" selected="0">
            <x v="1"/>
            <x v="2"/>
            <x v="3"/>
            <x v="4"/>
          </reference>
        </references>
      </pivotArea>
    </format>
    <format dxfId="53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  <format dxfId="52">
      <pivotArea outline="0" fieldPosition="0">
        <references count="1">
          <reference field="4294967294" count="1" selected="0">
            <x v="4"/>
          </reference>
        </references>
      </pivotArea>
    </format>
    <format dxfId="51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50">
      <pivotArea fieldPosition="0">
        <references count="3">
          <reference field="2" count="1" selected="0">
            <x v="0"/>
          </reference>
          <reference field="3" count="1" selected="0">
            <x v="2"/>
          </reference>
          <reference field="4" count="3">
            <x v="0"/>
            <x v="3"/>
            <x v="4"/>
          </reference>
        </references>
      </pivotArea>
    </format>
    <format dxfId="49">
      <pivotArea dataOnly="0" labelOnly="1" outline="0" offset="IV2:IV4" fieldPosition="0">
        <references count="2">
          <reference field="2" count="1" selected="0">
            <x v="0"/>
          </reference>
          <reference field="3" count="1">
            <x v="2"/>
          </reference>
        </references>
      </pivotArea>
    </format>
    <format dxfId="48">
      <pivotArea dataOnly="0" labelOnly="1" outline="0" fieldPosition="0">
        <references count="3">
          <reference field="2" count="1" selected="0">
            <x v="0"/>
          </reference>
          <reference field="3" count="1" selected="0">
            <x v="2"/>
          </reference>
          <reference field="4" count="3">
            <x v="0"/>
            <x v="3"/>
            <x v="4"/>
          </reference>
        </references>
      </pivotArea>
    </format>
    <format dxfId="47">
      <pivotArea fieldPosition="0">
        <references count="3">
          <reference field="2" count="1" selected="0">
            <x v="1"/>
          </reference>
          <reference field="3" count="1" selected="0">
            <x v="6"/>
          </reference>
          <reference field="4" count="2">
            <x v="6"/>
            <x v="7"/>
          </reference>
        </references>
      </pivotArea>
    </format>
    <format dxfId="46">
      <pivotArea dataOnly="0" labelOnly="1" outline="0" offset="IV6:IV256" fieldPosition="0">
        <references count="2">
          <reference field="2" count="1" selected="0">
            <x v="1"/>
          </reference>
          <reference field="3" count="1">
            <x v="6"/>
          </reference>
        </references>
      </pivotArea>
    </format>
    <format dxfId="45">
      <pivotArea dataOnly="0" labelOnly="1" outline="0" fieldPosition="0">
        <references count="3">
          <reference field="2" count="1" selected="0">
            <x v="1"/>
          </reference>
          <reference field="3" count="1" selected="0">
            <x v="6"/>
          </reference>
          <reference field="4" count="2">
            <x v="6"/>
            <x v="7"/>
          </reference>
        </references>
      </pivotArea>
    </format>
  </format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Count"/>
    <pivotHierarchy dragToData="1" caption="Average Effective Rent"/>
    <pivotHierarchy dragToData="1" caption="Avg. Lease"/>
    <pivotHierarchy dragToData="1"/>
    <pivotHierarchy dragToData="1" caption="Min"/>
    <pivotHierarchy dragToData="1" caption="Max"/>
    <pivotHierarchy dragToData="1" caption="SD"/>
  </pivotHierarchies>
  <pivotTableStyleInfo showRowHeaders="1" showColHeaders="1" showRowStripes="0" showColStripes="0" showLastColumn="1"/>
  <rowHierarchiesUsage count="3">
    <rowHierarchyUsage hierarchyUsage="4"/>
    <rowHierarchyUsage hierarchyUsage="1"/>
    <rowHierarchyUsage hierarchyUsage="1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nt_comps_torrance_redlands.xlsx!Appended">
        <x15:activeTabTopLevelEntity name="[Appended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8E79B2-8135-4A60-80E1-ACE930FDA5DC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2:B10" firstHeaderRow="1" firstDataRow="1" firstDataCol="1"/>
  <pivotFields count="43">
    <pivotField compact="0" outline="0" showAll="0"/>
    <pivotField compact="0" outline="0" showAll="0"/>
    <pivotField axis="axisRow" compact="0" outline="0" showAll="0" sortType="descending">
      <items count="9">
        <item x="7"/>
        <item x="2"/>
        <item x="6"/>
        <item x="4"/>
        <item x="0"/>
        <item x="1"/>
        <item x="5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" outline="0" showAll="0"/>
    <pivotField compact="0" outline="0" showAll="0"/>
    <pivotField compact="0" numFmtId="166" outline="0" showAll="0"/>
    <pivotField compact="0" numFmtId="165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8">
    <i>
      <x v="6"/>
    </i>
    <i>
      <x v="4"/>
    </i>
    <i>
      <x v="2"/>
    </i>
    <i>
      <x v="5"/>
    </i>
    <i>
      <x/>
    </i>
    <i>
      <x v="1"/>
    </i>
    <i>
      <x v="3"/>
    </i>
    <i t="grand">
      <x/>
    </i>
  </rowItems>
  <colItems count="1">
    <i/>
  </colItems>
  <dataFields count="1">
    <dataField name="Sum of Sale Price Per (in Local Currency)" fld="18" baseField="0" baseItem="0" numFmtId="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445475-176B-44E0-8DF7-C866E55D8AF5}" name="Appended" displayName="Appended" ref="A1:S101" totalsRowShown="0" headerRowDxfId="163" dataDxfId="162" dataCellStyle="Normal 2">
  <autoFilter ref="A1:S101" xr:uid="{31D13198-6459-47CF-948B-3BB298FA49E1}"/>
  <tableColumns count="19">
    <tableColumn id="1" xr3:uid="{65CB0161-CC91-45AC-8E68-1C842C00F42B}" name="Street Address" dataDxfId="161" dataCellStyle="Normal 2"/>
    <tableColumn id="2" xr3:uid="{094DBA11-6E57-436D-8CE7-6E58BC521AFC}" name="City" dataDxfId="160" dataCellStyle="Normal 2"/>
    <tableColumn id="3" xr3:uid="{C3871CB4-184E-4F60-AC63-5228D31537F7}" name="State" dataDxfId="159" dataCellStyle="Normal 2"/>
    <tableColumn id="4" xr3:uid="{B8873CBA-A370-4464-B8DF-D433FEA573DC}" name="Zip Code" dataDxfId="158" dataCellStyle="Normal 2"/>
    <tableColumn id="5" xr3:uid="{34D4C869-C7FF-4A3F-834E-269979AF465E}" name="Market" dataDxfId="157" dataCellStyle="Normal 2"/>
    <tableColumn id="6" xr3:uid="{10CA2FE5-8CAD-4258-8BFF-EE5EA2B1A35D}" name="Sector" dataDxfId="156" dataCellStyle="Normal 2"/>
    <tableColumn id="7" xr3:uid="{67A3CD3F-4531-4557-A4BA-553EC8F6413C}" name="Date As Of" dataDxfId="155" dataCellStyle="Normal 2"/>
    <tableColumn id="8" xr3:uid="{D0228A5F-88DA-4AAB-9A9C-C33413059648}" name="Zip Code Grade" dataDxfId="154" dataCellStyle="Normal 2"/>
    <tableColumn id="9" xr3:uid="{468CC650-D62F-4C22-90C7-C56AF013DD68}" name="Size" dataDxfId="153" dataCellStyle="Normal 2"/>
    <tableColumn id="10" xr3:uid="{711E24AD-173C-405D-830A-511E4F03C060}" name="Size Type" dataDxfId="152" dataCellStyle="Normal 2"/>
    <tableColumn id="11" xr3:uid="{243AFF59-FC81-4A65-BBEC-CE1F03A66F2C}" name="Effective Rent* ($/Size Type)" dataDxfId="151" dataCellStyle="Normal 2"/>
    <tableColumn id="12" xr3:uid="{2C780C63-D5C3-4DD3-BFE5-E942A0E29A4C}" name="Avg. Transaction Size" dataDxfId="150" dataCellStyle="Normal 2"/>
    <tableColumn id="13" xr3:uid="{2F6F34FA-94BD-4984-A3F8-E18F32CB85D2}" name="Avg. Lease Terms (Months)" dataDxfId="149" dataCellStyle="Normal 2"/>
    <tableColumn id="14" xr3:uid="{58029FFB-F16E-4F62-B4F2-323933312A62}" name="Avg. Work Value ($/Size Type)" dataDxfId="148" dataCellStyle="Normal 2"/>
    <tableColumn id="15" xr3:uid="{90C8FE72-0761-446C-A9B2-9CC9AB7EBA73}" name="Avg. Free Months" dataDxfId="147" dataCellStyle="Normal 2"/>
    <tableColumn id="16" xr3:uid="{9E4DE132-7D55-495B-8A1C-F8A915DF5FB1}" name="Floors" dataDxfId="146" dataCellStyle="Normal 2"/>
    <tableColumn id="17" xr3:uid="{46BEA1BA-8781-4219-9D85-69AA97C4EF87}" name="Year Built" dataDxfId="145" dataCellStyle="Normal 2"/>
    <tableColumn id="18" xr3:uid="{55559F6E-28D3-42C1-8C10-D10A04454AA0}" name="Year Renovated" dataDxfId="144" dataCellStyle="Normal 2"/>
    <tableColumn id="19" xr3:uid="{B36519B6-0EE5-4F24-BC63-8B81ED7A0AA9}" name="Size (SF)" dataDxfId="143" dataCellStyle="Normal 2">
      <calculatedColumnFormula array="1">_xlfn.IFS(AND('Rent Table'!$I2&gt;0,'Rent Table'!$I2&lt;=50000),"0-50,000",
AND('Rent Table'!$I2 &gt; 50000, 'Rent Table'!$I2 &lt;= 150000), "50,001-150,000",
AND('Rent Table'!$I2 &gt; 150000, 'Rent Table'!$I2 &lt;= 250000), "150,001-250,000",
AND('Rent Table'!$I2 &gt; 250000, 'Rent Table'!$I2 &lt;= 350000), "250,001-350,000",
AND('Rent Table'!$I2 &gt; 350000, 'Rent Table'!$I2 &lt;= 450000), "350,001-450,000",
AND('Rent Table'!$I2 &gt; 450000, 'Rent Table'!$I2 &lt;= 600000), "450,001-600,000",
AND('Rent Table'!$I2 &gt; 600000, 'Rent Table'!$I2 &lt;= 750000), "600,001-750,000",'Rent Table'!$I2 &gt; 750000, "750,000+",
TRUE, "Undefined"
         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FF2CF5-4C51-4655-8DE0-7330217006E9}" name="AppendedTable" displayName="AppendedTable" ref="B4:AR96" totalsRowShown="0" headerRowDxfId="44" dataDxfId="43">
  <autoFilter ref="B4:AR96" xr:uid="{7B5CC7BA-BD5B-4E3F-80F9-6B17CBD52959}"/>
  <tableColumns count="43">
    <tableColumn id="1" xr3:uid="{EAFA7C37-1D6E-4B16-B3A6-2994FC9B045F}" name="Portfolio / Property Name" dataDxfId="42"/>
    <tableColumn id="2" xr3:uid="{9B2C42A3-A5A6-4AEE-B030-5E61757C1D20}" name="Street Address" dataDxfId="41"/>
    <tableColumn id="3" xr3:uid="{6814C807-8A08-419E-8B81-DF3A833302D6}" name="City" dataDxfId="40"/>
    <tableColumn id="4" xr3:uid="{18E90DC8-30D7-487B-90A9-3C99E327561C}" name="State" dataDxfId="39"/>
    <tableColumn id="5" xr3:uid="{00372601-7805-43B6-BAC3-648A3922E3A7}" name="Country" dataDxfId="38"/>
    <tableColumn id="6" xr3:uid="{3006D5A4-3CF6-4F72-AEBB-2E9E6F0CA70D}" name="Zip Code" dataDxfId="37"/>
    <tableColumn id="7" xr3:uid="{FD76CC11-7021-4022-BA80-B36EB8AF7D20}" name="Sector" dataDxfId="36"/>
    <tableColumn id="8" xr3:uid="{19EE3E4C-F1E5-4EED-9E6B-99ED8D82D2D8}" name="Subsector" dataDxfId="35"/>
    <tableColumn id="9" xr3:uid="{FE85EB52-C2E3-448C-88EC-DD0F65C2FE07}" name="Sector Attribute" dataDxfId="34"/>
    <tableColumn id="10" xr3:uid="{65DD7519-268F-4459-8325-0C4022A087C2}" name="Part of Mixed Use Development" dataDxfId="33"/>
    <tableColumn id="11" xr3:uid="{FDA2B7D6-65B1-426F-80FF-A172BF03A5D4}" name="Market" dataDxfId="32"/>
    <tableColumn id="12" xr3:uid="{6E31EF52-60D5-46D9-99DC-E905269A8350}" name="Submarket" dataDxfId="31"/>
    <tableColumn id="13" xr3:uid="{57ADBF1D-C993-48E5-B608-1FB9D6491D08}" name="Size" dataDxfId="30"/>
    <tableColumn id="14" xr3:uid="{4AE8A0E3-DA0D-492F-9196-339712DBCAAE}" name="Size Type" dataDxfId="29"/>
    <tableColumn id="15" xr3:uid="{62A7F4A6-02B0-4F63-A37B-87DAB95C159D}" name="Sale Date" dataDxfId="28"/>
    <tableColumn id="16" xr3:uid="{36F16AAE-B933-482B-A02D-841B6DCC6748}" name="Stake Sold" dataDxfId="27"/>
    <tableColumn id="17" xr3:uid="{498BF9F2-C86B-4AB1-9238-1FC4CD80D043}" name="Local Currency Sale Price (M)" dataDxfId="26"/>
    <tableColumn id="18" xr3:uid="{90AF3673-00CD-480A-A59C-2A5CBCAA9A7E}" name="Local Currency Symbol" dataDxfId="25"/>
    <tableColumn id="19" xr3:uid="{C08C3D29-C3C6-4ED5-A13F-F0E99D152489}" name="Sale Price Per (in Local Currency)" dataDxfId="24"/>
    <tableColumn id="20" xr3:uid="{409816F4-D97D-4728-91B8-ADB8AB70FBB5}" name="Selected Currency Sale Price ($) (M)" dataDxfId="23"/>
    <tableColumn id="21" xr3:uid="{4B2D9FFA-BD63-4733-BF40-9E0D7C5B097C}" name="Submarket Grade" dataDxfId="22"/>
    <tableColumn id="22" xr3:uid="{CE651ACE-7023-4441-B2C0-529F975AF894}" name="Property Cap Rate" dataDxfId="21"/>
    <tableColumn id="23" xr3:uid="{D56C3DB1-9E66-484D-B4EA-B3A70743F3CE}" name="Property Cap Rate Type" dataDxfId="20"/>
    <tableColumn id="24" xr3:uid="{B5C03DE9-F02C-4081-BDBD-52F7B640C1EA}" name="Part of a Portfolio?" dataDxfId="19"/>
    <tableColumn id="25" xr3:uid="{4BF60ECA-924D-40F5-8241-81AFB74FBA8B}" name="Buyer" dataDxfId="18"/>
    <tableColumn id="26" xr3:uid="{752CEF6C-6D0A-4151-BDF2-1B85104DB2CF}" name="Seller" dataDxfId="17"/>
    <tableColumn id="27" xr3:uid="{ECC39262-892C-4414-B6F5-1105C2FFE190}" name="Buyer Objective" dataDxfId="16"/>
    <tableColumn id="28" xr3:uid="{0C10E376-38BA-4A62-93D3-B681F7471F7F}" name="To be demolished" dataDxfId="15"/>
    <tableColumn id="29" xr3:uid="{695A7447-3170-4376-9D60-0013AFA69AFB}" name="Buyer Broker" dataDxfId="14"/>
    <tableColumn id="30" xr3:uid="{1EB53D1E-E0E0-42E7-89B6-044284F30364}" name="Seller Broker" dataDxfId="13"/>
    <tableColumn id="31" xr3:uid="{6F7222F0-F8D8-40CF-83DB-E4C9B9D463C2}" name="Land Area (acres)" dataDxfId="12"/>
    <tableColumn id="32" xr3:uid="{E5047F1F-ECD1-4BF9-A14E-883488619813}" name="Stories" dataDxfId="11"/>
    <tableColumn id="33" xr3:uid="{43DB4113-9A1C-40B7-B0B0-5215F09D0A78}" name="Parking" dataDxfId="10"/>
    <tableColumn id="34" xr3:uid="{9BAE646F-521A-479D-AD6A-424AD2C493CA}" name="Buildings" dataDxfId="9"/>
    <tableColumn id="35" xr3:uid="{924F8521-A302-41B5-B535-275FD5DD7EF6}" name="Year Built" dataDxfId="8"/>
    <tableColumn id="36" xr3:uid="{829F9CF5-2705-406B-BA15-7A8327BEFB5D}" name="Year Renovated" dataDxfId="7"/>
    <tableColumn id="37" xr3:uid="{EE143C74-6B6D-45F3-873D-616F9D0007E8}" name="Occupancy" dataDxfId="6"/>
    <tableColumn id="38" xr3:uid="{90758FAC-53A7-4C34-80BF-4AA75AE43BC3}" name="Green Street Market Cap Rate" dataDxfId="5"/>
    <tableColumn id="39" xr3:uid="{965461AE-523B-4738-924B-0D8F35E57758}" name="Submarket Cap Rate" dataDxfId="4"/>
    <tableColumn id="40" xr3:uid="{070F976C-7E81-4376-9332-2E4D4F408896}" name="Zip Code Cap Rate" dataDxfId="3"/>
    <tableColumn id="41" xr3:uid="{321AEC09-F85F-4B34-9C70-02E9D32E83E7}" name="Lender" dataDxfId="2"/>
    <tableColumn id="42" xr3:uid="{9A50FB99-5C4B-4314-A080-E2810443AA38}" name="1st Mortgage" dataDxfId="1"/>
    <tableColumn id="43" xr3:uid="{AB96EC35-CEF2-4E94-A43E-64BED0724EC2}" name="Verified?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D6357-4AD1-4A2B-ABDD-65DE2AFF0AAF}">
  <dimension ref="B2:D18"/>
  <sheetViews>
    <sheetView tabSelected="1" workbookViewId="0">
      <selection activeCell="B18" sqref="B18"/>
    </sheetView>
  </sheetViews>
  <sheetFormatPr defaultRowHeight="14.25" x14ac:dyDescent="0.45"/>
  <cols>
    <col min="2" max="2" width="26.796875" customWidth="1"/>
    <col min="4" max="4" width="10.86328125" style="92" bestFit="1" customWidth="1"/>
  </cols>
  <sheetData>
    <row r="2" spans="2:4" ht="16.5" x14ac:dyDescent="0.6">
      <c r="B2" s="4" t="s">
        <v>494</v>
      </c>
      <c r="C2" s="7"/>
      <c r="D2" s="93"/>
    </row>
    <row r="3" spans="2:4" ht="16.5" x14ac:dyDescent="0.6">
      <c r="B3" s="2" t="s">
        <v>495</v>
      </c>
      <c r="C3" s="5"/>
      <c r="D3" s="96">
        <v>0.1</v>
      </c>
    </row>
    <row r="4" spans="2:4" ht="16.5" x14ac:dyDescent="0.6">
      <c r="B4" s="2" t="s">
        <v>496</v>
      </c>
      <c r="C4" s="5"/>
      <c r="D4" s="97">
        <v>0.7</v>
      </c>
    </row>
    <row r="5" spans="2:4" ht="16.5" x14ac:dyDescent="0.6">
      <c r="B5" s="2" t="s">
        <v>5</v>
      </c>
      <c r="C5" s="5"/>
      <c r="D5" s="97">
        <v>0.05</v>
      </c>
    </row>
    <row r="6" spans="2:4" ht="16.5" x14ac:dyDescent="0.6">
      <c r="B6" s="3" t="s">
        <v>504</v>
      </c>
      <c r="C6" s="6"/>
      <c r="D6" s="100">
        <v>0.01</v>
      </c>
    </row>
    <row r="7" spans="2:4" ht="10.15" customHeight="1" x14ac:dyDescent="0.6">
      <c r="B7" s="2"/>
      <c r="C7" s="5"/>
      <c r="D7" s="94"/>
    </row>
    <row r="8" spans="2:4" ht="16.5" x14ac:dyDescent="0.6">
      <c r="B8" s="1" t="s">
        <v>493</v>
      </c>
      <c r="C8" s="98" t="s">
        <v>497</v>
      </c>
      <c r="D8" s="99">
        <v>11</v>
      </c>
    </row>
    <row r="9" spans="2:4" ht="16.5" x14ac:dyDescent="0.6">
      <c r="B9" s="2" t="s">
        <v>501</v>
      </c>
      <c r="C9" s="101" t="s">
        <v>497</v>
      </c>
      <c r="D9" s="95">
        <f>D8*(1-D5)</f>
        <v>10.45</v>
      </c>
    </row>
    <row r="10" spans="2:4" ht="16.5" x14ac:dyDescent="0.6">
      <c r="B10" s="2" t="s">
        <v>498</v>
      </c>
      <c r="C10" s="101" t="s">
        <v>502</v>
      </c>
      <c r="D10" s="95">
        <f>SUM('[2]Torrance Inputs'!H3:H6)/'[2]Torrance Inputs'!D9</f>
        <v>0.37501654650799737</v>
      </c>
    </row>
    <row r="11" spans="2:4" ht="16.5" x14ac:dyDescent="0.6">
      <c r="B11" s="2" t="s">
        <v>9</v>
      </c>
      <c r="C11" s="101" t="s">
        <v>502</v>
      </c>
      <c r="D11" s="95">
        <f>('[2]Torrance Inputs'!I36+'[2]Torrance Inputs'!I40)/'[2]Torrance Inputs'!D9</f>
        <v>5.0971356202437974</v>
      </c>
    </row>
    <row r="12" spans="2:4" ht="16.5" x14ac:dyDescent="0.6">
      <c r="B12" s="2" t="s">
        <v>499</v>
      </c>
      <c r="C12" s="101" t="s">
        <v>502</v>
      </c>
      <c r="D12" s="95">
        <f>SUM('[2]Torrance Inputs'!I37:I39)/'[2]Torrance Inputs'!D9</f>
        <v>23.677017074680865</v>
      </c>
    </row>
    <row r="13" spans="2:4" ht="16.5" x14ac:dyDescent="0.6">
      <c r="B13" s="2"/>
      <c r="C13" s="5"/>
      <c r="D13" s="94"/>
    </row>
    <row r="14" spans="2:4" ht="16.5" x14ac:dyDescent="0.6">
      <c r="B14" s="2" t="s">
        <v>0</v>
      </c>
      <c r="C14" s="101" t="s">
        <v>502</v>
      </c>
      <c r="D14" s="95">
        <f>D9*(D4)</f>
        <v>7.3149999999999986</v>
      </c>
    </row>
    <row r="15" spans="2:4" ht="16.5" x14ac:dyDescent="0.6">
      <c r="B15" s="2" t="s">
        <v>500</v>
      </c>
      <c r="C15" s="101" t="s">
        <v>502</v>
      </c>
      <c r="D15" s="95">
        <f>D14-D10</f>
        <v>6.9399834534920011</v>
      </c>
    </row>
    <row r="16" spans="2:4" x14ac:dyDescent="0.45">
      <c r="B16" s="8"/>
      <c r="D16" s="102"/>
    </row>
    <row r="17" spans="2:4" ht="16.5" x14ac:dyDescent="0.6">
      <c r="B17" s="2" t="s">
        <v>503</v>
      </c>
      <c r="C17" s="101" t="s">
        <v>502</v>
      </c>
      <c r="D17" s="95">
        <f>(D15-(SUM(D11:D12)*$D$3))/D3</f>
        <v>40.625681839995345</v>
      </c>
    </row>
    <row r="18" spans="2:4" ht="16.5" x14ac:dyDescent="0.6">
      <c r="B18" s="4" t="s">
        <v>505</v>
      </c>
      <c r="C18" s="103" t="s">
        <v>60</v>
      </c>
      <c r="D18" s="104">
        <f>D17*'[2]Torrance Inputs'!D9</f>
        <v>24707918.934666652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62B53-8C7C-4795-9E24-B0F34B51DAD4}">
  <sheetPr>
    <tabColor theme="7" tint="0.79998168889431442"/>
  </sheetPr>
  <dimension ref="A1:S101"/>
  <sheetViews>
    <sheetView workbookViewId="0"/>
  </sheetViews>
  <sheetFormatPr defaultRowHeight="14.25" x14ac:dyDescent="0.45"/>
  <cols>
    <col min="1" max="1" width="38.86328125" style="10" customWidth="1"/>
    <col min="2" max="2" width="10.59765625" style="10" customWidth="1"/>
    <col min="3" max="3" width="7" style="10" customWidth="1"/>
    <col min="4" max="4" width="10.59765625" style="10" customWidth="1"/>
    <col min="5" max="5" width="14" style="10" customWidth="1"/>
    <col min="6" max="7" width="12.9296875" style="10" customWidth="1"/>
    <col min="8" max="8" width="17.59765625" style="10" customWidth="1"/>
    <col min="9" max="9" width="8.46484375" style="11" bestFit="1" customWidth="1"/>
    <col min="10" max="10" width="11.73046875" style="10" customWidth="1"/>
    <col min="11" max="11" width="35.265625" style="10" customWidth="1"/>
    <col min="12" max="12" width="25.796875" style="10" customWidth="1"/>
    <col min="13" max="13" width="30.53125" style="10" customWidth="1"/>
    <col min="14" max="14" width="35.265625" style="10" customWidth="1"/>
    <col min="15" max="15" width="20.06640625" style="10" customWidth="1"/>
    <col min="16" max="16" width="8.19921875" style="10" customWidth="1"/>
    <col min="17" max="17" width="12.9296875" style="10" customWidth="1"/>
    <col min="18" max="18" width="17.59765625" style="10" customWidth="1"/>
    <col min="19" max="19" width="14.265625" style="9" bestFit="1" customWidth="1"/>
    <col min="20" max="16384" width="9.06640625" style="9"/>
  </cols>
  <sheetData>
    <row r="1" spans="1:19" x14ac:dyDescent="0.45">
      <c r="A1" s="10" t="s">
        <v>12</v>
      </c>
      <c r="B1" s="10" t="s">
        <v>3</v>
      </c>
      <c r="C1" s="10" t="s">
        <v>4</v>
      </c>
      <c r="D1" s="10" t="s">
        <v>14</v>
      </c>
      <c r="E1" s="10" t="s">
        <v>1</v>
      </c>
      <c r="F1" s="10" t="s">
        <v>15</v>
      </c>
      <c r="G1" s="10" t="s">
        <v>368</v>
      </c>
      <c r="H1" s="10" t="s">
        <v>369</v>
      </c>
      <c r="I1" s="11" t="s">
        <v>6</v>
      </c>
      <c r="J1" s="10" t="s">
        <v>20</v>
      </c>
      <c r="K1" s="10" t="s">
        <v>370</v>
      </c>
      <c r="L1" s="10" t="s">
        <v>371</v>
      </c>
      <c r="M1" s="10" t="s">
        <v>372</v>
      </c>
      <c r="N1" s="10" t="s">
        <v>373</v>
      </c>
      <c r="O1" s="10" t="s">
        <v>374</v>
      </c>
      <c r="P1" s="10" t="s">
        <v>375</v>
      </c>
      <c r="Q1" s="10" t="s">
        <v>8</v>
      </c>
      <c r="R1" s="10" t="s">
        <v>41</v>
      </c>
      <c r="S1" s="10" t="s">
        <v>376</v>
      </c>
    </row>
    <row r="2" spans="1:19" x14ac:dyDescent="0.45">
      <c r="A2" s="13" t="s">
        <v>377</v>
      </c>
      <c r="B2" s="13" t="s">
        <v>7</v>
      </c>
      <c r="C2" s="10" t="s">
        <v>51</v>
      </c>
      <c r="D2" s="13" t="s">
        <v>254</v>
      </c>
      <c r="E2" s="10" t="s">
        <v>238</v>
      </c>
      <c r="F2" s="10" t="s">
        <v>54</v>
      </c>
      <c r="G2" s="54">
        <v>45566</v>
      </c>
      <c r="H2" s="13" t="s">
        <v>240</v>
      </c>
      <c r="I2" s="55">
        <v>298000</v>
      </c>
      <c r="J2" s="13" t="s">
        <v>59</v>
      </c>
      <c r="K2" s="56">
        <v>25.520600000000002</v>
      </c>
      <c r="L2" s="10">
        <v>298000</v>
      </c>
      <c r="M2" s="10">
        <v>63</v>
      </c>
      <c r="N2" s="56">
        <v>2.5</v>
      </c>
      <c r="O2" s="10">
        <v>3</v>
      </c>
      <c r="P2" s="10">
        <v>1</v>
      </c>
      <c r="Q2" s="10">
        <v>1975</v>
      </c>
      <c r="R2" s="10" t="s">
        <v>378</v>
      </c>
      <c r="S2" s="10" t="str" cm="1">
        <f t="array" ref="S2">_xlfn.IFS(AND('Rent Table'!$I2&gt;0,'Rent Table'!$I2&lt;=50000),"0-50,000",
AND('Rent Table'!$I2 &gt; 50000, 'Rent Table'!$I2 &lt;= 150000), "50,001-150,000",
AND('Rent Table'!$I2 &gt; 150000, 'Rent Table'!$I2 &lt;= 250000), "150,001-250,000",
AND('Rent Table'!$I2 &gt; 250000, 'Rent Table'!$I2 &lt;= 350000), "250,001-350,000",
AND('Rent Table'!$I2 &gt; 350000, 'Rent Table'!$I2 &lt;= 450000), "350,001-450,000",
AND('Rent Table'!$I2 &gt; 450000, 'Rent Table'!$I2 &lt;= 600000), "450,001-600,000",
AND('Rent Table'!$I2 &gt; 600000, 'Rent Table'!$I2 &lt;= 750000), "600,001-750,000",'Rent Table'!$I2 &gt; 750000, "750,000+",
TRUE, "Undefined"
         )</f>
        <v>250,001-350,000</v>
      </c>
    </row>
    <row r="3" spans="1:19" x14ac:dyDescent="0.45">
      <c r="A3" s="13" t="s">
        <v>379</v>
      </c>
      <c r="B3" s="13" t="s">
        <v>7</v>
      </c>
      <c r="C3" s="10" t="s">
        <v>51</v>
      </c>
      <c r="D3" s="13" t="s">
        <v>254</v>
      </c>
      <c r="E3" s="10" t="s">
        <v>238</v>
      </c>
      <c r="F3" s="10" t="s">
        <v>54</v>
      </c>
      <c r="G3" s="54">
        <v>45566</v>
      </c>
      <c r="H3" s="13" t="s">
        <v>240</v>
      </c>
      <c r="I3" s="55">
        <v>129556</v>
      </c>
      <c r="J3" s="13" t="s">
        <v>59</v>
      </c>
      <c r="K3" s="56">
        <v>22.034099999999999</v>
      </c>
      <c r="L3" s="10">
        <v>129256</v>
      </c>
      <c r="M3" s="10">
        <v>120</v>
      </c>
      <c r="N3" s="56" t="s">
        <v>378</v>
      </c>
      <c r="O3" s="10" t="s">
        <v>378</v>
      </c>
      <c r="P3" s="10">
        <v>1</v>
      </c>
      <c r="Q3" s="10">
        <v>2000</v>
      </c>
      <c r="R3" s="10" t="s">
        <v>378</v>
      </c>
      <c r="S3" s="10" t="str" cm="1">
        <f t="array" ref="S3">_xlfn.IFS(AND('Rent Table'!$I3&gt;0,'Rent Table'!$I3&lt;=50000),"0-50,000",
AND('Rent Table'!$I3 &gt; 50000, 'Rent Table'!$I3 &lt;= 150000), "50,001-150,000",
AND('Rent Table'!$I3 &gt; 150000, 'Rent Table'!$I3 &lt;= 250000), "150,001-250,000",
AND('Rent Table'!$I3 &gt; 250000, 'Rent Table'!$I3 &lt;= 350000), "250,001-350,000",
AND('Rent Table'!$I3 &gt; 350000, 'Rent Table'!$I3 &lt;= 450000), "350,001-450,000",
AND('Rent Table'!$I3 &gt; 450000, 'Rent Table'!$I3 &lt;= 600000), "450,001-600,000",
AND('Rent Table'!$I3 &gt; 600000, 'Rent Table'!$I3 &lt;= 750000), "600,001-750,000",'Rent Table'!$I3 &gt; 750000, "750,000+",
TRUE, "Undefined"
         )</f>
        <v>50,001-150,000</v>
      </c>
    </row>
    <row r="4" spans="1:19" x14ac:dyDescent="0.45">
      <c r="A4" s="13" t="s">
        <v>380</v>
      </c>
      <c r="B4" s="13" t="s">
        <v>7</v>
      </c>
      <c r="C4" s="10" t="s">
        <v>51</v>
      </c>
      <c r="D4" s="13" t="s">
        <v>254</v>
      </c>
      <c r="E4" s="10" t="s">
        <v>238</v>
      </c>
      <c r="F4" s="10" t="s">
        <v>54</v>
      </c>
      <c r="G4" s="54">
        <v>45566</v>
      </c>
      <c r="H4" s="13" t="s">
        <v>240</v>
      </c>
      <c r="I4" s="55">
        <v>49112</v>
      </c>
      <c r="J4" s="13" t="s">
        <v>59</v>
      </c>
      <c r="K4" s="56">
        <v>30.2333</v>
      </c>
      <c r="L4" s="10">
        <v>49112</v>
      </c>
      <c r="M4" s="10">
        <v>123</v>
      </c>
      <c r="N4" s="56">
        <v>20</v>
      </c>
      <c r="O4" s="10">
        <v>3</v>
      </c>
      <c r="P4" s="10">
        <v>1</v>
      </c>
      <c r="Q4" s="10">
        <v>1981</v>
      </c>
      <c r="R4" s="10" t="s">
        <v>378</v>
      </c>
      <c r="S4" s="10" t="str" cm="1">
        <f t="array" ref="S4">_xlfn.IFS(AND('Rent Table'!$I4&gt;0,'Rent Table'!$I4&lt;=50000),"0-50,000",
AND('Rent Table'!$I4 &gt; 50000, 'Rent Table'!$I4 &lt;= 150000), "50,001-150,000",
AND('Rent Table'!$I4 &gt; 150000, 'Rent Table'!$I4 &lt;= 250000), "150,001-250,000",
AND('Rent Table'!$I4 &gt; 250000, 'Rent Table'!$I4 &lt;= 350000), "250,001-350,000",
AND('Rent Table'!$I4 &gt; 350000, 'Rent Table'!$I4 &lt;= 450000), "350,001-450,000",
AND('Rent Table'!$I4 &gt; 450000, 'Rent Table'!$I4 &lt;= 600000), "450,001-600,000",
AND('Rent Table'!$I4 &gt; 600000, 'Rent Table'!$I4 &lt;= 750000), "600,001-750,000",'Rent Table'!$I4 &gt; 750000, "750,000+",
TRUE, "Undefined"
         )</f>
        <v>0-50,000</v>
      </c>
    </row>
    <row r="5" spans="1:19" x14ac:dyDescent="0.45">
      <c r="A5" s="13" t="s">
        <v>381</v>
      </c>
      <c r="B5" s="13" t="s">
        <v>7</v>
      </c>
      <c r="C5" s="10" t="s">
        <v>51</v>
      </c>
      <c r="D5" s="13" t="s">
        <v>254</v>
      </c>
      <c r="E5" s="10" t="s">
        <v>238</v>
      </c>
      <c r="F5" s="10" t="s">
        <v>54</v>
      </c>
      <c r="G5" s="54">
        <v>45566</v>
      </c>
      <c r="H5" s="13" t="s">
        <v>240</v>
      </c>
      <c r="I5" s="55">
        <v>45550</v>
      </c>
      <c r="J5" s="13" t="s">
        <v>59</v>
      </c>
      <c r="K5" s="56">
        <v>18.131399999999999</v>
      </c>
      <c r="L5" s="10">
        <v>45550</v>
      </c>
      <c r="M5" s="10">
        <v>85</v>
      </c>
      <c r="N5" s="56" t="s">
        <v>378</v>
      </c>
      <c r="O5" s="10">
        <v>1</v>
      </c>
      <c r="P5" s="10">
        <v>1</v>
      </c>
      <c r="Q5" s="10">
        <v>1979</v>
      </c>
      <c r="R5" s="10" t="s">
        <v>378</v>
      </c>
      <c r="S5" s="10" t="str" cm="1">
        <f t="array" ref="S5">_xlfn.IFS(AND('Rent Table'!$I5&gt;0,'Rent Table'!$I5&lt;=50000),"0-50,000",
AND('Rent Table'!$I5 &gt; 50000, 'Rent Table'!$I5 &lt;= 150000), "50,001-150,000",
AND('Rent Table'!$I5 &gt; 150000, 'Rent Table'!$I5 &lt;= 250000), "150,001-250,000",
AND('Rent Table'!$I5 &gt; 250000, 'Rent Table'!$I5 &lt;= 350000), "250,001-350,000",
AND('Rent Table'!$I5 &gt; 350000, 'Rent Table'!$I5 &lt;= 450000), "350,001-450,000",
AND('Rent Table'!$I5 &gt; 450000, 'Rent Table'!$I5 &lt;= 600000), "450,001-600,000",
AND('Rent Table'!$I5 &gt; 600000, 'Rent Table'!$I5 &lt;= 750000), "600,001-750,000",'Rent Table'!$I5 &gt; 750000, "750,000+",
TRUE, "Undefined"
         )</f>
        <v>0-50,000</v>
      </c>
    </row>
    <row r="6" spans="1:19" x14ac:dyDescent="0.45">
      <c r="A6" s="13" t="s">
        <v>382</v>
      </c>
      <c r="B6" s="13" t="s">
        <v>258</v>
      </c>
      <c r="C6" s="10" t="s">
        <v>51</v>
      </c>
      <c r="D6" s="13" t="s">
        <v>383</v>
      </c>
      <c r="E6" s="10" t="s">
        <v>238</v>
      </c>
      <c r="F6" s="10" t="s">
        <v>54</v>
      </c>
      <c r="G6" s="54">
        <v>45566</v>
      </c>
      <c r="H6" s="13" t="s">
        <v>384</v>
      </c>
      <c r="I6" s="11">
        <v>36580</v>
      </c>
      <c r="J6" s="13" t="s">
        <v>59</v>
      </c>
      <c r="K6" s="56">
        <v>18.472999999999999</v>
      </c>
      <c r="L6" s="10">
        <v>18301</v>
      </c>
      <c r="M6" s="10">
        <v>62</v>
      </c>
      <c r="N6" s="56" t="s">
        <v>378</v>
      </c>
      <c r="O6" s="10" t="s">
        <v>378</v>
      </c>
      <c r="P6" s="10">
        <v>1</v>
      </c>
      <c r="Q6" s="10">
        <v>1977</v>
      </c>
      <c r="R6" s="10" t="s">
        <v>378</v>
      </c>
      <c r="S6" s="10" t="str" cm="1">
        <f t="array" ref="S6">_xlfn.IFS(AND('Rent Table'!$I6&gt;0,'Rent Table'!$I6&lt;=50000),"0-50,000",
AND('Rent Table'!$I6 &gt; 50000, 'Rent Table'!$I6 &lt;= 150000), "50,001-150,000",
AND('Rent Table'!$I6 &gt; 150000, 'Rent Table'!$I6 &lt;= 250000), "150,001-250,000",
AND('Rent Table'!$I6 &gt; 250000, 'Rent Table'!$I6 &lt;= 350000), "250,001-350,000",
AND('Rent Table'!$I6 &gt; 350000, 'Rent Table'!$I6 &lt;= 450000), "350,001-450,000",
AND('Rent Table'!$I6 &gt; 450000, 'Rent Table'!$I6 &lt;= 600000), "450,001-600,000",
AND('Rent Table'!$I6 &gt; 600000, 'Rent Table'!$I6 &lt;= 750000), "600,001-750,000",'Rent Table'!$I6 &gt; 750000, "750,000+",
TRUE, "Undefined"
         )</f>
        <v>0-50,000</v>
      </c>
    </row>
    <row r="7" spans="1:19" x14ac:dyDescent="0.45">
      <c r="A7" s="13" t="s">
        <v>385</v>
      </c>
      <c r="B7" s="13" t="s">
        <v>258</v>
      </c>
      <c r="C7" s="10" t="s">
        <v>51</v>
      </c>
      <c r="D7" s="13" t="s">
        <v>383</v>
      </c>
      <c r="E7" s="10" t="s">
        <v>238</v>
      </c>
      <c r="F7" s="10" t="s">
        <v>54</v>
      </c>
      <c r="G7" s="54">
        <v>45566</v>
      </c>
      <c r="H7" s="13" t="s">
        <v>384</v>
      </c>
      <c r="I7" s="11">
        <v>75194</v>
      </c>
      <c r="J7" s="13" t="s">
        <v>59</v>
      </c>
      <c r="K7" s="56">
        <v>19.176400000000001</v>
      </c>
      <c r="L7" s="10">
        <v>53474</v>
      </c>
      <c r="M7" s="10">
        <v>36</v>
      </c>
      <c r="N7" s="56" t="s">
        <v>378</v>
      </c>
      <c r="O7" s="10" t="s">
        <v>378</v>
      </c>
      <c r="P7" s="10">
        <v>1</v>
      </c>
      <c r="Q7" s="10">
        <v>1972</v>
      </c>
      <c r="R7" s="10">
        <v>1973</v>
      </c>
      <c r="S7" s="10" t="str" cm="1">
        <f t="array" ref="S7">_xlfn.IFS(AND('Rent Table'!$I7&gt;0,'Rent Table'!$I7&lt;=50000),"0-50,000",
AND('Rent Table'!$I7 &gt; 50000, 'Rent Table'!$I7 &lt;= 150000), "50,001-150,000",
AND('Rent Table'!$I7 &gt; 150000, 'Rent Table'!$I7 &lt;= 250000), "150,001-250,000",
AND('Rent Table'!$I7 &gt; 250000, 'Rent Table'!$I7 &lt;= 350000), "250,001-350,000",
AND('Rent Table'!$I7 &gt; 350000, 'Rent Table'!$I7 &lt;= 450000), "350,001-450,000",
AND('Rent Table'!$I7 &gt; 450000, 'Rent Table'!$I7 &lt;= 600000), "450,001-600,000",
AND('Rent Table'!$I7 &gt; 600000, 'Rent Table'!$I7 &lt;= 750000), "600,001-750,000",'Rent Table'!$I7 &gt; 750000, "750,000+",
TRUE, "Undefined"
         )</f>
        <v>50,001-150,000</v>
      </c>
    </row>
    <row r="8" spans="1:19" x14ac:dyDescent="0.45">
      <c r="A8" s="13" t="s">
        <v>386</v>
      </c>
      <c r="B8" s="13" t="s">
        <v>258</v>
      </c>
      <c r="C8" s="10" t="s">
        <v>51</v>
      </c>
      <c r="D8" s="13" t="s">
        <v>383</v>
      </c>
      <c r="E8" s="10" t="s">
        <v>238</v>
      </c>
      <c r="F8" s="10" t="s">
        <v>54</v>
      </c>
      <c r="G8" s="54">
        <v>45566</v>
      </c>
      <c r="H8" s="13" t="s">
        <v>384</v>
      </c>
      <c r="I8" s="11">
        <v>121551</v>
      </c>
      <c r="J8" s="13" t="s">
        <v>59</v>
      </c>
      <c r="K8" s="56">
        <v>14.905200000000001</v>
      </c>
      <c r="L8" s="10">
        <v>33855</v>
      </c>
      <c r="M8" s="10">
        <v>61.5</v>
      </c>
      <c r="N8" s="56">
        <v>0.5</v>
      </c>
      <c r="O8" s="10">
        <v>2</v>
      </c>
      <c r="P8" s="10">
        <v>1</v>
      </c>
      <c r="Q8" s="10">
        <v>1972</v>
      </c>
      <c r="R8" s="10" t="s">
        <v>378</v>
      </c>
      <c r="S8" s="10" t="str" cm="1">
        <f t="array" ref="S8">_xlfn.IFS(AND('Rent Table'!$I8&gt;0,'Rent Table'!$I8&lt;=50000),"0-50,000",
AND('Rent Table'!$I8 &gt; 50000, 'Rent Table'!$I8 &lt;= 150000), "50,001-150,000",
AND('Rent Table'!$I8 &gt; 150000, 'Rent Table'!$I8 &lt;= 250000), "150,001-250,000",
AND('Rent Table'!$I8 &gt; 250000, 'Rent Table'!$I8 &lt;= 350000), "250,001-350,000",
AND('Rent Table'!$I8 &gt; 350000, 'Rent Table'!$I8 &lt;= 450000), "350,001-450,000",
AND('Rent Table'!$I8 &gt; 450000, 'Rent Table'!$I8 &lt;= 600000), "450,001-600,000",
AND('Rent Table'!$I8 &gt; 600000, 'Rent Table'!$I8 &lt;= 750000), "600,001-750,000",'Rent Table'!$I8 &gt; 750000, "750,000+",
TRUE, "Undefined"
         )</f>
        <v>50,001-150,000</v>
      </c>
    </row>
    <row r="9" spans="1:19" x14ac:dyDescent="0.45">
      <c r="A9" s="13" t="s">
        <v>387</v>
      </c>
      <c r="B9" s="13" t="s">
        <v>7</v>
      </c>
      <c r="C9" s="10" t="s">
        <v>51</v>
      </c>
      <c r="D9" s="13" t="s">
        <v>254</v>
      </c>
      <c r="E9" s="10" t="s">
        <v>238</v>
      </c>
      <c r="F9" s="10" t="s">
        <v>54</v>
      </c>
      <c r="G9" s="54">
        <v>45566</v>
      </c>
      <c r="H9" s="13" t="s">
        <v>240</v>
      </c>
      <c r="I9" s="55">
        <v>16000</v>
      </c>
      <c r="J9" s="13" t="s">
        <v>59</v>
      </c>
      <c r="K9" s="56">
        <v>12.102</v>
      </c>
      <c r="L9" s="10">
        <v>16000</v>
      </c>
      <c r="M9" s="10">
        <v>36</v>
      </c>
      <c r="N9" s="56" t="s">
        <v>378</v>
      </c>
      <c r="O9" s="10">
        <v>1</v>
      </c>
      <c r="P9" s="10">
        <v>1</v>
      </c>
      <c r="Q9" s="10">
        <v>1974</v>
      </c>
      <c r="R9" s="10" t="s">
        <v>378</v>
      </c>
      <c r="S9" s="10" t="str" cm="1">
        <f t="array" ref="S9">_xlfn.IFS(AND('Rent Table'!$I9&gt;0,'Rent Table'!$I9&lt;=50000),"0-50,000",
AND('Rent Table'!$I9 &gt; 50000, 'Rent Table'!$I9 &lt;= 150000), "50,001-150,000",
AND('Rent Table'!$I9 &gt; 150000, 'Rent Table'!$I9 &lt;= 250000), "150,001-250,000",
AND('Rent Table'!$I9 &gt; 250000, 'Rent Table'!$I9 &lt;= 350000), "250,001-350,000",
AND('Rent Table'!$I9 &gt; 350000, 'Rent Table'!$I9 &lt;= 450000), "350,001-450,000",
AND('Rent Table'!$I9 &gt; 450000, 'Rent Table'!$I9 &lt;= 600000), "450,001-600,000",
AND('Rent Table'!$I9 &gt; 600000, 'Rent Table'!$I9 &lt;= 750000), "600,001-750,000",'Rent Table'!$I9 &gt; 750000, "750,000+",
TRUE, "Undefined"
         )</f>
        <v>0-50,000</v>
      </c>
    </row>
    <row r="10" spans="1:19" x14ac:dyDescent="0.45">
      <c r="A10" s="13" t="s">
        <v>388</v>
      </c>
      <c r="B10" s="13" t="s">
        <v>7</v>
      </c>
      <c r="C10" s="10" t="s">
        <v>51</v>
      </c>
      <c r="D10" s="13" t="s">
        <v>254</v>
      </c>
      <c r="E10" s="10" t="s">
        <v>238</v>
      </c>
      <c r="F10" s="10" t="s">
        <v>54</v>
      </c>
      <c r="G10" s="54">
        <v>45566</v>
      </c>
      <c r="H10" s="13" t="s">
        <v>240</v>
      </c>
      <c r="I10" s="55">
        <v>14950</v>
      </c>
      <c r="J10" s="13" t="s">
        <v>59</v>
      </c>
      <c r="K10" s="56">
        <v>15.3947</v>
      </c>
      <c r="L10" s="10">
        <v>14950</v>
      </c>
      <c r="M10" s="10">
        <v>61.5</v>
      </c>
      <c r="N10" s="56" t="s">
        <v>378</v>
      </c>
      <c r="O10" s="10">
        <v>3</v>
      </c>
      <c r="P10" s="10">
        <v>1</v>
      </c>
      <c r="Q10" s="10">
        <v>1964</v>
      </c>
      <c r="R10" s="10" t="s">
        <v>378</v>
      </c>
      <c r="S10" s="10" t="str" cm="1">
        <f t="array" ref="S10">_xlfn.IFS(AND('Rent Table'!$I10&gt;0,'Rent Table'!$I10&lt;=50000),"0-50,000",
AND('Rent Table'!$I10 &gt; 50000, 'Rent Table'!$I10 &lt;= 150000), "50,001-150,000",
AND('Rent Table'!$I10 &gt; 150000, 'Rent Table'!$I10 &lt;= 250000), "150,001-250,000",
AND('Rent Table'!$I10 &gt; 250000, 'Rent Table'!$I10 &lt;= 350000), "250,001-350,000",
AND('Rent Table'!$I10 &gt; 350000, 'Rent Table'!$I10 &lt;= 450000), "350,001-450,000",
AND('Rent Table'!$I10 &gt; 450000, 'Rent Table'!$I10 &lt;= 600000), "450,001-600,000",
AND('Rent Table'!$I10 &gt; 600000, 'Rent Table'!$I10 &lt;= 750000), "600,001-750,000",'Rent Table'!$I10 &gt; 750000, "750,000+",
TRUE, "Undefined"
         )</f>
        <v>0-50,000</v>
      </c>
    </row>
    <row r="11" spans="1:19" x14ac:dyDescent="0.45">
      <c r="A11" s="13" t="s">
        <v>389</v>
      </c>
      <c r="B11" s="13" t="s">
        <v>258</v>
      </c>
      <c r="C11" s="10" t="s">
        <v>51</v>
      </c>
      <c r="D11" s="13" t="s">
        <v>383</v>
      </c>
      <c r="E11" s="10" t="s">
        <v>238</v>
      </c>
      <c r="F11" s="10" t="s">
        <v>54</v>
      </c>
      <c r="G11" s="54">
        <v>45566</v>
      </c>
      <c r="H11" s="13" t="s">
        <v>384</v>
      </c>
      <c r="I11" s="11">
        <v>250272</v>
      </c>
      <c r="J11" s="13" t="s">
        <v>59</v>
      </c>
      <c r="K11" s="56">
        <v>20.280850000000001</v>
      </c>
      <c r="L11" s="10">
        <v>148706</v>
      </c>
      <c r="M11" s="10">
        <v>36.75</v>
      </c>
      <c r="N11" s="56" t="s">
        <v>378</v>
      </c>
      <c r="O11" s="10" t="s">
        <v>378</v>
      </c>
      <c r="P11" s="10">
        <v>1</v>
      </c>
      <c r="Q11" s="10">
        <v>2003</v>
      </c>
      <c r="R11" s="10" t="s">
        <v>378</v>
      </c>
      <c r="S11" s="10" t="str" cm="1">
        <f t="array" ref="S11">_xlfn.IFS(AND('Rent Table'!$I11&gt;0,'Rent Table'!$I11&lt;=50000),"0-50,000",
AND('Rent Table'!$I11 &gt; 50000, 'Rent Table'!$I11 &lt;= 150000), "50,001-150,000",
AND('Rent Table'!$I11 &gt; 150000, 'Rent Table'!$I11 &lt;= 250000), "150,001-250,000",
AND('Rent Table'!$I11 &gt; 250000, 'Rent Table'!$I11 &lt;= 350000), "250,001-350,000",
AND('Rent Table'!$I11 &gt; 350000, 'Rent Table'!$I11 &lt;= 450000), "350,001-450,000",
AND('Rent Table'!$I11 &gt; 450000, 'Rent Table'!$I11 &lt;= 600000), "450,001-600,000",
AND('Rent Table'!$I11 &gt; 600000, 'Rent Table'!$I11 &lt;= 750000), "600,001-750,000",'Rent Table'!$I11 &gt; 750000, "750,000+",
TRUE, "Undefined"
         )</f>
        <v>250,001-350,000</v>
      </c>
    </row>
    <row r="12" spans="1:19" x14ac:dyDescent="0.45">
      <c r="A12" s="13" t="s">
        <v>390</v>
      </c>
      <c r="B12" s="13" t="s">
        <v>258</v>
      </c>
      <c r="C12" s="10" t="s">
        <v>51</v>
      </c>
      <c r="D12" s="13" t="s">
        <v>383</v>
      </c>
      <c r="E12" s="10" t="s">
        <v>238</v>
      </c>
      <c r="F12" s="10" t="s">
        <v>54</v>
      </c>
      <c r="G12" s="54">
        <v>45566</v>
      </c>
      <c r="H12" s="13" t="s">
        <v>384</v>
      </c>
      <c r="I12" s="11">
        <v>182554</v>
      </c>
      <c r="J12" s="13" t="s">
        <v>59</v>
      </c>
      <c r="K12" s="56">
        <v>19.012899999999998</v>
      </c>
      <c r="L12" s="10">
        <v>182554</v>
      </c>
      <c r="M12" s="10">
        <v>60</v>
      </c>
      <c r="N12" s="56">
        <v>1.1000000000000001</v>
      </c>
      <c r="O12" s="10" t="s">
        <v>378</v>
      </c>
      <c r="P12" s="10">
        <v>1</v>
      </c>
      <c r="Q12" s="10">
        <v>2005</v>
      </c>
      <c r="R12" s="10" t="s">
        <v>378</v>
      </c>
      <c r="S12" s="10" t="str" cm="1">
        <f t="array" ref="S12">_xlfn.IFS(AND('Rent Table'!$I12&gt;0,'Rent Table'!$I12&lt;=50000),"0-50,000",
AND('Rent Table'!$I12 &gt; 50000, 'Rent Table'!$I12 &lt;= 150000), "50,001-150,000",
AND('Rent Table'!$I12 &gt; 150000, 'Rent Table'!$I12 &lt;= 250000), "150,001-250,000",
AND('Rent Table'!$I12 &gt; 250000, 'Rent Table'!$I12 &lt;= 350000), "250,001-350,000",
AND('Rent Table'!$I12 &gt; 350000, 'Rent Table'!$I12 &lt;= 450000), "350,001-450,000",
AND('Rent Table'!$I12 &gt; 450000, 'Rent Table'!$I12 &lt;= 600000), "450,001-600,000",
AND('Rent Table'!$I12 &gt; 600000, 'Rent Table'!$I12 &lt;= 750000), "600,001-750,000",'Rent Table'!$I12 &gt; 750000, "750,000+",
TRUE, "Undefined"
         )</f>
        <v>150,001-250,000</v>
      </c>
    </row>
    <row r="13" spans="1:19" x14ac:dyDescent="0.45">
      <c r="A13" s="13" t="s">
        <v>391</v>
      </c>
      <c r="B13" s="13" t="s">
        <v>258</v>
      </c>
      <c r="C13" s="10" t="s">
        <v>51</v>
      </c>
      <c r="D13" s="13" t="s">
        <v>383</v>
      </c>
      <c r="E13" s="10" t="s">
        <v>238</v>
      </c>
      <c r="F13" s="10" t="s">
        <v>54</v>
      </c>
      <c r="G13" s="54">
        <v>45566</v>
      </c>
      <c r="H13" s="13" t="s">
        <v>384</v>
      </c>
      <c r="I13" s="11">
        <v>81893</v>
      </c>
      <c r="J13" s="13" t="s">
        <v>59</v>
      </c>
      <c r="K13" s="56">
        <v>19.079999999999998</v>
      </c>
      <c r="L13" s="10">
        <v>81532</v>
      </c>
      <c r="M13" s="10">
        <v>59</v>
      </c>
      <c r="N13" s="56" t="s">
        <v>378</v>
      </c>
      <c r="O13" s="10">
        <v>1</v>
      </c>
      <c r="P13" s="10">
        <v>1</v>
      </c>
      <c r="Q13" s="10">
        <v>2007</v>
      </c>
      <c r="R13" s="10" t="s">
        <v>378</v>
      </c>
      <c r="S13" s="10" t="str" cm="1">
        <f t="array" ref="S13">_xlfn.IFS(AND('Rent Table'!$I13&gt;0,'Rent Table'!$I13&lt;=50000),"0-50,000",
AND('Rent Table'!$I13 &gt; 50000, 'Rent Table'!$I13 &lt;= 150000), "50,001-150,000",
AND('Rent Table'!$I13 &gt; 150000, 'Rent Table'!$I13 &lt;= 250000), "150,001-250,000",
AND('Rent Table'!$I13 &gt; 250000, 'Rent Table'!$I13 &lt;= 350000), "250,001-350,000",
AND('Rent Table'!$I13 &gt; 350000, 'Rent Table'!$I13 &lt;= 450000), "350,001-450,000",
AND('Rent Table'!$I13 &gt; 450000, 'Rent Table'!$I13 &lt;= 600000), "450,001-600,000",
AND('Rent Table'!$I13 &gt; 600000, 'Rent Table'!$I13 &lt;= 750000), "600,001-750,000",'Rent Table'!$I13 &gt; 750000, "750,000+",
TRUE, "Undefined"
         )</f>
        <v>50,001-150,000</v>
      </c>
    </row>
    <row r="14" spans="1:19" x14ac:dyDescent="0.45">
      <c r="A14" s="13" t="s">
        <v>392</v>
      </c>
      <c r="B14" s="13" t="s">
        <v>7</v>
      </c>
      <c r="C14" s="10" t="s">
        <v>51</v>
      </c>
      <c r="D14" s="13" t="s">
        <v>237</v>
      </c>
      <c r="E14" s="10" t="s">
        <v>238</v>
      </c>
      <c r="F14" s="10" t="s">
        <v>54</v>
      </c>
      <c r="G14" s="54">
        <v>45566</v>
      </c>
      <c r="H14" s="13" t="s">
        <v>240</v>
      </c>
      <c r="I14" s="55">
        <v>153000</v>
      </c>
      <c r="J14" s="13" t="s">
        <v>59</v>
      </c>
      <c r="K14" s="56">
        <v>27.982600000000001</v>
      </c>
      <c r="L14" s="10">
        <v>152790</v>
      </c>
      <c r="M14" s="10">
        <v>65</v>
      </c>
      <c r="N14" s="56">
        <v>1</v>
      </c>
      <c r="O14" s="10" t="s">
        <v>378</v>
      </c>
      <c r="P14" s="10">
        <v>1</v>
      </c>
      <c r="Q14" s="10">
        <v>2005</v>
      </c>
      <c r="R14" s="10" t="s">
        <v>378</v>
      </c>
      <c r="S14" s="10" t="str" cm="1">
        <f t="array" ref="S14">_xlfn.IFS(AND('Rent Table'!$I14&gt;0,'Rent Table'!$I14&lt;=50000),"0-50,000",
AND('Rent Table'!$I14 &gt; 50000, 'Rent Table'!$I14 &lt;= 150000), "50,001-150,000",
AND('Rent Table'!$I14 &gt; 150000, 'Rent Table'!$I14 &lt;= 250000), "150,001-250,000",
AND('Rent Table'!$I14 &gt; 250000, 'Rent Table'!$I14 &lt;= 350000), "250,001-350,000",
AND('Rent Table'!$I14 &gt; 350000, 'Rent Table'!$I14 &lt;= 450000), "350,001-450,000",
AND('Rent Table'!$I14 &gt; 450000, 'Rent Table'!$I14 &lt;= 600000), "450,001-600,000",
AND('Rent Table'!$I14 &gt; 600000, 'Rent Table'!$I14 &lt;= 750000), "600,001-750,000",'Rent Table'!$I14 &gt; 750000, "750,000+",
TRUE, "Undefined"
         )</f>
        <v>150,001-250,000</v>
      </c>
    </row>
    <row r="15" spans="1:19" x14ac:dyDescent="0.45">
      <c r="A15" s="13" t="s">
        <v>393</v>
      </c>
      <c r="B15" s="13" t="s">
        <v>7</v>
      </c>
      <c r="C15" s="10" t="s">
        <v>51</v>
      </c>
      <c r="D15" s="13" t="s">
        <v>237</v>
      </c>
      <c r="E15" s="10" t="s">
        <v>238</v>
      </c>
      <c r="F15" s="10" t="s">
        <v>54</v>
      </c>
      <c r="G15" s="54">
        <v>45566</v>
      </c>
      <c r="H15" s="13" t="s">
        <v>240</v>
      </c>
      <c r="I15" s="55">
        <v>442550</v>
      </c>
      <c r="J15" s="13" t="s">
        <v>59</v>
      </c>
      <c r="K15" s="56">
        <v>18.524799999999999</v>
      </c>
      <c r="L15" s="10">
        <v>442550</v>
      </c>
      <c r="M15" s="10">
        <v>65</v>
      </c>
      <c r="N15" s="56">
        <v>2.82</v>
      </c>
      <c r="O15" s="10">
        <v>5.5</v>
      </c>
      <c r="P15" s="10" t="s">
        <v>378</v>
      </c>
      <c r="Q15" s="10">
        <v>2003</v>
      </c>
      <c r="R15" s="10">
        <v>2004</v>
      </c>
      <c r="S15" s="10" t="str" cm="1">
        <f t="array" ref="S15">_xlfn.IFS(AND('Rent Table'!$I15&gt;0,'Rent Table'!$I15&lt;=50000),"0-50,000",
AND('Rent Table'!$I15 &gt; 50000, 'Rent Table'!$I15 &lt;= 150000), "50,001-150,000",
AND('Rent Table'!$I15 &gt; 150000, 'Rent Table'!$I15 &lt;= 250000), "150,001-250,000",
AND('Rent Table'!$I15 &gt; 250000, 'Rent Table'!$I15 &lt;= 350000), "250,001-350,000",
AND('Rent Table'!$I15 &gt; 350000, 'Rent Table'!$I15 &lt;= 450000), "350,001-450,000",
AND('Rent Table'!$I15 &gt; 450000, 'Rent Table'!$I15 &lt;= 600000), "450,001-600,000",
AND('Rent Table'!$I15 &gt; 600000, 'Rent Table'!$I15 &lt;= 750000), "600,001-750,000",'Rent Table'!$I15 &gt; 750000, "750,000+",
TRUE, "Undefined"
         )</f>
        <v>350,001-450,000</v>
      </c>
    </row>
    <row r="16" spans="1:19" x14ac:dyDescent="0.45">
      <c r="A16" s="13" t="s">
        <v>394</v>
      </c>
      <c r="B16" s="13" t="s">
        <v>258</v>
      </c>
      <c r="C16" s="10" t="s">
        <v>51</v>
      </c>
      <c r="D16" s="13" t="s">
        <v>383</v>
      </c>
      <c r="E16" s="10" t="s">
        <v>238</v>
      </c>
      <c r="F16" s="10" t="s">
        <v>54</v>
      </c>
      <c r="G16" s="54">
        <v>45566</v>
      </c>
      <c r="H16" s="13" t="s">
        <v>384</v>
      </c>
      <c r="I16" s="11">
        <v>76028</v>
      </c>
      <c r="J16" s="13" t="s">
        <v>59</v>
      </c>
      <c r="K16" s="56">
        <v>16.873200000000001</v>
      </c>
      <c r="L16" s="10">
        <v>76028</v>
      </c>
      <c r="M16" s="10">
        <v>48</v>
      </c>
      <c r="N16" s="56">
        <v>0.53</v>
      </c>
      <c r="O16" s="10">
        <v>1</v>
      </c>
      <c r="P16" s="10">
        <v>1</v>
      </c>
      <c r="Q16" s="10">
        <v>2006</v>
      </c>
      <c r="R16" s="10" t="s">
        <v>378</v>
      </c>
      <c r="S16" s="10" t="str" cm="1">
        <f t="array" ref="S16">_xlfn.IFS(AND('Rent Table'!$I16&gt;0,'Rent Table'!$I16&lt;=50000),"0-50,000",
AND('Rent Table'!$I16 &gt; 50000, 'Rent Table'!$I16 &lt;= 150000), "50,001-150,000",
AND('Rent Table'!$I16 &gt; 150000, 'Rent Table'!$I16 &lt;= 250000), "150,001-250,000",
AND('Rent Table'!$I16 &gt; 250000, 'Rent Table'!$I16 &lt;= 350000), "250,001-350,000",
AND('Rent Table'!$I16 &gt; 350000, 'Rent Table'!$I16 &lt;= 450000), "350,001-450,000",
AND('Rent Table'!$I16 &gt; 450000, 'Rent Table'!$I16 &lt;= 600000), "450,001-600,000",
AND('Rent Table'!$I16 &gt; 600000, 'Rent Table'!$I16 &lt;= 750000), "600,001-750,000",'Rent Table'!$I16 &gt; 750000, "750,000+",
TRUE, "Undefined"
         )</f>
        <v>50,001-150,000</v>
      </c>
    </row>
    <row r="17" spans="1:19" x14ac:dyDescent="0.45">
      <c r="A17" s="13" t="s">
        <v>395</v>
      </c>
      <c r="B17" s="13" t="s">
        <v>258</v>
      </c>
      <c r="C17" s="10" t="s">
        <v>51</v>
      </c>
      <c r="D17" s="13" t="s">
        <v>383</v>
      </c>
      <c r="E17" s="10" t="s">
        <v>238</v>
      </c>
      <c r="F17" s="10" t="s">
        <v>54</v>
      </c>
      <c r="G17" s="54">
        <v>45566</v>
      </c>
      <c r="H17" s="13" t="s">
        <v>384</v>
      </c>
      <c r="I17" s="11">
        <v>185375</v>
      </c>
      <c r="J17" s="13" t="s">
        <v>59</v>
      </c>
      <c r="K17" s="56">
        <v>18.030550000000002</v>
      </c>
      <c r="L17" s="10">
        <v>40905</v>
      </c>
      <c r="M17" s="10">
        <v>61.5</v>
      </c>
      <c r="N17" s="56">
        <v>1</v>
      </c>
      <c r="O17" s="10">
        <v>1.5</v>
      </c>
      <c r="P17" s="10">
        <v>1</v>
      </c>
      <c r="Q17" s="10">
        <v>2005</v>
      </c>
      <c r="R17" s="10" t="s">
        <v>378</v>
      </c>
      <c r="S17" s="10" t="str" cm="1">
        <f t="array" ref="S17">_xlfn.IFS(AND('Rent Table'!$I17&gt;0,'Rent Table'!$I17&lt;=50000),"0-50,000",
AND('Rent Table'!$I17 &gt; 50000, 'Rent Table'!$I17 &lt;= 150000), "50,001-150,000",
AND('Rent Table'!$I17 &gt; 150000, 'Rent Table'!$I17 &lt;= 250000), "150,001-250,000",
AND('Rent Table'!$I17 &gt; 250000, 'Rent Table'!$I17 &lt;= 350000), "250,001-350,000",
AND('Rent Table'!$I17 &gt; 350000, 'Rent Table'!$I17 &lt;= 450000), "350,001-450,000",
AND('Rent Table'!$I17 &gt; 450000, 'Rent Table'!$I17 &lt;= 600000), "450,001-600,000",
AND('Rent Table'!$I17 &gt; 600000, 'Rent Table'!$I17 &lt;= 750000), "600,001-750,000",'Rent Table'!$I17 &gt; 750000, "750,000+",
TRUE, "Undefined"
         )</f>
        <v>150,001-250,000</v>
      </c>
    </row>
    <row r="18" spans="1:19" x14ac:dyDescent="0.45">
      <c r="A18" s="13" t="s">
        <v>396</v>
      </c>
      <c r="B18" s="13" t="s">
        <v>258</v>
      </c>
      <c r="C18" s="10" t="s">
        <v>51</v>
      </c>
      <c r="D18" s="13" t="s">
        <v>383</v>
      </c>
      <c r="E18" s="10" t="s">
        <v>238</v>
      </c>
      <c r="F18" s="10" t="s">
        <v>54</v>
      </c>
      <c r="G18" s="54">
        <v>45566</v>
      </c>
      <c r="H18" s="13" t="s">
        <v>384</v>
      </c>
      <c r="I18" s="11">
        <v>242143</v>
      </c>
      <c r="J18" s="13" t="s">
        <v>59</v>
      </c>
      <c r="K18" s="56">
        <v>21.151900000000001</v>
      </c>
      <c r="L18" s="10">
        <v>48330</v>
      </c>
      <c r="M18" s="10">
        <v>64</v>
      </c>
      <c r="N18" s="56" t="s">
        <v>378</v>
      </c>
      <c r="O18" s="10">
        <v>4</v>
      </c>
      <c r="P18" s="10">
        <v>1</v>
      </c>
      <c r="Q18" s="10">
        <v>2002</v>
      </c>
      <c r="R18" s="10" t="s">
        <v>378</v>
      </c>
      <c r="S18" s="10" t="str" cm="1">
        <f t="array" ref="S18">_xlfn.IFS(AND('Rent Table'!$I18&gt;0,'Rent Table'!$I18&lt;=50000),"0-50,000",
AND('Rent Table'!$I18 &gt; 50000, 'Rent Table'!$I18 &lt;= 150000), "50,001-150,000",
AND('Rent Table'!$I18 &gt; 150000, 'Rent Table'!$I18 &lt;= 250000), "150,001-250,000",
AND('Rent Table'!$I18 &gt; 250000, 'Rent Table'!$I18 &lt;= 350000), "250,001-350,000",
AND('Rent Table'!$I18 &gt; 350000, 'Rent Table'!$I18 &lt;= 450000), "350,001-450,000",
AND('Rent Table'!$I18 &gt; 450000, 'Rent Table'!$I18 &lt;= 600000), "450,001-600,000",
AND('Rent Table'!$I18 &gt; 600000, 'Rent Table'!$I18 &lt;= 750000), "600,001-750,000",'Rent Table'!$I18 &gt; 750000, "750,000+",
TRUE, "Undefined"
         )</f>
        <v>150,001-250,000</v>
      </c>
    </row>
    <row r="19" spans="1:19" x14ac:dyDescent="0.45">
      <c r="A19" s="13" t="s">
        <v>397</v>
      </c>
      <c r="B19" s="13" t="s">
        <v>7</v>
      </c>
      <c r="C19" s="10" t="s">
        <v>51</v>
      </c>
      <c r="D19" s="13" t="s">
        <v>237</v>
      </c>
      <c r="E19" s="10" t="s">
        <v>238</v>
      </c>
      <c r="F19" s="10" t="s">
        <v>54</v>
      </c>
      <c r="G19" s="54">
        <v>45566</v>
      </c>
      <c r="H19" s="13" t="s">
        <v>240</v>
      </c>
      <c r="I19" s="55">
        <v>46479</v>
      </c>
      <c r="J19" s="13" t="s">
        <v>59</v>
      </c>
      <c r="K19" s="56">
        <v>20.3035</v>
      </c>
      <c r="L19" s="10">
        <v>23949</v>
      </c>
      <c r="M19" s="10">
        <v>35</v>
      </c>
      <c r="N19" s="56" t="s">
        <v>378</v>
      </c>
      <c r="O19" s="10">
        <v>1</v>
      </c>
      <c r="P19" s="10" t="s">
        <v>378</v>
      </c>
      <c r="Q19" s="10">
        <v>2011</v>
      </c>
      <c r="R19" s="10">
        <v>2012</v>
      </c>
      <c r="S19" s="10" t="str" cm="1">
        <f t="array" ref="S19">_xlfn.IFS(AND('Rent Table'!$I19&gt;0,'Rent Table'!$I19&lt;=50000),"0-50,000",
AND('Rent Table'!$I19 &gt; 50000, 'Rent Table'!$I19 &lt;= 150000), "50,001-150,000",
AND('Rent Table'!$I19 &gt; 150000, 'Rent Table'!$I19 &lt;= 250000), "150,001-250,000",
AND('Rent Table'!$I19 &gt; 250000, 'Rent Table'!$I19 &lt;= 350000), "250,001-350,000",
AND('Rent Table'!$I19 &gt; 350000, 'Rent Table'!$I19 &lt;= 450000), "350,001-450,000",
AND('Rent Table'!$I19 &gt; 450000, 'Rent Table'!$I19 &lt;= 600000), "450,001-600,000",
AND('Rent Table'!$I19 &gt; 600000, 'Rent Table'!$I19 &lt;= 750000), "600,001-750,000",'Rent Table'!$I19 &gt; 750000, "750,000+",
TRUE, "Undefined"
         )</f>
        <v>0-50,000</v>
      </c>
    </row>
    <row r="20" spans="1:19" x14ac:dyDescent="0.45">
      <c r="A20" s="13" t="s">
        <v>398</v>
      </c>
      <c r="B20" s="13" t="s">
        <v>258</v>
      </c>
      <c r="C20" s="10" t="s">
        <v>51</v>
      </c>
      <c r="D20" s="13" t="s">
        <v>383</v>
      </c>
      <c r="E20" s="10" t="s">
        <v>238</v>
      </c>
      <c r="F20" s="10" t="s">
        <v>54</v>
      </c>
      <c r="G20" s="54">
        <v>45566</v>
      </c>
      <c r="H20" s="13" t="s">
        <v>384</v>
      </c>
      <c r="I20" s="11">
        <v>35186</v>
      </c>
      <c r="J20" s="13" t="s">
        <v>59</v>
      </c>
      <c r="K20" s="56">
        <v>12.4838</v>
      </c>
      <c r="L20" s="10">
        <v>17666</v>
      </c>
      <c r="M20" s="10">
        <v>36</v>
      </c>
      <c r="N20" s="56" t="s">
        <v>378</v>
      </c>
      <c r="O20" s="10">
        <v>0.5</v>
      </c>
      <c r="P20" s="10">
        <v>1</v>
      </c>
      <c r="Q20" s="10">
        <v>1971</v>
      </c>
      <c r="R20" s="10" t="s">
        <v>378</v>
      </c>
      <c r="S20" s="10" t="str" cm="1">
        <f t="array" ref="S20">_xlfn.IFS(AND('Rent Table'!$I20&gt;0,'Rent Table'!$I20&lt;=50000),"0-50,000",
AND('Rent Table'!$I20 &gt; 50000, 'Rent Table'!$I20 &lt;= 150000), "50,001-150,000",
AND('Rent Table'!$I20 &gt; 150000, 'Rent Table'!$I20 &lt;= 250000), "150,001-250,000",
AND('Rent Table'!$I20 &gt; 250000, 'Rent Table'!$I20 &lt;= 350000), "250,001-350,000",
AND('Rent Table'!$I20 &gt; 350000, 'Rent Table'!$I20 &lt;= 450000), "350,001-450,000",
AND('Rent Table'!$I20 &gt; 450000, 'Rent Table'!$I20 &lt;= 600000), "450,001-600,000",
AND('Rent Table'!$I20 &gt; 600000, 'Rent Table'!$I20 &lt;= 750000), "600,001-750,000",'Rent Table'!$I20 &gt; 750000, "750,000+",
TRUE, "Undefined"
         )</f>
        <v>0-50,000</v>
      </c>
    </row>
    <row r="21" spans="1:19" x14ac:dyDescent="0.45">
      <c r="A21" s="13" t="s">
        <v>399</v>
      </c>
      <c r="B21" s="13" t="s">
        <v>7</v>
      </c>
      <c r="C21" s="10" t="s">
        <v>51</v>
      </c>
      <c r="D21" s="13" t="s">
        <v>237</v>
      </c>
      <c r="E21" s="10" t="s">
        <v>238</v>
      </c>
      <c r="F21" s="10" t="s">
        <v>54</v>
      </c>
      <c r="G21" s="54">
        <v>45566</v>
      </c>
      <c r="H21" s="13" t="s">
        <v>240</v>
      </c>
      <c r="I21" s="55">
        <v>117460</v>
      </c>
      <c r="J21" s="13" t="s">
        <v>59</v>
      </c>
      <c r="K21" s="56">
        <v>25.9481</v>
      </c>
      <c r="L21" s="10">
        <v>90133</v>
      </c>
      <c r="M21" s="10">
        <v>60</v>
      </c>
      <c r="N21" s="56" t="s">
        <v>378</v>
      </c>
      <c r="O21" s="10" t="s">
        <v>378</v>
      </c>
      <c r="P21" s="10">
        <v>1</v>
      </c>
      <c r="Q21" s="10">
        <v>2000</v>
      </c>
      <c r="R21" s="10" t="s">
        <v>378</v>
      </c>
      <c r="S21" s="10" t="str" cm="1">
        <f t="array" ref="S21">_xlfn.IFS(AND('Rent Table'!$I21&gt;0,'Rent Table'!$I21&lt;=50000),"0-50,000",
AND('Rent Table'!$I21 &gt; 50000, 'Rent Table'!$I21 &lt;= 150000), "50,001-150,000",
AND('Rent Table'!$I21 &gt; 150000, 'Rent Table'!$I21 &lt;= 250000), "150,001-250,000",
AND('Rent Table'!$I21 &gt; 250000, 'Rent Table'!$I21 &lt;= 350000), "250,001-350,000",
AND('Rent Table'!$I21 &gt; 350000, 'Rent Table'!$I21 &lt;= 450000), "350,001-450,000",
AND('Rent Table'!$I21 &gt; 450000, 'Rent Table'!$I21 &lt;= 600000), "450,001-600,000",
AND('Rent Table'!$I21 &gt; 600000, 'Rent Table'!$I21 &lt;= 750000), "600,001-750,000",'Rent Table'!$I21 &gt; 750000, "750,000+",
TRUE, "Undefined"
         )</f>
        <v>50,001-150,000</v>
      </c>
    </row>
    <row r="22" spans="1:19" x14ac:dyDescent="0.45">
      <c r="A22" s="13" t="s">
        <v>400</v>
      </c>
      <c r="B22" s="13" t="s">
        <v>7</v>
      </c>
      <c r="C22" s="10" t="s">
        <v>51</v>
      </c>
      <c r="D22" s="13" t="s">
        <v>237</v>
      </c>
      <c r="E22" s="10" t="s">
        <v>238</v>
      </c>
      <c r="F22" s="10" t="s">
        <v>54</v>
      </c>
      <c r="G22" s="54">
        <v>45566</v>
      </c>
      <c r="H22" s="13" t="s">
        <v>240</v>
      </c>
      <c r="I22" s="55">
        <v>277000</v>
      </c>
      <c r="J22" s="13" t="s">
        <v>59</v>
      </c>
      <c r="K22" s="56">
        <v>16.220300000000002</v>
      </c>
      <c r="L22" s="10">
        <v>106898</v>
      </c>
      <c r="M22" s="10">
        <v>61</v>
      </c>
      <c r="N22" s="56">
        <v>1</v>
      </c>
      <c r="O22" s="10">
        <v>1</v>
      </c>
      <c r="P22" s="10">
        <v>2</v>
      </c>
      <c r="Q22" s="10">
        <v>2012</v>
      </c>
      <c r="R22" s="10">
        <v>2013</v>
      </c>
      <c r="S22" s="10" t="str" cm="1">
        <f t="array" ref="S22">_xlfn.IFS(AND('Rent Table'!$I22&gt;0,'Rent Table'!$I22&lt;=50000),"0-50,000",
AND('Rent Table'!$I22 &gt; 50000, 'Rent Table'!$I22 &lt;= 150000), "50,001-150,000",
AND('Rent Table'!$I22 &gt; 150000, 'Rent Table'!$I22 &lt;= 250000), "150,001-250,000",
AND('Rent Table'!$I22 &gt; 250000, 'Rent Table'!$I22 &lt;= 350000), "250,001-350,000",
AND('Rent Table'!$I22 &gt; 350000, 'Rent Table'!$I22 &lt;= 450000), "350,001-450,000",
AND('Rent Table'!$I22 &gt; 450000, 'Rent Table'!$I22 &lt;= 600000), "450,001-600,000",
AND('Rent Table'!$I22 &gt; 600000, 'Rent Table'!$I22 &lt;= 750000), "600,001-750,000",'Rent Table'!$I22 &gt; 750000, "750,000+",
TRUE, "Undefined"
         )</f>
        <v>250,001-350,000</v>
      </c>
    </row>
    <row r="23" spans="1:19" x14ac:dyDescent="0.45">
      <c r="A23" s="13" t="s">
        <v>401</v>
      </c>
      <c r="B23" s="13" t="s">
        <v>258</v>
      </c>
      <c r="C23" s="10" t="s">
        <v>51</v>
      </c>
      <c r="D23" s="13" t="s">
        <v>383</v>
      </c>
      <c r="E23" s="10" t="s">
        <v>238</v>
      </c>
      <c r="F23" s="10" t="s">
        <v>54</v>
      </c>
      <c r="G23" s="54">
        <v>45566</v>
      </c>
      <c r="H23" s="13" t="s">
        <v>384</v>
      </c>
      <c r="I23" s="11">
        <v>210938</v>
      </c>
      <c r="J23" s="13" t="s">
        <v>59</v>
      </c>
      <c r="K23" s="56">
        <v>21.990400000000001</v>
      </c>
      <c r="L23" s="10">
        <v>107753</v>
      </c>
      <c r="M23" s="10">
        <v>64</v>
      </c>
      <c r="N23" s="56">
        <v>1.5</v>
      </c>
      <c r="O23" s="10">
        <v>1</v>
      </c>
      <c r="P23" s="10">
        <v>1</v>
      </c>
      <c r="Q23" s="10">
        <v>2000</v>
      </c>
      <c r="R23" s="10">
        <v>2005</v>
      </c>
      <c r="S23" s="10" t="str" cm="1">
        <f t="array" ref="S23">_xlfn.IFS(AND('Rent Table'!$I23&gt;0,'Rent Table'!$I23&lt;=50000),"0-50,000",
AND('Rent Table'!$I23 &gt; 50000, 'Rent Table'!$I23 &lt;= 150000), "50,001-150,000",
AND('Rent Table'!$I23 &gt; 150000, 'Rent Table'!$I23 &lt;= 250000), "150,001-250,000",
AND('Rent Table'!$I23 &gt; 250000, 'Rent Table'!$I23 &lt;= 350000), "250,001-350,000",
AND('Rent Table'!$I23 &gt; 350000, 'Rent Table'!$I23 &lt;= 450000), "350,001-450,000",
AND('Rent Table'!$I23 &gt; 450000, 'Rent Table'!$I23 &lt;= 600000), "450,001-600,000",
AND('Rent Table'!$I23 &gt; 600000, 'Rent Table'!$I23 &lt;= 750000), "600,001-750,000",'Rent Table'!$I23 &gt; 750000, "750,000+",
TRUE, "Undefined"
         )</f>
        <v>150,001-250,000</v>
      </c>
    </row>
    <row r="24" spans="1:19" x14ac:dyDescent="0.45">
      <c r="A24" s="13" t="s">
        <v>402</v>
      </c>
      <c r="B24" s="13" t="s">
        <v>258</v>
      </c>
      <c r="C24" s="10" t="s">
        <v>51</v>
      </c>
      <c r="D24" s="13" t="s">
        <v>383</v>
      </c>
      <c r="E24" s="10" t="s">
        <v>238</v>
      </c>
      <c r="F24" s="10" t="s">
        <v>54</v>
      </c>
      <c r="G24" s="54">
        <v>45566</v>
      </c>
      <c r="H24" s="13" t="s">
        <v>384</v>
      </c>
      <c r="I24" s="11">
        <v>108873</v>
      </c>
      <c r="J24" s="13" t="s">
        <v>59</v>
      </c>
      <c r="K24" s="56">
        <v>21.697700000000001</v>
      </c>
      <c r="L24" s="10">
        <v>107603</v>
      </c>
      <c r="M24" s="10">
        <v>60</v>
      </c>
      <c r="N24" s="56" t="s">
        <v>378</v>
      </c>
      <c r="O24" s="10">
        <v>2</v>
      </c>
      <c r="P24" s="10">
        <v>2</v>
      </c>
      <c r="Q24" s="10">
        <v>2004</v>
      </c>
      <c r="R24" s="10">
        <v>2005</v>
      </c>
      <c r="S24" s="10" t="str" cm="1">
        <f t="array" ref="S24">_xlfn.IFS(AND('Rent Table'!$I24&gt;0,'Rent Table'!$I24&lt;=50000),"0-50,000",
AND('Rent Table'!$I24 &gt; 50000, 'Rent Table'!$I24 &lt;= 150000), "50,001-150,000",
AND('Rent Table'!$I24 &gt; 150000, 'Rent Table'!$I24 &lt;= 250000), "150,001-250,000",
AND('Rent Table'!$I24 &gt; 250000, 'Rent Table'!$I24 &lt;= 350000), "250,001-350,000",
AND('Rent Table'!$I24 &gt; 350000, 'Rent Table'!$I24 &lt;= 450000), "350,001-450,000",
AND('Rent Table'!$I24 &gt; 450000, 'Rent Table'!$I24 &lt;= 600000), "450,001-600,000",
AND('Rent Table'!$I24 &gt; 600000, 'Rent Table'!$I24 &lt;= 750000), "600,001-750,000",'Rent Table'!$I24 &gt; 750000, "750,000+",
TRUE, "Undefined"
         )</f>
        <v>50,001-150,000</v>
      </c>
    </row>
    <row r="25" spans="1:19" x14ac:dyDescent="0.45">
      <c r="A25" s="13" t="s">
        <v>403</v>
      </c>
      <c r="B25" s="13" t="s">
        <v>7</v>
      </c>
      <c r="C25" s="10" t="s">
        <v>51</v>
      </c>
      <c r="D25" s="13" t="s">
        <v>237</v>
      </c>
      <c r="E25" s="10" t="s">
        <v>238</v>
      </c>
      <c r="F25" s="10" t="s">
        <v>54</v>
      </c>
      <c r="G25" s="54">
        <v>45566</v>
      </c>
      <c r="H25" s="13" t="s">
        <v>240</v>
      </c>
      <c r="I25" s="55">
        <v>123345</v>
      </c>
      <c r="J25" s="13" t="s">
        <v>59</v>
      </c>
      <c r="K25" s="56">
        <v>28.968499999999999</v>
      </c>
      <c r="L25" s="10">
        <v>123345</v>
      </c>
      <c r="M25" s="10">
        <v>120</v>
      </c>
      <c r="N25" s="56" t="s">
        <v>378</v>
      </c>
      <c r="O25" s="10">
        <v>1.5</v>
      </c>
      <c r="P25" s="10">
        <v>1</v>
      </c>
      <c r="Q25" s="10">
        <v>2000</v>
      </c>
      <c r="R25" s="10" t="s">
        <v>378</v>
      </c>
      <c r="S25" s="10" t="str" cm="1">
        <f t="array" ref="S25">_xlfn.IFS(AND('Rent Table'!$I25&gt;0,'Rent Table'!$I25&lt;=50000),"0-50,000",
AND('Rent Table'!$I25 &gt; 50000, 'Rent Table'!$I25 &lt;= 150000), "50,001-150,000",
AND('Rent Table'!$I25 &gt; 150000, 'Rent Table'!$I25 &lt;= 250000), "150,001-250,000",
AND('Rent Table'!$I25 &gt; 250000, 'Rent Table'!$I25 &lt;= 350000), "250,001-350,000",
AND('Rent Table'!$I25 &gt; 350000, 'Rent Table'!$I25 &lt;= 450000), "350,001-450,000",
AND('Rent Table'!$I25 &gt; 450000, 'Rent Table'!$I25 &lt;= 600000), "450,001-600,000",
AND('Rent Table'!$I25 &gt; 600000, 'Rent Table'!$I25 &lt;= 750000), "600,001-750,000",'Rent Table'!$I25 &gt; 750000, "750,000+",
TRUE, "Undefined"
         )</f>
        <v>50,001-150,000</v>
      </c>
    </row>
    <row r="26" spans="1:19" x14ac:dyDescent="0.45">
      <c r="A26" s="13" t="s">
        <v>404</v>
      </c>
      <c r="B26" s="13" t="s">
        <v>258</v>
      </c>
      <c r="C26" s="10" t="s">
        <v>51</v>
      </c>
      <c r="D26" s="13" t="s">
        <v>383</v>
      </c>
      <c r="E26" s="10" t="s">
        <v>238</v>
      </c>
      <c r="F26" s="10" t="s">
        <v>54</v>
      </c>
      <c r="G26" s="54">
        <v>45566</v>
      </c>
      <c r="H26" s="13" t="s">
        <v>384</v>
      </c>
      <c r="I26" s="11">
        <v>16863</v>
      </c>
      <c r="J26" s="13" t="s">
        <v>59</v>
      </c>
      <c r="K26" s="56">
        <v>11.3567</v>
      </c>
      <c r="L26" s="10">
        <v>1752</v>
      </c>
      <c r="M26" s="10">
        <v>24</v>
      </c>
      <c r="N26" s="56" t="s">
        <v>378</v>
      </c>
      <c r="O26" s="10" t="s">
        <v>378</v>
      </c>
      <c r="P26" s="10">
        <v>1</v>
      </c>
      <c r="Q26" s="10">
        <v>1970</v>
      </c>
      <c r="R26" s="10" t="s">
        <v>378</v>
      </c>
      <c r="S26" s="10" t="str" cm="1">
        <f t="array" ref="S26">_xlfn.IFS(AND('Rent Table'!$I26&gt;0,'Rent Table'!$I26&lt;=50000),"0-50,000",
AND('Rent Table'!$I26 &gt; 50000, 'Rent Table'!$I26 &lt;= 150000), "50,001-150,000",
AND('Rent Table'!$I26 &gt; 150000, 'Rent Table'!$I26 &lt;= 250000), "150,001-250,000",
AND('Rent Table'!$I26 &gt; 250000, 'Rent Table'!$I26 &lt;= 350000), "250,001-350,000",
AND('Rent Table'!$I26 &gt; 350000, 'Rent Table'!$I26 &lt;= 450000), "350,001-450,000",
AND('Rent Table'!$I26 &gt; 450000, 'Rent Table'!$I26 &lt;= 600000), "450,001-600,000",
AND('Rent Table'!$I26 &gt; 600000, 'Rent Table'!$I26 &lt;= 750000), "600,001-750,000",'Rent Table'!$I26 &gt; 750000, "750,000+",
TRUE, "Undefined"
         )</f>
        <v>0-50,000</v>
      </c>
    </row>
    <row r="27" spans="1:19" x14ac:dyDescent="0.45">
      <c r="A27" s="13" t="s">
        <v>405</v>
      </c>
      <c r="B27" s="13" t="s">
        <v>258</v>
      </c>
      <c r="C27" s="10" t="s">
        <v>51</v>
      </c>
      <c r="D27" s="13" t="s">
        <v>383</v>
      </c>
      <c r="E27" s="10" t="s">
        <v>238</v>
      </c>
      <c r="F27" s="10" t="s">
        <v>54</v>
      </c>
      <c r="G27" s="54">
        <v>45566</v>
      </c>
      <c r="H27" s="13" t="s">
        <v>384</v>
      </c>
      <c r="I27" s="11">
        <v>16862</v>
      </c>
      <c r="J27" s="13" t="s">
        <v>59</v>
      </c>
      <c r="K27" s="56">
        <v>10.7525</v>
      </c>
      <c r="L27" s="10">
        <v>2592</v>
      </c>
      <c r="M27" s="10">
        <v>36</v>
      </c>
      <c r="N27" s="56" t="s">
        <v>378</v>
      </c>
      <c r="O27" s="10" t="s">
        <v>378</v>
      </c>
      <c r="P27" s="10">
        <v>1</v>
      </c>
      <c r="Q27" s="10">
        <v>1970</v>
      </c>
      <c r="R27" s="10" t="s">
        <v>378</v>
      </c>
      <c r="S27" s="10" t="str" cm="1">
        <f t="array" ref="S27">_xlfn.IFS(AND('Rent Table'!$I27&gt;0,'Rent Table'!$I27&lt;=50000),"0-50,000",
AND('Rent Table'!$I27 &gt; 50000, 'Rent Table'!$I27 &lt;= 150000), "50,001-150,000",
AND('Rent Table'!$I27 &gt; 150000, 'Rent Table'!$I27 &lt;= 250000), "150,001-250,000",
AND('Rent Table'!$I27 &gt; 250000, 'Rent Table'!$I27 &lt;= 350000), "250,001-350,000",
AND('Rent Table'!$I27 &gt; 350000, 'Rent Table'!$I27 &lt;= 450000), "350,001-450,000",
AND('Rent Table'!$I27 &gt; 450000, 'Rent Table'!$I27 &lt;= 600000), "450,001-600,000",
AND('Rent Table'!$I27 &gt; 600000, 'Rent Table'!$I27 &lt;= 750000), "600,001-750,000",'Rent Table'!$I27 &gt; 750000, "750,000+",
TRUE, "Undefined"
         )</f>
        <v>0-50,000</v>
      </c>
    </row>
    <row r="28" spans="1:19" x14ac:dyDescent="0.45">
      <c r="A28" s="13" t="s">
        <v>406</v>
      </c>
      <c r="B28" s="13" t="s">
        <v>258</v>
      </c>
      <c r="C28" s="10" t="s">
        <v>51</v>
      </c>
      <c r="D28" s="13" t="s">
        <v>383</v>
      </c>
      <c r="E28" s="10" t="s">
        <v>238</v>
      </c>
      <c r="F28" s="10" t="s">
        <v>54</v>
      </c>
      <c r="G28" s="54">
        <v>45566</v>
      </c>
      <c r="H28" s="13" t="s">
        <v>384</v>
      </c>
      <c r="I28" s="11">
        <v>16882</v>
      </c>
      <c r="J28" s="13" t="s">
        <v>59</v>
      </c>
      <c r="K28" s="56">
        <v>12.214404999999999</v>
      </c>
      <c r="L28" s="10">
        <v>2555</v>
      </c>
      <c r="M28" s="10">
        <v>48.5</v>
      </c>
      <c r="N28" s="56" t="s">
        <v>378</v>
      </c>
      <c r="O28" s="10">
        <v>1</v>
      </c>
      <c r="P28" s="10">
        <v>1</v>
      </c>
      <c r="Q28" s="10">
        <v>1970</v>
      </c>
      <c r="R28" s="10" t="s">
        <v>378</v>
      </c>
      <c r="S28" s="10" t="str" cm="1">
        <f t="array" ref="S28">_xlfn.IFS(AND('Rent Table'!$I28&gt;0,'Rent Table'!$I28&lt;=50000),"0-50,000",
AND('Rent Table'!$I28 &gt; 50000, 'Rent Table'!$I28 &lt;= 150000), "50,001-150,000",
AND('Rent Table'!$I28 &gt; 150000, 'Rent Table'!$I28 &lt;= 250000), "150,001-250,000",
AND('Rent Table'!$I28 &gt; 250000, 'Rent Table'!$I28 &lt;= 350000), "250,001-350,000",
AND('Rent Table'!$I28 &gt; 350000, 'Rent Table'!$I28 &lt;= 450000), "350,001-450,000",
AND('Rent Table'!$I28 &gt; 450000, 'Rent Table'!$I28 &lt;= 600000), "450,001-600,000",
AND('Rent Table'!$I28 &gt; 600000, 'Rent Table'!$I28 &lt;= 750000), "600,001-750,000",'Rent Table'!$I28 &gt; 750000, "750,000+",
TRUE, "Undefined"
         )</f>
        <v>0-50,000</v>
      </c>
    </row>
    <row r="29" spans="1:19" x14ac:dyDescent="0.45">
      <c r="A29" s="13" t="s">
        <v>407</v>
      </c>
      <c r="B29" s="13" t="s">
        <v>258</v>
      </c>
      <c r="C29" s="10" t="s">
        <v>51</v>
      </c>
      <c r="D29" s="13" t="s">
        <v>383</v>
      </c>
      <c r="E29" s="10" t="s">
        <v>238</v>
      </c>
      <c r="F29" s="10" t="s">
        <v>54</v>
      </c>
      <c r="G29" s="54">
        <v>45566</v>
      </c>
      <c r="H29" s="13" t="s">
        <v>384</v>
      </c>
      <c r="I29" s="11">
        <v>16862</v>
      </c>
      <c r="J29" s="13" t="s">
        <v>59</v>
      </c>
      <c r="K29" s="56">
        <v>12.9391</v>
      </c>
      <c r="L29" s="10">
        <v>1752</v>
      </c>
      <c r="M29" s="10">
        <v>36</v>
      </c>
      <c r="N29" s="56" t="s">
        <v>378</v>
      </c>
      <c r="O29" s="10" t="s">
        <v>378</v>
      </c>
      <c r="P29" s="10">
        <v>1</v>
      </c>
      <c r="Q29" s="10">
        <v>1970</v>
      </c>
      <c r="R29" s="10" t="s">
        <v>378</v>
      </c>
      <c r="S29" s="10" t="str" cm="1">
        <f t="array" ref="S29">_xlfn.IFS(AND('Rent Table'!$I29&gt;0,'Rent Table'!$I29&lt;=50000),"0-50,000",
AND('Rent Table'!$I29 &gt; 50000, 'Rent Table'!$I29 &lt;= 150000), "50,001-150,000",
AND('Rent Table'!$I29 &gt; 150000, 'Rent Table'!$I29 &lt;= 250000), "150,001-250,000",
AND('Rent Table'!$I29 &gt; 250000, 'Rent Table'!$I29 &lt;= 350000), "250,001-350,000",
AND('Rent Table'!$I29 &gt; 350000, 'Rent Table'!$I29 &lt;= 450000), "350,001-450,000",
AND('Rent Table'!$I29 &gt; 450000, 'Rent Table'!$I29 &lt;= 600000), "450,001-600,000",
AND('Rent Table'!$I29 &gt; 600000, 'Rent Table'!$I29 &lt;= 750000), "600,001-750,000",'Rent Table'!$I29 &gt; 750000, "750,000+",
TRUE, "Undefined"
         )</f>
        <v>0-50,000</v>
      </c>
    </row>
    <row r="30" spans="1:19" x14ac:dyDescent="0.45">
      <c r="A30" s="13" t="s">
        <v>408</v>
      </c>
      <c r="B30" s="13" t="s">
        <v>258</v>
      </c>
      <c r="C30" s="10" t="s">
        <v>51</v>
      </c>
      <c r="D30" s="13" t="s">
        <v>383</v>
      </c>
      <c r="E30" s="10" t="s">
        <v>238</v>
      </c>
      <c r="F30" s="10" t="s">
        <v>54</v>
      </c>
      <c r="G30" s="54">
        <v>45566</v>
      </c>
      <c r="H30" s="13" t="s">
        <v>384</v>
      </c>
      <c r="I30" s="11">
        <v>40332</v>
      </c>
      <c r="J30" s="13" t="s">
        <v>59</v>
      </c>
      <c r="K30" s="56">
        <v>12.464399999999999</v>
      </c>
      <c r="L30" s="10">
        <v>1752</v>
      </c>
      <c r="M30" s="10">
        <v>36</v>
      </c>
      <c r="N30" s="56" t="s">
        <v>378</v>
      </c>
      <c r="O30" s="10" t="s">
        <v>378</v>
      </c>
      <c r="P30" s="10">
        <v>1</v>
      </c>
      <c r="Q30" s="10">
        <v>1970</v>
      </c>
      <c r="R30" s="10" t="s">
        <v>378</v>
      </c>
      <c r="S30" s="10" t="str" cm="1">
        <f t="array" ref="S30">_xlfn.IFS(AND('Rent Table'!$I30&gt;0,'Rent Table'!$I30&lt;=50000),"0-50,000",
AND('Rent Table'!$I30 &gt; 50000, 'Rent Table'!$I30 &lt;= 150000), "50,001-150,000",
AND('Rent Table'!$I30 &gt; 150000, 'Rent Table'!$I30 &lt;= 250000), "150,001-250,000",
AND('Rent Table'!$I30 &gt; 250000, 'Rent Table'!$I30 &lt;= 350000), "250,001-350,000",
AND('Rent Table'!$I30 &gt; 350000, 'Rent Table'!$I30 &lt;= 450000), "350,001-450,000",
AND('Rent Table'!$I30 &gt; 450000, 'Rent Table'!$I30 &lt;= 600000), "450,001-600,000",
AND('Rent Table'!$I30 &gt; 600000, 'Rent Table'!$I30 &lt;= 750000), "600,001-750,000",'Rent Table'!$I30 &gt; 750000, "750,000+",
TRUE, "Undefined"
         )</f>
        <v>0-50,000</v>
      </c>
    </row>
    <row r="31" spans="1:19" x14ac:dyDescent="0.45">
      <c r="A31" s="13" t="s">
        <v>409</v>
      </c>
      <c r="B31" s="13" t="s">
        <v>258</v>
      </c>
      <c r="C31" s="10" t="s">
        <v>51</v>
      </c>
      <c r="D31" s="13" t="s">
        <v>383</v>
      </c>
      <c r="E31" s="10" t="s">
        <v>238</v>
      </c>
      <c r="F31" s="10" t="s">
        <v>54</v>
      </c>
      <c r="G31" s="54">
        <v>45566</v>
      </c>
      <c r="H31" s="13" t="s">
        <v>384</v>
      </c>
      <c r="I31" s="11">
        <v>16863</v>
      </c>
      <c r="J31" s="13" t="s">
        <v>59</v>
      </c>
      <c r="K31" s="56">
        <v>13.015599999999999</v>
      </c>
      <c r="L31" s="10">
        <v>2336</v>
      </c>
      <c r="M31" s="10">
        <v>24</v>
      </c>
      <c r="N31" s="56" t="s">
        <v>378</v>
      </c>
      <c r="O31" s="10" t="s">
        <v>378</v>
      </c>
      <c r="P31" s="10">
        <v>1</v>
      </c>
      <c r="Q31" s="10">
        <v>1970</v>
      </c>
      <c r="R31" s="10" t="s">
        <v>378</v>
      </c>
      <c r="S31" s="10" t="str" cm="1">
        <f t="array" ref="S31">_xlfn.IFS(AND('Rent Table'!$I31&gt;0,'Rent Table'!$I31&lt;=50000),"0-50,000",
AND('Rent Table'!$I31 &gt; 50000, 'Rent Table'!$I31 &lt;= 150000), "50,001-150,000",
AND('Rent Table'!$I31 &gt; 150000, 'Rent Table'!$I31 &lt;= 250000), "150,001-250,000",
AND('Rent Table'!$I31 &gt; 250000, 'Rent Table'!$I31 &lt;= 350000), "250,001-350,000",
AND('Rent Table'!$I31 &gt; 350000, 'Rent Table'!$I31 &lt;= 450000), "350,001-450,000",
AND('Rent Table'!$I31 &gt; 450000, 'Rent Table'!$I31 &lt;= 600000), "450,001-600,000",
AND('Rent Table'!$I31 &gt; 600000, 'Rent Table'!$I31 &lt;= 750000), "600,001-750,000",'Rent Table'!$I31 &gt; 750000, "750,000+",
TRUE, "Undefined"
         )</f>
        <v>0-50,000</v>
      </c>
    </row>
    <row r="32" spans="1:19" x14ac:dyDescent="0.45">
      <c r="A32" s="13" t="s">
        <v>410</v>
      </c>
      <c r="B32" s="13" t="s">
        <v>7</v>
      </c>
      <c r="C32" s="10" t="s">
        <v>51</v>
      </c>
      <c r="D32" s="13" t="s">
        <v>237</v>
      </c>
      <c r="E32" s="10" t="s">
        <v>238</v>
      </c>
      <c r="F32" s="10" t="s">
        <v>54</v>
      </c>
      <c r="G32" s="54">
        <v>45566</v>
      </c>
      <c r="H32" s="13" t="s">
        <v>240</v>
      </c>
      <c r="I32" s="55">
        <v>107140</v>
      </c>
      <c r="J32" s="13" t="s">
        <v>59</v>
      </c>
      <c r="K32" s="56">
        <v>19.775300000000001</v>
      </c>
      <c r="L32" s="10">
        <v>107140</v>
      </c>
      <c r="M32" s="10">
        <v>123</v>
      </c>
      <c r="N32" s="56">
        <v>3</v>
      </c>
      <c r="O32" s="10">
        <v>3</v>
      </c>
      <c r="P32" s="10" t="s">
        <v>378</v>
      </c>
      <c r="Q32" s="10">
        <v>2022</v>
      </c>
      <c r="R32" s="10" t="s">
        <v>378</v>
      </c>
      <c r="S32" s="10" t="str" cm="1">
        <f t="array" ref="S32">_xlfn.IFS(AND('Rent Table'!$I32&gt;0,'Rent Table'!$I32&lt;=50000),"0-50,000",
AND('Rent Table'!$I32 &gt; 50000, 'Rent Table'!$I32 &lt;= 150000), "50,001-150,000",
AND('Rent Table'!$I32 &gt; 150000, 'Rent Table'!$I32 &lt;= 250000), "150,001-250,000",
AND('Rent Table'!$I32 &gt; 250000, 'Rent Table'!$I32 &lt;= 350000), "250,001-350,000",
AND('Rent Table'!$I32 &gt; 350000, 'Rent Table'!$I32 &lt;= 450000), "350,001-450,000",
AND('Rent Table'!$I32 &gt; 450000, 'Rent Table'!$I32 &lt;= 600000), "450,001-600,000",
AND('Rent Table'!$I32 &gt; 600000, 'Rent Table'!$I32 &lt;= 750000), "600,001-750,000",'Rent Table'!$I32 &gt; 750000, "750,000+",
TRUE, "Undefined"
         )</f>
        <v>50,001-150,000</v>
      </c>
    </row>
    <row r="33" spans="1:19" x14ac:dyDescent="0.45">
      <c r="A33" s="13" t="s">
        <v>411</v>
      </c>
      <c r="B33" s="13" t="s">
        <v>7</v>
      </c>
      <c r="C33" s="10" t="s">
        <v>51</v>
      </c>
      <c r="D33" s="13" t="s">
        <v>237</v>
      </c>
      <c r="E33" s="10" t="s">
        <v>238</v>
      </c>
      <c r="F33" s="10" t="s">
        <v>54</v>
      </c>
      <c r="G33" s="54">
        <v>45566</v>
      </c>
      <c r="H33" s="13" t="s">
        <v>240</v>
      </c>
      <c r="I33" s="55">
        <v>104544</v>
      </c>
      <c r="J33" s="13" t="s">
        <v>59</v>
      </c>
      <c r="K33" s="56">
        <v>20.2742</v>
      </c>
      <c r="L33" s="10">
        <v>104544</v>
      </c>
      <c r="M33" s="10">
        <v>123</v>
      </c>
      <c r="N33" s="56">
        <v>3</v>
      </c>
      <c r="O33" s="10">
        <v>3</v>
      </c>
      <c r="P33" s="10" t="s">
        <v>378</v>
      </c>
      <c r="Q33" s="10">
        <v>2022</v>
      </c>
      <c r="R33" s="10" t="s">
        <v>378</v>
      </c>
      <c r="S33" s="10" t="str" cm="1">
        <f t="array" ref="S33">_xlfn.IFS(AND('Rent Table'!$I33&gt;0,'Rent Table'!$I33&lt;=50000),"0-50,000",
AND('Rent Table'!$I33 &gt; 50000, 'Rent Table'!$I33 &lt;= 150000), "50,001-150,000",
AND('Rent Table'!$I33 &gt; 150000, 'Rent Table'!$I33 &lt;= 250000), "150,001-250,000",
AND('Rent Table'!$I33 &gt; 250000, 'Rent Table'!$I33 &lt;= 350000), "250,001-350,000",
AND('Rent Table'!$I33 &gt; 350000, 'Rent Table'!$I33 &lt;= 450000), "350,001-450,000",
AND('Rent Table'!$I33 &gt; 450000, 'Rent Table'!$I33 &lt;= 600000), "450,001-600,000",
AND('Rent Table'!$I33 &gt; 600000, 'Rent Table'!$I33 &lt;= 750000), "600,001-750,000",'Rent Table'!$I33 &gt; 750000, "750,000+",
TRUE, "Undefined"
         )</f>
        <v>50,001-150,000</v>
      </c>
    </row>
    <row r="34" spans="1:19" x14ac:dyDescent="0.45">
      <c r="A34" s="13" t="s">
        <v>412</v>
      </c>
      <c r="B34" s="13" t="s">
        <v>7</v>
      </c>
      <c r="C34" s="10" t="s">
        <v>51</v>
      </c>
      <c r="D34" s="13" t="s">
        <v>237</v>
      </c>
      <c r="E34" s="10" t="s">
        <v>238</v>
      </c>
      <c r="F34" s="10" t="s">
        <v>54</v>
      </c>
      <c r="G34" s="54">
        <v>45566</v>
      </c>
      <c r="H34" s="13" t="s">
        <v>240</v>
      </c>
      <c r="I34" s="55">
        <v>31505</v>
      </c>
      <c r="J34" s="13" t="s">
        <v>59</v>
      </c>
      <c r="K34" s="56">
        <v>24.827500000000001</v>
      </c>
      <c r="L34" s="10">
        <v>31505</v>
      </c>
      <c r="M34" s="10">
        <v>84</v>
      </c>
      <c r="N34" s="56">
        <v>7.94</v>
      </c>
      <c r="O34" s="10">
        <v>3</v>
      </c>
      <c r="P34" s="10">
        <v>1</v>
      </c>
      <c r="Q34" s="10">
        <v>1978</v>
      </c>
      <c r="R34" s="10">
        <v>1993</v>
      </c>
      <c r="S34" s="10" t="str" cm="1">
        <f t="array" ref="S34">_xlfn.IFS(AND('Rent Table'!$I34&gt;0,'Rent Table'!$I34&lt;=50000),"0-50,000",
AND('Rent Table'!$I34 &gt; 50000, 'Rent Table'!$I34 &lt;= 150000), "50,001-150,000",
AND('Rent Table'!$I34 &gt; 150000, 'Rent Table'!$I34 &lt;= 250000), "150,001-250,000",
AND('Rent Table'!$I34 &gt; 250000, 'Rent Table'!$I34 &lt;= 350000), "250,001-350,000",
AND('Rent Table'!$I34 &gt; 350000, 'Rent Table'!$I34 &lt;= 450000), "350,001-450,000",
AND('Rent Table'!$I34 &gt; 450000, 'Rent Table'!$I34 &lt;= 600000), "450,001-600,000",
AND('Rent Table'!$I34 &gt; 600000, 'Rent Table'!$I34 &lt;= 750000), "600,001-750,000",'Rent Table'!$I34 &gt; 750000, "750,000+",
TRUE, "Undefined"
         )</f>
        <v>0-50,000</v>
      </c>
    </row>
    <row r="35" spans="1:19" x14ac:dyDescent="0.45">
      <c r="A35" s="13" t="s">
        <v>413</v>
      </c>
      <c r="B35" s="13" t="s">
        <v>258</v>
      </c>
      <c r="C35" s="10" t="s">
        <v>51</v>
      </c>
      <c r="D35" s="13" t="s">
        <v>383</v>
      </c>
      <c r="E35" s="10" t="s">
        <v>238</v>
      </c>
      <c r="F35" s="10" t="s">
        <v>54</v>
      </c>
      <c r="G35" s="54">
        <v>45566</v>
      </c>
      <c r="H35" s="13" t="s">
        <v>384</v>
      </c>
      <c r="I35" s="11">
        <v>183473</v>
      </c>
      <c r="J35" s="13" t="s">
        <v>59</v>
      </c>
      <c r="K35" s="56">
        <v>18.754000000000001</v>
      </c>
      <c r="L35" s="10">
        <v>183473</v>
      </c>
      <c r="M35" s="10">
        <v>120</v>
      </c>
      <c r="N35" s="56" t="s">
        <v>378</v>
      </c>
      <c r="O35" s="10">
        <v>1</v>
      </c>
      <c r="P35" s="10">
        <v>1</v>
      </c>
      <c r="Q35" s="10">
        <v>2000</v>
      </c>
      <c r="R35" s="10" t="s">
        <v>378</v>
      </c>
      <c r="S35" s="10" t="str" cm="1">
        <f t="array" ref="S35">_xlfn.IFS(AND('Rent Table'!$I35&gt;0,'Rent Table'!$I35&lt;=50000),"0-50,000",
AND('Rent Table'!$I35 &gt; 50000, 'Rent Table'!$I35 &lt;= 150000), "50,001-150,000",
AND('Rent Table'!$I35 &gt; 150000, 'Rent Table'!$I35 &lt;= 250000), "150,001-250,000",
AND('Rent Table'!$I35 &gt; 250000, 'Rent Table'!$I35 &lt;= 350000), "250,001-350,000",
AND('Rent Table'!$I35 &gt; 350000, 'Rent Table'!$I35 &lt;= 450000), "350,001-450,000",
AND('Rent Table'!$I35 &gt; 450000, 'Rent Table'!$I35 &lt;= 600000), "450,001-600,000",
AND('Rent Table'!$I35 &gt; 600000, 'Rent Table'!$I35 &lt;= 750000), "600,001-750,000",'Rent Table'!$I35 &gt; 750000, "750,000+",
TRUE, "Undefined"
         )</f>
        <v>150,001-250,000</v>
      </c>
    </row>
    <row r="36" spans="1:19" x14ac:dyDescent="0.45">
      <c r="A36" s="13" t="s">
        <v>414</v>
      </c>
      <c r="B36" s="13" t="s">
        <v>7</v>
      </c>
      <c r="C36" s="10" t="s">
        <v>51</v>
      </c>
      <c r="D36" s="13" t="s">
        <v>237</v>
      </c>
      <c r="E36" s="10" t="s">
        <v>238</v>
      </c>
      <c r="F36" s="10" t="s">
        <v>54</v>
      </c>
      <c r="G36" s="54">
        <v>45566</v>
      </c>
      <c r="H36" s="13" t="s">
        <v>240</v>
      </c>
      <c r="I36" s="55">
        <v>34505</v>
      </c>
      <c r="J36" s="13" t="s">
        <v>59</v>
      </c>
      <c r="K36" s="56">
        <v>24.277000000000001</v>
      </c>
      <c r="L36" s="10">
        <v>25301</v>
      </c>
      <c r="M36" s="10">
        <v>89</v>
      </c>
      <c r="N36" s="56" t="s">
        <v>378</v>
      </c>
      <c r="O36" s="10">
        <v>4.34</v>
      </c>
      <c r="P36" s="10">
        <v>1</v>
      </c>
      <c r="Q36" s="10">
        <v>1978</v>
      </c>
      <c r="R36" s="10" t="s">
        <v>378</v>
      </c>
      <c r="S36" s="10" t="str" cm="1">
        <f t="array" ref="S36">_xlfn.IFS(AND('Rent Table'!$I36&gt;0,'Rent Table'!$I36&lt;=50000),"0-50,000",
AND('Rent Table'!$I36 &gt; 50000, 'Rent Table'!$I36 &lt;= 150000), "50,001-150,000",
AND('Rent Table'!$I36 &gt; 150000, 'Rent Table'!$I36 &lt;= 250000), "150,001-250,000",
AND('Rent Table'!$I36 &gt; 250000, 'Rent Table'!$I36 &lt;= 350000), "250,001-350,000",
AND('Rent Table'!$I36 &gt; 350000, 'Rent Table'!$I36 &lt;= 450000), "350,001-450,000",
AND('Rent Table'!$I36 &gt; 450000, 'Rent Table'!$I36 &lt;= 600000), "450,001-600,000",
AND('Rent Table'!$I36 &gt; 600000, 'Rent Table'!$I36 &lt;= 750000), "600,001-750,000",'Rent Table'!$I36 &gt; 750000, "750,000+",
TRUE, "Undefined"
         )</f>
        <v>0-50,000</v>
      </c>
    </row>
    <row r="37" spans="1:19" x14ac:dyDescent="0.45">
      <c r="A37" s="13" t="s">
        <v>415</v>
      </c>
      <c r="B37" s="13" t="s">
        <v>7</v>
      </c>
      <c r="C37" s="10" t="s">
        <v>51</v>
      </c>
      <c r="D37" s="13" t="s">
        <v>346</v>
      </c>
      <c r="E37" s="10" t="s">
        <v>238</v>
      </c>
      <c r="F37" s="10" t="s">
        <v>54</v>
      </c>
      <c r="G37" s="54">
        <v>45566</v>
      </c>
      <c r="H37" s="13" t="s">
        <v>240</v>
      </c>
      <c r="I37" s="55">
        <v>77843</v>
      </c>
      <c r="J37" s="13" t="s">
        <v>59</v>
      </c>
      <c r="K37" s="56">
        <v>16.751300000000001</v>
      </c>
      <c r="L37" s="10">
        <v>29978</v>
      </c>
      <c r="M37" s="10">
        <v>120</v>
      </c>
      <c r="N37" s="56" t="s">
        <v>378</v>
      </c>
      <c r="O37" s="10">
        <v>4</v>
      </c>
      <c r="P37" s="10">
        <v>1</v>
      </c>
      <c r="Q37" s="10">
        <v>1974</v>
      </c>
      <c r="R37" s="10" t="s">
        <v>378</v>
      </c>
      <c r="S37" s="10" t="str" cm="1">
        <f t="array" ref="S37">_xlfn.IFS(AND('Rent Table'!$I37&gt;0,'Rent Table'!$I37&lt;=50000),"0-50,000",
AND('Rent Table'!$I37 &gt; 50000, 'Rent Table'!$I37 &lt;= 150000), "50,001-150,000",
AND('Rent Table'!$I37 &gt; 150000, 'Rent Table'!$I37 &lt;= 250000), "150,001-250,000",
AND('Rent Table'!$I37 &gt; 250000, 'Rent Table'!$I37 &lt;= 350000), "250,001-350,000",
AND('Rent Table'!$I37 &gt; 350000, 'Rent Table'!$I37 &lt;= 450000), "350,001-450,000",
AND('Rent Table'!$I37 &gt; 450000, 'Rent Table'!$I37 &lt;= 600000), "450,001-600,000",
AND('Rent Table'!$I37 &gt; 600000, 'Rent Table'!$I37 &lt;= 750000), "600,001-750,000",'Rent Table'!$I37 &gt; 750000, "750,000+",
TRUE, "Undefined"
         )</f>
        <v>50,001-150,000</v>
      </c>
    </row>
    <row r="38" spans="1:19" x14ac:dyDescent="0.45">
      <c r="A38" s="13" t="s">
        <v>416</v>
      </c>
      <c r="B38" s="13" t="s">
        <v>244</v>
      </c>
      <c r="C38" s="10" t="s">
        <v>51</v>
      </c>
      <c r="D38" s="13" t="s">
        <v>245</v>
      </c>
      <c r="E38" s="10" t="s">
        <v>238</v>
      </c>
      <c r="F38" s="10" t="s">
        <v>54</v>
      </c>
      <c r="G38" s="54">
        <v>45505</v>
      </c>
      <c r="H38" s="13" t="s">
        <v>240</v>
      </c>
      <c r="I38" s="11">
        <v>45585</v>
      </c>
      <c r="J38" s="13" t="s">
        <v>59</v>
      </c>
      <c r="K38" s="56">
        <v>25.766400000000001</v>
      </c>
      <c r="L38" s="10">
        <v>20497</v>
      </c>
      <c r="M38" s="10">
        <v>120</v>
      </c>
      <c r="N38" s="56" t="s">
        <v>378</v>
      </c>
      <c r="O38" s="10" t="s">
        <v>378</v>
      </c>
      <c r="P38" s="10">
        <v>1</v>
      </c>
      <c r="Q38" s="10">
        <v>1970</v>
      </c>
      <c r="R38" s="10">
        <v>1982</v>
      </c>
      <c r="S38" s="10" t="str" cm="1">
        <f t="array" ref="S38">_xlfn.IFS(AND('Rent Table'!$I38&gt;0,'Rent Table'!$I38&lt;=50000),"0-50,000",
AND('Rent Table'!$I38 &gt; 50000, 'Rent Table'!$I38 &lt;= 150000), "50,001-150,000",
AND('Rent Table'!$I38 &gt; 150000, 'Rent Table'!$I38 &lt;= 250000), "150,001-250,000",
AND('Rent Table'!$I38 &gt; 250000, 'Rent Table'!$I38 &lt;= 350000), "250,001-350,000",
AND('Rent Table'!$I38 &gt; 350000, 'Rent Table'!$I38 &lt;= 450000), "350,001-450,000",
AND('Rent Table'!$I38 &gt; 450000, 'Rent Table'!$I38 &lt;= 600000), "450,001-600,000",
AND('Rent Table'!$I38 &gt; 600000, 'Rent Table'!$I38 &lt;= 750000), "600,001-750,000",'Rent Table'!$I38 &gt; 750000, "750,000+",
TRUE, "Undefined"
         )</f>
        <v>0-50,000</v>
      </c>
    </row>
    <row r="39" spans="1:19" x14ac:dyDescent="0.45">
      <c r="A39" s="13" t="s">
        <v>417</v>
      </c>
      <c r="B39" s="13" t="s">
        <v>244</v>
      </c>
      <c r="C39" s="10" t="s">
        <v>51</v>
      </c>
      <c r="D39" s="13" t="s">
        <v>245</v>
      </c>
      <c r="E39" s="10" t="s">
        <v>238</v>
      </c>
      <c r="F39" s="10" t="s">
        <v>54</v>
      </c>
      <c r="G39" s="54">
        <v>45566</v>
      </c>
      <c r="H39" s="13" t="s">
        <v>240</v>
      </c>
      <c r="I39" s="11">
        <v>100080</v>
      </c>
      <c r="J39" s="13" t="s">
        <v>59</v>
      </c>
      <c r="K39" s="56">
        <v>11.754099999999999</v>
      </c>
      <c r="L39" s="10">
        <v>33850</v>
      </c>
      <c r="M39" s="10">
        <v>24</v>
      </c>
      <c r="N39" s="56" t="s">
        <v>378</v>
      </c>
      <c r="O39" s="10" t="s">
        <v>378</v>
      </c>
      <c r="P39" s="10">
        <v>1</v>
      </c>
      <c r="Q39" s="10">
        <v>1970</v>
      </c>
      <c r="R39" s="10">
        <v>1972</v>
      </c>
      <c r="S39" s="10" t="str" cm="1">
        <f t="array" ref="S39">_xlfn.IFS(AND('Rent Table'!$I39&gt;0,'Rent Table'!$I39&lt;=50000),"0-50,000",
AND('Rent Table'!$I39 &gt; 50000, 'Rent Table'!$I39 &lt;= 150000), "50,001-150,000",
AND('Rent Table'!$I39 &gt; 150000, 'Rent Table'!$I39 &lt;= 250000), "150,001-250,000",
AND('Rent Table'!$I39 &gt; 250000, 'Rent Table'!$I39 &lt;= 350000), "250,001-350,000",
AND('Rent Table'!$I39 &gt; 350000, 'Rent Table'!$I39 &lt;= 450000), "350,001-450,000",
AND('Rent Table'!$I39 &gt; 450000, 'Rent Table'!$I39 &lt;= 600000), "450,001-600,000",
AND('Rent Table'!$I39 &gt; 600000, 'Rent Table'!$I39 &lt;= 750000), "600,001-750,000",'Rent Table'!$I39 &gt; 750000, "750,000+",
TRUE, "Undefined"
         )</f>
        <v>50,001-150,000</v>
      </c>
    </row>
    <row r="40" spans="1:19" x14ac:dyDescent="0.45">
      <c r="A40" s="13" t="s">
        <v>418</v>
      </c>
      <c r="B40" s="13" t="s">
        <v>244</v>
      </c>
      <c r="C40" s="10" t="s">
        <v>51</v>
      </c>
      <c r="D40" s="13" t="s">
        <v>245</v>
      </c>
      <c r="E40" s="10" t="s">
        <v>238</v>
      </c>
      <c r="F40" s="10" t="s">
        <v>54</v>
      </c>
      <c r="G40" s="54">
        <v>45566</v>
      </c>
      <c r="H40" s="13" t="s">
        <v>240</v>
      </c>
      <c r="I40" s="11">
        <v>100080</v>
      </c>
      <c r="J40" s="13" t="s">
        <v>59</v>
      </c>
      <c r="K40" s="56">
        <v>22.578399999999998</v>
      </c>
      <c r="L40" s="10">
        <v>49690</v>
      </c>
      <c r="M40" s="10">
        <v>120.5</v>
      </c>
      <c r="N40" s="56" t="s">
        <v>378</v>
      </c>
      <c r="O40" s="10" t="s">
        <v>378</v>
      </c>
      <c r="P40" s="10">
        <v>1</v>
      </c>
      <c r="Q40" s="10">
        <v>1970</v>
      </c>
      <c r="R40" s="10">
        <v>1972</v>
      </c>
      <c r="S40" s="10" t="str" cm="1">
        <f t="array" ref="S40">_xlfn.IFS(AND('Rent Table'!$I40&gt;0,'Rent Table'!$I40&lt;=50000),"0-50,000",
AND('Rent Table'!$I40 &gt; 50000, 'Rent Table'!$I40 &lt;= 150000), "50,001-150,000",
AND('Rent Table'!$I40 &gt; 150000, 'Rent Table'!$I40 &lt;= 250000), "150,001-250,000",
AND('Rent Table'!$I40 &gt; 250000, 'Rent Table'!$I40 &lt;= 350000), "250,001-350,000",
AND('Rent Table'!$I40 &gt; 350000, 'Rent Table'!$I40 &lt;= 450000), "350,001-450,000",
AND('Rent Table'!$I40 &gt; 450000, 'Rent Table'!$I40 &lt;= 600000), "450,001-600,000",
AND('Rent Table'!$I40 &gt; 600000, 'Rent Table'!$I40 &lt;= 750000), "600,001-750,000",'Rent Table'!$I40 &gt; 750000, "750,000+",
TRUE, "Undefined"
         )</f>
        <v>50,001-150,000</v>
      </c>
    </row>
    <row r="41" spans="1:19" x14ac:dyDescent="0.45">
      <c r="A41" s="13" t="s">
        <v>292</v>
      </c>
      <c r="B41" s="13" t="s">
        <v>7</v>
      </c>
      <c r="C41" s="10" t="s">
        <v>51</v>
      </c>
      <c r="D41" s="13" t="s">
        <v>237</v>
      </c>
      <c r="E41" s="10" t="s">
        <v>238</v>
      </c>
      <c r="F41" s="10" t="s">
        <v>54</v>
      </c>
      <c r="G41" s="54">
        <v>45566</v>
      </c>
      <c r="H41" s="13" t="s">
        <v>240</v>
      </c>
      <c r="I41" s="55">
        <v>102279</v>
      </c>
      <c r="J41" s="13" t="s">
        <v>59</v>
      </c>
      <c r="K41" s="56">
        <v>22.425999999999998</v>
      </c>
      <c r="L41" s="10">
        <v>102143</v>
      </c>
      <c r="M41" s="10">
        <v>120</v>
      </c>
      <c r="N41" s="56">
        <v>10</v>
      </c>
      <c r="O41" s="10">
        <v>2</v>
      </c>
      <c r="P41" s="10">
        <v>1</v>
      </c>
      <c r="Q41" s="10">
        <v>1982</v>
      </c>
      <c r="R41" s="10">
        <v>1983</v>
      </c>
      <c r="S41" s="10" t="str" cm="1">
        <f t="array" ref="S41">_xlfn.IFS(AND('Rent Table'!$I41&gt;0,'Rent Table'!$I41&lt;=50000),"0-50,000",
AND('Rent Table'!$I41 &gt; 50000, 'Rent Table'!$I41 &lt;= 150000), "50,001-150,000",
AND('Rent Table'!$I41 &gt; 150000, 'Rent Table'!$I41 &lt;= 250000), "150,001-250,000",
AND('Rent Table'!$I41 &gt; 250000, 'Rent Table'!$I41 &lt;= 350000), "250,001-350,000",
AND('Rent Table'!$I41 &gt; 350000, 'Rent Table'!$I41 &lt;= 450000), "350,001-450,000",
AND('Rent Table'!$I41 &gt; 450000, 'Rent Table'!$I41 &lt;= 600000), "450,001-600,000",
AND('Rent Table'!$I41 &gt; 600000, 'Rent Table'!$I41 &lt;= 750000), "600,001-750,000",'Rent Table'!$I41 &gt; 750000, "750,000+",
TRUE, "Undefined"
         )</f>
        <v>50,001-150,000</v>
      </c>
    </row>
    <row r="42" spans="1:19" x14ac:dyDescent="0.45">
      <c r="A42" s="13" t="s">
        <v>419</v>
      </c>
      <c r="B42" s="13" t="s">
        <v>7</v>
      </c>
      <c r="C42" s="10" t="s">
        <v>51</v>
      </c>
      <c r="D42" s="13" t="s">
        <v>237</v>
      </c>
      <c r="E42" s="10" t="s">
        <v>238</v>
      </c>
      <c r="F42" s="10" t="s">
        <v>54</v>
      </c>
      <c r="G42" s="54">
        <v>45566</v>
      </c>
      <c r="H42" s="13" t="s">
        <v>240</v>
      </c>
      <c r="I42" s="55">
        <v>684900</v>
      </c>
      <c r="J42" s="13" t="s">
        <v>59</v>
      </c>
      <c r="K42" s="56">
        <v>16.121200000000002</v>
      </c>
      <c r="L42" s="10">
        <v>342450</v>
      </c>
      <c r="M42" s="10">
        <v>91</v>
      </c>
      <c r="N42" s="56">
        <v>1</v>
      </c>
      <c r="O42" s="10">
        <v>2.5</v>
      </c>
      <c r="P42" s="10">
        <v>1</v>
      </c>
      <c r="Q42" s="10">
        <v>1998</v>
      </c>
      <c r="R42" s="10" t="s">
        <v>378</v>
      </c>
      <c r="S42" s="10" t="str" cm="1">
        <f t="array" ref="S42">_xlfn.IFS(AND('Rent Table'!$I42&gt;0,'Rent Table'!$I42&lt;=50000),"0-50,000",
AND('Rent Table'!$I42 &gt; 50000, 'Rent Table'!$I42 &lt;= 150000), "50,001-150,000",
AND('Rent Table'!$I42 &gt; 150000, 'Rent Table'!$I42 &lt;= 250000), "150,001-250,000",
AND('Rent Table'!$I42 &gt; 250000, 'Rent Table'!$I42 &lt;= 350000), "250,001-350,000",
AND('Rent Table'!$I42 &gt; 350000, 'Rent Table'!$I42 &lt;= 450000), "350,001-450,000",
AND('Rent Table'!$I42 &gt; 450000, 'Rent Table'!$I42 &lt;= 600000), "450,001-600,000",
AND('Rent Table'!$I42 &gt; 600000, 'Rent Table'!$I42 &lt;= 750000), "600,001-750,000",'Rent Table'!$I42 &gt; 750000, "750,000+",
TRUE, "Undefined"
         )</f>
        <v>600,001-750,000</v>
      </c>
    </row>
    <row r="43" spans="1:19" x14ac:dyDescent="0.45">
      <c r="A43" s="13" t="s">
        <v>420</v>
      </c>
      <c r="B43" s="13" t="s">
        <v>7</v>
      </c>
      <c r="C43" s="10" t="s">
        <v>51</v>
      </c>
      <c r="D43" s="13" t="s">
        <v>309</v>
      </c>
      <c r="E43" s="10" t="s">
        <v>238</v>
      </c>
      <c r="F43" s="10" t="s">
        <v>54</v>
      </c>
      <c r="G43" s="54">
        <v>45566</v>
      </c>
      <c r="H43" s="13" t="s">
        <v>240</v>
      </c>
      <c r="I43" s="55">
        <v>108320</v>
      </c>
      <c r="J43" s="13" t="s">
        <v>59</v>
      </c>
      <c r="K43" s="56">
        <v>25.825099999999999</v>
      </c>
      <c r="L43" s="10">
        <v>108320</v>
      </c>
      <c r="M43" s="10">
        <v>89</v>
      </c>
      <c r="N43" s="56">
        <v>6</v>
      </c>
      <c r="O43" s="10">
        <v>5</v>
      </c>
      <c r="P43" s="10" t="s">
        <v>378</v>
      </c>
      <c r="Q43" s="10">
        <v>2023</v>
      </c>
      <c r="R43" s="10" t="s">
        <v>378</v>
      </c>
      <c r="S43" s="10" t="str" cm="1">
        <f t="array" ref="S43">_xlfn.IFS(AND('Rent Table'!$I43&gt;0,'Rent Table'!$I43&lt;=50000),"0-50,000",
AND('Rent Table'!$I43 &gt; 50000, 'Rent Table'!$I43 &lt;= 150000), "50,001-150,000",
AND('Rent Table'!$I43 &gt; 150000, 'Rent Table'!$I43 &lt;= 250000), "150,001-250,000",
AND('Rent Table'!$I43 &gt; 250000, 'Rent Table'!$I43 &lt;= 350000), "250,001-350,000",
AND('Rent Table'!$I43 &gt; 350000, 'Rent Table'!$I43 &lt;= 450000), "350,001-450,000",
AND('Rent Table'!$I43 &gt; 450000, 'Rent Table'!$I43 &lt;= 600000), "450,001-600,000",
AND('Rent Table'!$I43 &gt; 600000, 'Rent Table'!$I43 &lt;= 750000), "600,001-750,000",'Rent Table'!$I43 &gt; 750000, "750,000+",
TRUE, "Undefined"
         )</f>
        <v>50,001-150,000</v>
      </c>
    </row>
    <row r="44" spans="1:19" x14ac:dyDescent="0.45">
      <c r="A44" s="13" t="s">
        <v>421</v>
      </c>
      <c r="B44" s="13" t="s">
        <v>7</v>
      </c>
      <c r="C44" s="10" t="s">
        <v>51</v>
      </c>
      <c r="D44" s="13" t="s">
        <v>237</v>
      </c>
      <c r="E44" s="10" t="s">
        <v>238</v>
      </c>
      <c r="F44" s="10" t="s">
        <v>54</v>
      </c>
      <c r="G44" s="54">
        <v>45505</v>
      </c>
      <c r="H44" s="13" t="s">
        <v>240</v>
      </c>
      <c r="I44" s="55">
        <v>43133</v>
      </c>
      <c r="J44" s="13" t="s">
        <v>59</v>
      </c>
      <c r="K44" s="56">
        <v>18.751349999999999</v>
      </c>
      <c r="L44" s="10">
        <v>24393</v>
      </c>
      <c r="M44" s="10">
        <v>48</v>
      </c>
      <c r="N44" s="56" t="s">
        <v>378</v>
      </c>
      <c r="O44" s="10">
        <v>3.5</v>
      </c>
      <c r="P44" s="10">
        <v>1</v>
      </c>
      <c r="Q44" s="10">
        <v>1977</v>
      </c>
      <c r="R44" s="10" t="s">
        <v>378</v>
      </c>
      <c r="S44" s="10" t="str" cm="1">
        <f t="array" ref="S44">_xlfn.IFS(AND('Rent Table'!$I44&gt;0,'Rent Table'!$I44&lt;=50000),"0-50,000",
AND('Rent Table'!$I44 &gt; 50000, 'Rent Table'!$I44 &lt;= 150000), "50,001-150,000",
AND('Rent Table'!$I44 &gt; 150000, 'Rent Table'!$I44 &lt;= 250000), "150,001-250,000",
AND('Rent Table'!$I44 &gt; 250000, 'Rent Table'!$I44 &lt;= 350000), "250,001-350,000",
AND('Rent Table'!$I44 &gt; 350000, 'Rent Table'!$I44 &lt;= 450000), "350,001-450,000",
AND('Rent Table'!$I44 &gt; 450000, 'Rent Table'!$I44 &lt;= 600000), "450,001-600,000",
AND('Rent Table'!$I44 &gt; 600000, 'Rent Table'!$I44 &lt;= 750000), "600,001-750,000",'Rent Table'!$I44 &gt; 750000, "750,000+",
TRUE, "Undefined"
         )</f>
        <v>0-50,000</v>
      </c>
    </row>
    <row r="45" spans="1:19" x14ac:dyDescent="0.45">
      <c r="A45" s="13" t="s">
        <v>422</v>
      </c>
      <c r="B45" s="13" t="s">
        <v>7</v>
      </c>
      <c r="C45" s="10" t="s">
        <v>51</v>
      </c>
      <c r="D45" s="13" t="s">
        <v>237</v>
      </c>
      <c r="E45" s="10" t="s">
        <v>238</v>
      </c>
      <c r="F45" s="10" t="s">
        <v>54</v>
      </c>
      <c r="G45" s="54">
        <v>45566</v>
      </c>
      <c r="H45" s="13" t="s">
        <v>240</v>
      </c>
      <c r="I45" s="55">
        <v>860000</v>
      </c>
      <c r="J45" s="13" t="s">
        <v>59</v>
      </c>
      <c r="K45" s="56">
        <v>17.2818</v>
      </c>
      <c r="L45" s="10">
        <v>127608</v>
      </c>
      <c r="M45" s="10">
        <v>130</v>
      </c>
      <c r="N45" s="56" t="s">
        <v>378</v>
      </c>
      <c r="O45" s="10" t="s">
        <v>378</v>
      </c>
      <c r="P45" s="10" t="s">
        <v>378</v>
      </c>
      <c r="Q45" s="10">
        <v>2003</v>
      </c>
      <c r="R45" s="10">
        <v>2004</v>
      </c>
      <c r="S45" s="10" t="str" cm="1">
        <f t="array" ref="S45">_xlfn.IFS(AND('Rent Table'!$I45&gt;0,'Rent Table'!$I45&lt;=50000),"0-50,000",
AND('Rent Table'!$I45 &gt; 50000, 'Rent Table'!$I45 &lt;= 150000), "50,001-150,000",
AND('Rent Table'!$I45 &gt; 150000, 'Rent Table'!$I45 &lt;= 250000), "150,001-250,000",
AND('Rent Table'!$I45 &gt; 250000, 'Rent Table'!$I45 &lt;= 350000), "250,001-350,000",
AND('Rent Table'!$I45 &gt; 350000, 'Rent Table'!$I45 &lt;= 450000), "350,001-450,000",
AND('Rent Table'!$I45 &gt; 450000, 'Rent Table'!$I45 &lt;= 600000), "450,001-600,000",
AND('Rent Table'!$I45 &gt; 600000, 'Rent Table'!$I45 &lt;= 750000), "600,001-750,000",'Rent Table'!$I45 &gt; 750000, "750,000+",
TRUE, "Undefined"
         )</f>
        <v>750,000+</v>
      </c>
    </row>
    <row r="46" spans="1:19" x14ac:dyDescent="0.45">
      <c r="A46" s="13" t="s">
        <v>423</v>
      </c>
      <c r="B46" s="13" t="s">
        <v>7</v>
      </c>
      <c r="C46" s="10" t="s">
        <v>51</v>
      </c>
      <c r="D46" s="13" t="s">
        <v>237</v>
      </c>
      <c r="E46" s="10" t="s">
        <v>238</v>
      </c>
      <c r="F46" s="10" t="s">
        <v>54</v>
      </c>
      <c r="G46" s="54">
        <v>45566</v>
      </c>
      <c r="H46" s="13" t="s">
        <v>240</v>
      </c>
      <c r="I46" s="55">
        <v>259327</v>
      </c>
      <c r="J46" s="13" t="s">
        <v>59</v>
      </c>
      <c r="K46" s="56">
        <v>17.7651</v>
      </c>
      <c r="L46" s="10">
        <v>259327</v>
      </c>
      <c r="M46" s="10">
        <v>62</v>
      </c>
      <c r="N46" s="56">
        <v>1.75</v>
      </c>
      <c r="O46" s="10">
        <v>1</v>
      </c>
      <c r="P46" s="10">
        <v>1</v>
      </c>
      <c r="Q46" s="10">
        <v>1998</v>
      </c>
      <c r="R46" s="10" t="s">
        <v>378</v>
      </c>
      <c r="S46" s="10" t="str" cm="1">
        <f t="array" ref="S46">_xlfn.IFS(AND('Rent Table'!$I46&gt;0,'Rent Table'!$I46&lt;=50000),"0-50,000",
AND('Rent Table'!$I46 &gt; 50000, 'Rent Table'!$I46 &lt;= 150000), "50,001-150,000",
AND('Rent Table'!$I46 &gt; 150000, 'Rent Table'!$I46 &lt;= 250000), "150,001-250,000",
AND('Rent Table'!$I46 &gt; 250000, 'Rent Table'!$I46 &lt;= 350000), "250,001-350,000",
AND('Rent Table'!$I46 &gt; 350000, 'Rent Table'!$I46 &lt;= 450000), "350,001-450,000",
AND('Rent Table'!$I46 &gt; 450000, 'Rent Table'!$I46 &lt;= 600000), "450,001-600,000",
AND('Rent Table'!$I46 &gt; 600000, 'Rent Table'!$I46 &lt;= 750000), "600,001-750,000",'Rent Table'!$I46 &gt; 750000, "750,000+",
TRUE, "Undefined"
         )</f>
        <v>250,001-350,000</v>
      </c>
    </row>
    <row r="47" spans="1:19" x14ac:dyDescent="0.45">
      <c r="A47" s="13" t="s">
        <v>424</v>
      </c>
      <c r="B47" s="13" t="s">
        <v>7</v>
      </c>
      <c r="C47" s="10" t="s">
        <v>51</v>
      </c>
      <c r="D47" s="13" t="s">
        <v>254</v>
      </c>
      <c r="E47" s="10" t="s">
        <v>238</v>
      </c>
      <c r="F47" s="10" t="s">
        <v>54</v>
      </c>
      <c r="G47" s="54">
        <v>45566</v>
      </c>
      <c r="H47" s="13" t="s">
        <v>240</v>
      </c>
      <c r="I47" s="55">
        <v>208896</v>
      </c>
      <c r="J47" s="13" t="s">
        <v>59</v>
      </c>
      <c r="K47" s="56">
        <v>20.376950000000001</v>
      </c>
      <c r="L47" s="10">
        <v>101767</v>
      </c>
      <c r="M47" s="10">
        <v>69</v>
      </c>
      <c r="N47" s="56">
        <v>2</v>
      </c>
      <c r="O47" s="10">
        <v>3</v>
      </c>
      <c r="P47" s="10">
        <v>1</v>
      </c>
      <c r="Q47" s="10">
        <v>1980</v>
      </c>
      <c r="R47" s="10" t="s">
        <v>378</v>
      </c>
      <c r="S47" s="10" t="str" cm="1">
        <f t="array" ref="S47">_xlfn.IFS(AND('Rent Table'!$I47&gt;0,'Rent Table'!$I47&lt;=50000),"0-50,000",
AND('Rent Table'!$I47 &gt; 50000, 'Rent Table'!$I47 &lt;= 150000), "50,001-150,000",
AND('Rent Table'!$I47 &gt; 150000, 'Rent Table'!$I47 &lt;= 250000), "150,001-250,000",
AND('Rent Table'!$I47 &gt; 250000, 'Rent Table'!$I47 &lt;= 350000), "250,001-350,000",
AND('Rent Table'!$I47 &gt; 350000, 'Rent Table'!$I47 &lt;= 450000), "350,001-450,000",
AND('Rent Table'!$I47 &gt; 450000, 'Rent Table'!$I47 &lt;= 600000), "450,001-600,000",
AND('Rent Table'!$I47 &gt; 600000, 'Rent Table'!$I47 &lt;= 750000), "600,001-750,000",'Rent Table'!$I47 &gt; 750000, "750,000+",
TRUE, "Undefined"
         )</f>
        <v>150,001-250,000</v>
      </c>
    </row>
    <row r="48" spans="1:19" x14ac:dyDescent="0.45">
      <c r="A48" s="13" t="s">
        <v>425</v>
      </c>
      <c r="B48" s="13" t="s">
        <v>7</v>
      </c>
      <c r="C48" s="10" t="s">
        <v>51</v>
      </c>
      <c r="D48" s="13" t="s">
        <v>237</v>
      </c>
      <c r="E48" s="10" t="s">
        <v>238</v>
      </c>
      <c r="F48" s="10" t="s">
        <v>54</v>
      </c>
      <c r="G48" s="54">
        <v>45566</v>
      </c>
      <c r="H48" s="13" t="s">
        <v>240</v>
      </c>
      <c r="I48" s="55">
        <v>314559</v>
      </c>
      <c r="J48" s="13" t="s">
        <v>59</v>
      </c>
      <c r="K48" s="56">
        <v>17.581600000000002</v>
      </c>
      <c r="L48" s="10">
        <v>314559</v>
      </c>
      <c r="M48" s="10">
        <v>95.5</v>
      </c>
      <c r="N48" s="56">
        <v>3.25</v>
      </c>
      <c r="O48" s="10">
        <v>2</v>
      </c>
      <c r="P48" s="10">
        <v>1</v>
      </c>
      <c r="Q48" s="10">
        <v>1998</v>
      </c>
      <c r="R48" s="10" t="s">
        <v>378</v>
      </c>
      <c r="S48" s="10" t="str" cm="1">
        <f t="array" ref="S48">_xlfn.IFS(AND('Rent Table'!$I48&gt;0,'Rent Table'!$I48&lt;=50000),"0-50,000",
AND('Rent Table'!$I48 &gt; 50000, 'Rent Table'!$I48 &lt;= 150000), "50,001-150,000",
AND('Rent Table'!$I48 &gt; 150000, 'Rent Table'!$I48 &lt;= 250000), "150,001-250,000",
AND('Rent Table'!$I48 &gt; 250000, 'Rent Table'!$I48 &lt;= 350000), "250,001-350,000",
AND('Rent Table'!$I48 &gt; 350000, 'Rent Table'!$I48 &lt;= 450000), "350,001-450,000",
AND('Rent Table'!$I48 &gt; 450000, 'Rent Table'!$I48 &lt;= 600000), "450,001-600,000",
AND('Rent Table'!$I48 &gt; 600000, 'Rent Table'!$I48 &lt;= 750000), "600,001-750,000",'Rent Table'!$I48 &gt; 750000, "750,000+",
TRUE, "Undefined"
         )</f>
        <v>250,001-350,000</v>
      </c>
    </row>
    <row r="49" spans="1:19" x14ac:dyDescent="0.45">
      <c r="A49" s="13" t="s">
        <v>426</v>
      </c>
      <c r="B49" s="13" t="s">
        <v>7</v>
      </c>
      <c r="C49" s="10" t="s">
        <v>51</v>
      </c>
      <c r="D49" s="13" t="s">
        <v>237</v>
      </c>
      <c r="E49" s="10" t="s">
        <v>238</v>
      </c>
      <c r="F49" s="10" t="s">
        <v>54</v>
      </c>
      <c r="G49" s="54">
        <v>45566</v>
      </c>
      <c r="H49" s="13" t="s">
        <v>240</v>
      </c>
      <c r="I49" s="55">
        <v>177372</v>
      </c>
      <c r="J49" s="13" t="s">
        <v>59</v>
      </c>
      <c r="K49" s="56">
        <v>19.518049999999999</v>
      </c>
      <c r="L49" s="10">
        <v>88660</v>
      </c>
      <c r="M49" s="10">
        <v>96.5</v>
      </c>
      <c r="N49" s="56" t="s">
        <v>378</v>
      </c>
      <c r="O49" s="10">
        <v>2</v>
      </c>
      <c r="P49" s="10">
        <v>1</v>
      </c>
      <c r="Q49" s="10">
        <v>2001</v>
      </c>
      <c r="R49" s="10" t="s">
        <v>378</v>
      </c>
      <c r="S49" s="10" t="str" cm="1">
        <f t="array" ref="S49">_xlfn.IFS(AND('Rent Table'!$I49&gt;0,'Rent Table'!$I49&lt;=50000),"0-50,000",
AND('Rent Table'!$I49 &gt; 50000, 'Rent Table'!$I49 &lt;= 150000), "50,001-150,000",
AND('Rent Table'!$I49 &gt; 150000, 'Rent Table'!$I49 &lt;= 250000), "150,001-250,000",
AND('Rent Table'!$I49 &gt; 250000, 'Rent Table'!$I49 &lt;= 350000), "250,001-350,000",
AND('Rent Table'!$I49 &gt; 350000, 'Rent Table'!$I49 &lt;= 450000), "350,001-450,000",
AND('Rent Table'!$I49 &gt; 450000, 'Rent Table'!$I49 &lt;= 600000), "450,001-600,000",
AND('Rent Table'!$I49 &gt; 600000, 'Rent Table'!$I49 &lt;= 750000), "600,001-750,000",'Rent Table'!$I49 &gt; 750000, "750,000+",
TRUE, "Undefined"
         )</f>
        <v>150,001-250,000</v>
      </c>
    </row>
    <row r="50" spans="1:19" x14ac:dyDescent="0.45">
      <c r="A50" s="13" t="s">
        <v>427</v>
      </c>
      <c r="B50" s="13" t="s">
        <v>7</v>
      </c>
      <c r="C50" s="10" t="s">
        <v>51</v>
      </c>
      <c r="D50" s="13" t="s">
        <v>254</v>
      </c>
      <c r="E50" s="10" t="s">
        <v>238</v>
      </c>
      <c r="F50" s="10" t="s">
        <v>54</v>
      </c>
      <c r="G50" s="54">
        <v>45566</v>
      </c>
      <c r="H50" s="13" t="s">
        <v>240</v>
      </c>
      <c r="I50" s="55">
        <v>72808</v>
      </c>
      <c r="J50" s="13" t="s">
        <v>59</v>
      </c>
      <c r="K50" s="56">
        <v>17.341999999999999</v>
      </c>
      <c r="L50" s="10">
        <v>72808</v>
      </c>
      <c r="M50" s="10">
        <v>61</v>
      </c>
      <c r="N50" s="56">
        <v>6.5</v>
      </c>
      <c r="O50" s="10">
        <v>1</v>
      </c>
      <c r="P50" s="10">
        <v>2</v>
      </c>
      <c r="Q50" s="10">
        <v>1985</v>
      </c>
      <c r="R50" s="10">
        <v>2005</v>
      </c>
      <c r="S50" s="10" t="str" cm="1">
        <f t="array" ref="S50">_xlfn.IFS(AND('Rent Table'!$I50&gt;0,'Rent Table'!$I50&lt;=50000),"0-50,000",
AND('Rent Table'!$I50 &gt; 50000, 'Rent Table'!$I50 &lt;= 150000), "50,001-150,000",
AND('Rent Table'!$I50 &gt; 150000, 'Rent Table'!$I50 &lt;= 250000), "150,001-250,000",
AND('Rent Table'!$I50 &gt; 250000, 'Rent Table'!$I50 &lt;= 350000), "250,001-350,000",
AND('Rent Table'!$I50 &gt; 350000, 'Rent Table'!$I50 &lt;= 450000), "350,001-450,000",
AND('Rent Table'!$I50 &gt; 450000, 'Rent Table'!$I50 &lt;= 600000), "450,001-600,000",
AND('Rent Table'!$I50 &gt; 600000, 'Rent Table'!$I50 &lt;= 750000), "600,001-750,000",'Rent Table'!$I50 &gt; 750000, "750,000+",
TRUE, "Undefined"
         )</f>
        <v>50,001-150,000</v>
      </c>
    </row>
    <row r="51" spans="1:19" x14ac:dyDescent="0.45">
      <c r="A51" s="13" t="s">
        <v>428</v>
      </c>
      <c r="B51" s="13" t="s">
        <v>7</v>
      </c>
      <c r="C51" s="10" t="s">
        <v>51</v>
      </c>
      <c r="D51" s="13" t="s">
        <v>254</v>
      </c>
      <c r="E51" s="10" t="s">
        <v>238</v>
      </c>
      <c r="F51" s="10" t="s">
        <v>54</v>
      </c>
      <c r="G51" s="54">
        <v>45566</v>
      </c>
      <c r="H51" s="13" t="s">
        <v>240</v>
      </c>
      <c r="I51" s="55">
        <v>251606</v>
      </c>
      <c r="J51" s="13" t="s">
        <v>59</v>
      </c>
      <c r="K51" s="56">
        <v>18.353000000000002</v>
      </c>
      <c r="L51" s="10">
        <v>251606</v>
      </c>
      <c r="M51" s="10">
        <v>124</v>
      </c>
      <c r="N51" s="56">
        <v>10</v>
      </c>
      <c r="O51" s="10">
        <v>4</v>
      </c>
      <c r="P51" s="10">
        <v>1</v>
      </c>
      <c r="Q51" s="10">
        <v>2021</v>
      </c>
      <c r="R51" s="10" t="s">
        <v>378</v>
      </c>
      <c r="S51" s="10" t="str" cm="1">
        <f t="array" ref="S51">_xlfn.IFS(AND('Rent Table'!$I51&gt;0,'Rent Table'!$I51&lt;=50000),"0-50,000",
AND('Rent Table'!$I51 &gt; 50000, 'Rent Table'!$I51 &lt;= 150000), "50,001-150,000",
AND('Rent Table'!$I51 &gt; 150000, 'Rent Table'!$I51 &lt;= 250000), "150,001-250,000",
AND('Rent Table'!$I51 &gt; 250000, 'Rent Table'!$I51 &lt;= 350000), "250,001-350,000",
AND('Rent Table'!$I51 &gt; 350000, 'Rent Table'!$I51 &lt;= 450000), "350,001-450,000",
AND('Rent Table'!$I51 &gt; 450000, 'Rent Table'!$I51 &lt;= 600000), "450,001-600,000",
AND('Rent Table'!$I51 &gt; 600000, 'Rent Table'!$I51 &lt;= 750000), "600,001-750,000",'Rent Table'!$I51 &gt; 750000, "750,000+",
TRUE, "Undefined"
         )</f>
        <v>250,001-350,000</v>
      </c>
    </row>
    <row r="52" spans="1:19" x14ac:dyDescent="0.45">
      <c r="A52" s="13" t="s">
        <v>429</v>
      </c>
      <c r="B52" s="13" t="s">
        <v>104</v>
      </c>
      <c r="C52" s="10" t="s">
        <v>51</v>
      </c>
      <c r="D52" s="13" t="s">
        <v>105</v>
      </c>
      <c r="E52" s="10" t="s">
        <v>57</v>
      </c>
      <c r="F52" s="10" t="s">
        <v>54</v>
      </c>
      <c r="G52" s="54">
        <v>45566</v>
      </c>
      <c r="H52" s="13" t="s">
        <v>61</v>
      </c>
      <c r="I52" s="11">
        <v>331000</v>
      </c>
      <c r="J52" s="13" t="s">
        <v>59</v>
      </c>
      <c r="K52" s="56">
        <v>10.203900000000001</v>
      </c>
      <c r="L52" s="10">
        <v>169143</v>
      </c>
      <c r="M52" s="10">
        <v>60</v>
      </c>
      <c r="N52" s="56">
        <v>0.59</v>
      </c>
      <c r="O52" s="10">
        <v>1</v>
      </c>
      <c r="P52" s="10">
        <v>2</v>
      </c>
      <c r="Q52" s="10">
        <v>2014</v>
      </c>
      <c r="R52" s="10">
        <v>2015</v>
      </c>
      <c r="S52" s="10" t="str" cm="1">
        <f t="array" ref="S52">_xlfn.IFS(AND('Rent Table'!$I52&gt;0,'Rent Table'!$I52&lt;=50000),"0-50,000",
AND('Rent Table'!$I52 &gt; 50000, 'Rent Table'!$I52 &lt;= 150000), "50,001-150,000",
AND('Rent Table'!$I52 &gt; 150000, 'Rent Table'!$I52 &lt;= 250000), "150,001-250,000",
AND('Rent Table'!$I52 &gt; 250000, 'Rent Table'!$I52 &lt;= 350000), "250,001-350,000",
AND('Rent Table'!$I52 &gt; 350000, 'Rent Table'!$I52 &lt;= 450000), "350,001-450,000",
AND('Rent Table'!$I52 &gt; 450000, 'Rent Table'!$I52 &lt;= 600000), "450,001-600,000",
AND('Rent Table'!$I52 &gt; 600000, 'Rent Table'!$I52 &lt;= 750000), "600,001-750,000",'Rent Table'!$I52 &gt; 750000, "750,000+",
TRUE, "Undefined"
         )</f>
        <v>250,001-350,000</v>
      </c>
    </row>
    <row r="53" spans="1:19" x14ac:dyDescent="0.45">
      <c r="A53" s="13" t="s">
        <v>430</v>
      </c>
      <c r="B53" s="13" t="s">
        <v>431</v>
      </c>
      <c r="C53" s="10" t="s">
        <v>51</v>
      </c>
      <c r="D53" s="13" t="s">
        <v>432</v>
      </c>
      <c r="E53" s="10" t="s">
        <v>57</v>
      </c>
      <c r="F53" s="10" t="s">
        <v>54</v>
      </c>
      <c r="G53" s="54">
        <v>45566</v>
      </c>
      <c r="H53" s="13" t="s">
        <v>61</v>
      </c>
      <c r="I53" s="11">
        <v>114057</v>
      </c>
      <c r="J53" s="13" t="s">
        <v>59</v>
      </c>
      <c r="K53" s="56">
        <v>14.1289</v>
      </c>
      <c r="L53" s="10">
        <v>114057</v>
      </c>
      <c r="M53" s="10">
        <v>62</v>
      </c>
      <c r="N53" s="56">
        <v>2</v>
      </c>
      <c r="O53" s="10">
        <v>2</v>
      </c>
      <c r="P53" s="10">
        <v>1</v>
      </c>
      <c r="Q53" s="10">
        <v>2022</v>
      </c>
      <c r="R53" s="10">
        <v>2023</v>
      </c>
      <c r="S53" s="10" t="str" cm="1">
        <f t="array" ref="S53">_xlfn.IFS(AND('Rent Table'!$I53&gt;0,'Rent Table'!$I53&lt;=50000),"0-50,000",
AND('Rent Table'!$I53 &gt; 50000, 'Rent Table'!$I53 &lt;= 150000), "50,001-150,000",
AND('Rent Table'!$I53 &gt; 150000, 'Rent Table'!$I53 &lt;= 250000), "150,001-250,000",
AND('Rent Table'!$I53 &gt; 250000, 'Rent Table'!$I53 &lt;= 350000), "250,001-350,000",
AND('Rent Table'!$I53 &gt; 350000, 'Rent Table'!$I53 &lt;= 450000), "350,001-450,000",
AND('Rent Table'!$I53 &gt; 450000, 'Rent Table'!$I53 &lt;= 600000), "450,001-600,000",
AND('Rent Table'!$I53 &gt; 600000, 'Rent Table'!$I53 &lt;= 750000), "600,001-750,000",'Rent Table'!$I53 &gt; 750000, "750,000+",
TRUE, "Undefined"
         )</f>
        <v>50,001-150,000</v>
      </c>
    </row>
    <row r="54" spans="1:19" x14ac:dyDescent="0.45">
      <c r="A54" s="13" t="s">
        <v>433</v>
      </c>
      <c r="B54" s="13" t="s">
        <v>431</v>
      </c>
      <c r="C54" s="10" t="s">
        <v>51</v>
      </c>
      <c r="D54" s="13" t="s">
        <v>432</v>
      </c>
      <c r="E54" s="10" t="s">
        <v>57</v>
      </c>
      <c r="F54" s="10" t="s">
        <v>54</v>
      </c>
      <c r="G54" s="54">
        <v>45566</v>
      </c>
      <c r="H54" s="13" t="s">
        <v>61</v>
      </c>
      <c r="I54" s="11">
        <v>304262</v>
      </c>
      <c r="J54" s="13" t="s">
        <v>59</v>
      </c>
      <c r="K54" s="56">
        <v>13.735900000000001</v>
      </c>
      <c r="L54" s="10">
        <v>304262</v>
      </c>
      <c r="M54" s="10">
        <v>123</v>
      </c>
      <c r="N54" s="56">
        <v>6</v>
      </c>
      <c r="O54" s="10">
        <v>3</v>
      </c>
      <c r="P54" s="10">
        <v>1</v>
      </c>
      <c r="Q54" s="10">
        <v>2022</v>
      </c>
      <c r="R54" s="10">
        <v>2023</v>
      </c>
      <c r="S54" s="10" t="str" cm="1">
        <f t="array" ref="S54">_xlfn.IFS(AND('Rent Table'!$I54&gt;0,'Rent Table'!$I54&lt;=50000),"0-50,000",
AND('Rent Table'!$I54 &gt; 50000, 'Rent Table'!$I54 &lt;= 150000), "50,001-150,000",
AND('Rent Table'!$I54 &gt; 150000, 'Rent Table'!$I54 &lt;= 250000), "150,001-250,000",
AND('Rent Table'!$I54 &gt; 250000, 'Rent Table'!$I54 &lt;= 350000), "250,001-350,000",
AND('Rent Table'!$I54 &gt; 350000, 'Rent Table'!$I54 &lt;= 450000), "350,001-450,000",
AND('Rent Table'!$I54 &gt; 450000, 'Rent Table'!$I54 &lt;= 600000), "450,001-600,000",
AND('Rent Table'!$I54 &gt; 600000, 'Rent Table'!$I54 &lt;= 750000), "600,001-750,000",'Rent Table'!$I54 &gt; 750000, "750,000+",
TRUE, "Undefined"
         )</f>
        <v>250,001-350,000</v>
      </c>
    </row>
    <row r="55" spans="1:19" x14ac:dyDescent="0.45">
      <c r="A55" s="13" t="s">
        <v>434</v>
      </c>
      <c r="B55" s="13" t="s">
        <v>431</v>
      </c>
      <c r="C55" s="10" t="s">
        <v>51</v>
      </c>
      <c r="D55" s="13" t="s">
        <v>432</v>
      </c>
      <c r="E55" s="10" t="s">
        <v>57</v>
      </c>
      <c r="F55" s="10" t="s">
        <v>54</v>
      </c>
      <c r="G55" s="54">
        <v>45566</v>
      </c>
      <c r="H55" s="13" t="s">
        <v>61</v>
      </c>
      <c r="I55" s="11">
        <v>80000</v>
      </c>
      <c r="J55" s="13" t="s">
        <v>59</v>
      </c>
      <c r="K55" s="56">
        <v>13.0548</v>
      </c>
      <c r="L55" s="10">
        <v>80000</v>
      </c>
      <c r="M55" s="10">
        <v>122</v>
      </c>
      <c r="N55" s="56" t="s">
        <v>378</v>
      </c>
      <c r="O55" s="10">
        <v>2</v>
      </c>
      <c r="P55" s="10" t="s">
        <v>378</v>
      </c>
      <c r="Q55" s="10">
        <v>1944</v>
      </c>
      <c r="R55" s="10" t="s">
        <v>378</v>
      </c>
      <c r="S55" s="10" t="str" cm="1">
        <f t="array" ref="S55">_xlfn.IFS(AND('Rent Table'!$I55&gt;0,'Rent Table'!$I55&lt;=50000),"0-50,000",
AND('Rent Table'!$I55 &gt; 50000, 'Rent Table'!$I55 &lt;= 150000), "50,001-150,000",
AND('Rent Table'!$I55 &gt; 150000, 'Rent Table'!$I55 &lt;= 250000), "150,001-250,000",
AND('Rent Table'!$I55 &gt; 250000, 'Rent Table'!$I55 &lt;= 350000), "250,001-350,000",
AND('Rent Table'!$I55 &gt; 350000, 'Rent Table'!$I55 &lt;= 450000), "350,001-450,000",
AND('Rent Table'!$I55 &gt; 450000, 'Rent Table'!$I55 &lt;= 600000), "450,001-600,000",
AND('Rent Table'!$I55 &gt; 600000, 'Rent Table'!$I55 &lt;= 750000), "600,001-750,000",'Rent Table'!$I55 &gt; 750000, "750,000+",
TRUE, "Undefined"
         )</f>
        <v>50,001-150,000</v>
      </c>
    </row>
    <row r="56" spans="1:19" x14ac:dyDescent="0.45">
      <c r="A56" s="13" t="s">
        <v>435</v>
      </c>
      <c r="B56" s="13" t="s">
        <v>2</v>
      </c>
      <c r="C56" s="10" t="s">
        <v>51</v>
      </c>
      <c r="D56" s="13" t="s">
        <v>124</v>
      </c>
      <c r="E56" s="10" t="s">
        <v>57</v>
      </c>
      <c r="F56" s="10" t="s">
        <v>54</v>
      </c>
      <c r="G56" s="54">
        <v>45566</v>
      </c>
      <c r="H56" s="13" t="s">
        <v>61</v>
      </c>
      <c r="I56" s="11">
        <v>23120</v>
      </c>
      <c r="J56" s="13" t="s">
        <v>59</v>
      </c>
      <c r="K56" s="56">
        <v>9.0724099999999996</v>
      </c>
      <c r="L56" s="10">
        <v>23120</v>
      </c>
      <c r="M56" s="10">
        <v>72</v>
      </c>
      <c r="N56" s="56" t="s">
        <v>378</v>
      </c>
      <c r="O56" s="10">
        <v>2</v>
      </c>
      <c r="P56" s="10" t="s">
        <v>378</v>
      </c>
      <c r="Q56" s="10">
        <v>1987</v>
      </c>
      <c r="R56" s="10" t="s">
        <v>378</v>
      </c>
      <c r="S56" s="10" t="str" cm="1">
        <f t="array" ref="S56">_xlfn.IFS(AND('Rent Table'!$I56&gt;0,'Rent Table'!$I56&lt;=50000),"0-50,000",
AND('Rent Table'!$I56 &gt; 50000, 'Rent Table'!$I56 &lt;= 150000), "50,001-150,000",
AND('Rent Table'!$I56 &gt; 150000, 'Rent Table'!$I56 &lt;= 250000), "150,001-250,000",
AND('Rent Table'!$I56 &gt; 250000, 'Rent Table'!$I56 &lt;= 350000), "250,001-350,000",
AND('Rent Table'!$I56 &gt; 350000, 'Rent Table'!$I56 &lt;= 450000), "350,001-450,000",
AND('Rent Table'!$I56 &gt; 450000, 'Rent Table'!$I56 &lt;= 600000), "450,001-600,000",
AND('Rent Table'!$I56 &gt; 600000, 'Rent Table'!$I56 &lt;= 750000), "600,001-750,000",'Rent Table'!$I56 &gt; 750000, "750,000+",
TRUE, "Undefined"
         )</f>
        <v>0-50,000</v>
      </c>
    </row>
    <row r="57" spans="1:19" x14ac:dyDescent="0.45">
      <c r="A57" s="13" t="s">
        <v>436</v>
      </c>
      <c r="B57" s="13" t="s">
        <v>2</v>
      </c>
      <c r="C57" s="10" t="s">
        <v>51</v>
      </c>
      <c r="D57" s="13" t="s">
        <v>124</v>
      </c>
      <c r="E57" s="10" t="s">
        <v>57</v>
      </c>
      <c r="F57" s="10" t="s">
        <v>54</v>
      </c>
      <c r="G57" s="54">
        <v>45566</v>
      </c>
      <c r="H57" s="13" t="s">
        <v>61</v>
      </c>
      <c r="I57" s="11">
        <v>9670</v>
      </c>
      <c r="J57" s="13" t="s">
        <v>59</v>
      </c>
      <c r="K57" s="56">
        <v>9.8571100000000005</v>
      </c>
      <c r="L57" s="10">
        <v>9670</v>
      </c>
      <c r="M57" s="10">
        <v>36</v>
      </c>
      <c r="N57" s="56" t="s">
        <v>378</v>
      </c>
      <c r="O57" s="10">
        <v>1</v>
      </c>
      <c r="P57" s="10">
        <v>1</v>
      </c>
      <c r="Q57" s="10">
        <v>1991</v>
      </c>
      <c r="R57" s="10" t="s">
        <v>378</v>
      </c>
      <c r="S57" s="10" t="str" cm="1">
        <f t="array" ref="S57">_xlfn.IFS(AND('Rent Table'!$I57&gt;0,'Rent Table'!$I57&lt;=50000),"0-50,000",
AND('Rent Table'!$I57 &gt; 50000, 'Rent Table'!$I57 &lt;= 150000), "50,001-150,000",
AND('Rent Table'!$I57 &gt; 150000, 'Rent Table'!$I57 &lt;= 250000), "150,001-250,000",
AND('Rent Table'!$I57 &gt; 250000, 'Rent Table'!$I57 &lt;= 350000), "250,001-350,000",
AND('Rent Table'!$I57 &gt; 350000, 'Rent Table'!$I57 &lt;= 450000), "350,001-450,000",
AND('Rent Table'!$I57 &gt; 450000, 'Rent Table'!$I57 &lt;= 600000), "450,001-600,000",
AND('Rent Table'!$I57 &gt; 600000, 'Rent Table'!$I57 &lt;= 750000), "600,001-750,000",'Rent Table'!$I57 &gt; 750000, "750,000+",
TRUE, "Undefined"
         )</f>
        <v>0-50,000</v>
      </c>
    </row>
    <row r="58" spans="1:19" x14ac:dyDescent="0.45">
      <c r="A58" s="13" t="s">
        <v>437</v>
      </c>
      <c r="B58" s="13" t="s">
        <v>2</v>
      </c>
      <c r="C58" s="10" t="s">
        <v>51</v>
      </c>
      <c r="D58" s="13" t="s">
        <v>124</v>
      </c>
      <c r="E58" s="10" t="s">
        <v>57</v>
      </c>
      <c r="F58" s="10" t="s">
        <v>54</v>
      </c>
      <c r="G58" s="54">
        <v>45566</v>
      </c>
      <c r="H58" s="13" t="s">
        <v>61</v>
      </c>
      <c r="I58" s="11">
        <v>31000</v>
      </c>
      <c r="J58" s="13" t="s">
        <v>59</v>
      </c>
      <c r="K58" s="56">
        <v>12.7346</v>
      </c>
      <c r="L58" s="10">
        <v>8946</v>
      </c>
      <c r="M58" s="10">
        <v>64</v>
      </c>
      <c r="N58" s="56" t="s">
        <v>378</v>
      </c>
      <c r="O58" s="10" t="s">
        <v>378</v>
      </c>
      <c r="P58" s="10">
        <v>1</v>
      </c>
      <c r="Q58" s="10">
        <v>1991</v>
      </c>
      <c r="R58" s="10" t="s">
        <v>378</v>
      </c>
      <c r="S58" s="10" t="str" cm="1">
        <f t="array" ref="S58">_xlfn.IFS(AND('Rent Table'!$I58&gt;0,'Rent Table'!$I58&lt;=50000),"0-50,000",
AND('Rent Table'!$I58 &gt; 50000, 'Rent Table'!$I58 &lt;= 150000), "50,001-150,000",
AND('Rent Table'!$I58 &gt; 150000, 'Rent Table'!$I58 &lt;= 250000), "150,001-250,000",
AND('Rent Table'!$I58 &gt; 250000, 'Rent Table'!$I58 &lt;= 350000), "250,001-350,000",
AND('Rent Table'!$I58 &gt; 350000, 'Rent Table'!$I58 &lt;= 450000), "350,001-450,000",
AND('Rent Table'!$I58 &gt; 450000, 'Rent Table'!$I58 &lt;= 600000), "450,001-600,000",
AND('Rent Table'!$I58 &gt; 600000, 'Rent Table'!$I58 &lt;= 750000), "600,001-750,000",'Rent Table'!$I58 &gt; 750000, "750,000+",
TRUE, "Undefined"
         )</f>
        <v>0-50,000</v>
      </c>
    </row>
    <row r="59" spans="1:19" x14ac:dyDescent="0.45">
      <c r="A59" s="13" t="s">
        <v>438</v>
      </c>
      <c r="B59" s="13" t="s">
        <v>2</v>
      </c>
      <c r="C59" s="10" t="s">
        <v>51</v>
      </c>
      <c r="D59" s="13" t="s">
        <v>124</v>
      </c>
      <c r="E59" s="10" t="s">
        <v>57</v>
      </c>
      <c r="F59" s="10" t="s">
        <v>54</v>
      </c>
      <c r="G59" s="54">
        <v>45566</v>
      </c>
      <c r="H59" s="13" t="s">
        <v>61</v>
      </c>
      <c r="I59" s="11">
        <v>32135</v>
      </c>
      <c r="J59" s="13" t="s">
        <v>59</v>
      </c>
      <c r="K59" s="56">
        <v>12.3047</v>
      </c>
      <c r="L59" s="10">
        <v>15643</v>
      </c>
      <c r="M59" s="10">
        <v>63</v>
      </c>
      <c r="N59" s="56" t="s">
        <v>378</v>
      </c>
      <c r="O59" s="10">
        <v>3</v>
      </c>
      <c r="P59" s="10">
        <v>1</v>
      </c>
      <c r="Q59" s="10">
        <v>1991</v>
      </c>
      <c r="R59" s="10" t="s">
        <v>378</v>
      </c>
      <c r="S59" s="10" t="str" cm="1">
        <f t="array" ref="S59">_xlfn.IFS(AND('Rent Table'!$I59&gt;0,'Rent Table'!$I59&lt;=50000),"0-50,000",
AND('Rent Table'!$I59 &gt; 50000, 'Rent Table'!$I59 &lt;= 150000), "50,001-150,000",
AND('Rent Table'!$I59 &gt; 150000, 'Rent Table'!$I59 &lt;= 250000), "150,001-250,000",
AND('Rent Table'!$I59 &gt; 250000, 'Rent Table'!$I59 &lt;= 350000), "250,001-350,000",
AND('Rent Table'!$I59 &gt; 350000, 'Rent Table'!$I59 &lt;= 450000), "350,001-450,000",
AND('Rent Table'!$I59 &gt; 450000, 'Rent Table'!$I59 &lt;= 600000), "450,001-600,000",
AND('Rent Table'!$I59 &gt; 600000, 'Rent Table'!$I59 &lt;= 750000), "600,001-750,000",'Rent Table'!$I59 &gt; 750000, "750,000+",
TRUE, "Undefined"
         )</f>
        <v>0-50,000</v>
      </c>
    </row>
    <row r="60" spans="1:19" x14ac:dyDescent="0.45">
      <c r="A60" s="13" t="s">
        <v>439</v>
      </c>
      <c r="B60" s="13" t="s">
        <v>2</v>
      </c>
      <c r="C60" s="10" t="s">
        <v>51</v>
      </c>
      <c r="D60" s="13" t="s">
        <v>124</v>
      </c>
      <c r="E60" s="10" t="s">
        <v>57</v>
      </c>
      <c r="F60" s="10" t="s">
        <v>54</v>
      </c>
      <c r="G60" s="54">
        <v>45566</v>
      </c>
      <c r="H60" s="13" t="s">
        <v>61</v>
      </c>
      <c r="I60" s="11">
        <v>27516</v>
      </c>
      <c r="J60" s="13" t="s">
        <v>59</v>
      </c>
      <c r="K60" s="56">
        <v>20.4175</v>
      </c>
      <c r="L60" s="10">
        <v>1207</v>
      </c>
      <c r="M60" s="10">
        <v>60</v>
      </c>
      <c r="N60" s="56" t="s">
        <v>378</v>
      </c>
      <c r="O60" s="10" t="s">
        <v>378</v>
      </c>
      <c r="P60" s="10" t="s">
        <v>378</v>
      </c>
      <c r="Q60" s="10">
        <v>1990</v>
      </c>
      <c r="R60" s="10" t="s">
        <v>378</v>
      </c>
      <c r="S60" s="10" t="str" cm="1">
        <f t="array" ref="S60">_xlfn.IFS(AND('Rent Table'!$I60&gt;0,'Rent Table'!$I60&lt;=50000),"0-50,000",
AND('Rent Table'!$I60 &gt; 50000, 'Rent Table'!$I60 &lt;= 150000), "50,001-150,000",
AND('Rent Table'!$I60 &gt; 150000, 'Rent Table'!$I60 &lt;= 250000), "150,001-250,000",
AND('Rent Table'!$I60 &gt; 250000, 'Rent Table'!$I60 &lt;= 350000), "250,001-350,000",
AND('Rent Table'!$I60 &gt; 350000, 'Rent Table'!$I60 &lt;= 450000), "350,001-450,000",
AND('Rent Table'!$I60 &gt; 450000, 'Rent Table'!$I60 &lt;= 600000), "450,001-600,000",
AND('Rent Table'!$I60 &gt; 600000, 'Rent Table'!$I60 &lt;= 750000), "600,001-750,000",'Rent Table'!$I60 &gt; 750000, "750,000+",
TRUE, "Undefined"
         )</f>
        <v>0-50,000</v>
      </c>
    </row>
    <row r="61" spans="1:19" x14ac:dyDescent="0.45">
      <c r="A61" s="13" t="s">
        <v>440</v>
      </c>
      <c r="B61" s="13" t="s">
        <v>2</v>
      </c>
      <c r="C61" s="10" t="s">
        <v>51</v>
      </c>
      <c r="D61" s="13" t="s">
        <v>53</v>
      </c>
      <c r="E61" s="10" t="s">
        <v>57</v>
      </c>
      <c r="F61" s="10" t="s">
        <v>54</v>
      </c>
      <c r="G61" s="54">
        <v>45566</v>
      </c>
      <c r="H61" s="13" t="s">
        <v>61</v>
      </c>
      <c r="I61" s="11">
        <v>17659</v>
      </c>
      <c r="J61" s="13" t="s">
        <v>59</v>
      </c>
      <c r="K61" s="56">
        <v>10.5063</v>
      </c>
      <c r="L61" s="10">
        <v>17659</v>
      </c>
      <c r="M61" s="10">
        <v>62</v>
      </c>
      <c r="N61" s="56" t="s">
        <v>378</v>
      </c>
      <c r="O61" s="10">
        <v>2</v>
      </c>
      <c r="P61" s="10">
        <v>1</v>
      </c>
      <c r="Q61" s="10">
        <v>1987</v>
      </c>
      <c r="R61" s="10">
        <v>1988</v>
      </c>
      <c r="S61" s="10" t="str" cm="1">
        <f t="array" ref="S61">_xlfn.IFS(AND('Rent Table'!$I61&gt;0,'Rent Table'!$I61&lt;=50000),"0-50,000",
AND('Rent Table'!$I61 &gt; 50000, 'Rent Table'!$I61 &lt;= 150000), "50,001-150,000",
AND('Rent Table'!$I61 &gt; 150000, 'Rent Table'!$I61 &lt;= 250000), "150,001-250,000",
AND('Rent Table'!$I61 &gt; 250000, 'Rent Table'!$I61 &lt;= 350000), "250,001-350,000",
AND('Rent Table'!$I61 &gt; 350000, 'Rent Table'!$I61 &lt;= 450000), "350,001-450,000",
AND('Rent Table'!$I61 &gt; 450000, 'Rent Table'!$I61 &lt;= 600000), "450,001-600,000",
AND('Rent Table'!$I61 &gt; 600000, 'Rent Table'!$I61 &lt;= 750000), "600,001-750,000",'Rent Table'!$I61 &gt; 750000, "750,000+",
TRUE, "Undefined"
         )</f>
        <v>0-50,000</v>
      </c>
    </row>
    <row r="62" spans="1:19" x14ac:dyDescent="0.45">
      <c r="A62" s="13" t="s">
        <v>441</v>
      </c>
      <c r="B62" s="13" t="s">
        <v>2</v>
      </c>
      <c r="C62" s="10" t="s">
        <v>51</v>
      </c>
      <c r="D62" s="13" t="s">
        <v>53</v>
      </c>
      <c r="E62" s="10" t="s">
        <v>57</v>
      </c>
      <c r="F62" s="10" t="s">
        <v>54</v>
      </c>
      <c r="G62" s="54">
        <v>45566</v>
      </c>
      <c r="H62" s="13" t="s">
        <v>61</v>
      </c>
      <c r="I62" s="11">
        <v>40800</v>
      </c>
      <c r="J62" s="13" t="s">
        <v>59</v>
      </c>
      <c r="K62" s="56">
        <v>12.377800000000001</v>
      </c>
      <c r="L62" s="10">
        <v>20400</v>
      </c>
      <c r="M62" s="10">
        <v>61</v>
      </c>
      <c r="N62" s="56" t="s">
        <v>378</v>
      </c>
      <c r="O62" s="10" t="s">
        <v>378</v>
      </c>
      <c r="P62" s="10">
        <v>1</v>
      </c>
      <c r="Q62" s="10">
        <v>2017</v>
      </c>
      <c r="R62" s="10" t="s">
        <v>378</v>
      </c>
      <c r="S62" s="10" t="str" cm="1">
        <f t="array" ref="S62">_xlfn.IFS(AND('Rent Table'!$I62&gt;0,'Rent Table'!$I62&lt;=50000),"0-50,000",
AND('Rent Table'!$I62 &gt; 50000, 'Rent Table'!$I62 &lt;= 150000), "50,001-150,000",
AND('Rent Table'!$I62 &gt; 150000, 'Rent Table'!$I62 &lt;= 250000), "150,001-250,000",
AND('Rent Table'!$I62 &gt; 250000, 'Rent Table'!$I62 &lt;= 350000), "250,001-350,000",
AND('Rent Table'!$I62 &gt; 350000, 'Rent Table'!$I62 &lt;= 450000), "350,001-450,000",
AND('Rent Table'!$I62 &gt; 450000, 'Rent Table'!$I62 &lt;= 600000), "450,001-600,000",
AND('Rent Table'!$I62 &gt; 600000, 'Rent Table'!$I62 &lt;= 750000), "600,001-750,000",'Rent Table'!$I62 &gt; 750000, "750,000+",
TRUE, "Undefined"
         )</f>
        <v>0-50,000</v>
      </c>
    </row>
    <row r="63" spans="1:19" x14ac:dyDescent="0.45">
      <c r="A63" s="13" t="s">
        <v>442</v>
      </c>
      <c r="B63" s="13" t="s">
        <v>2</v>
      </c>
      <c r="C63" s="10" t="s">
        <v>51</v>
      </c>
      <c r="D63" s="13" t="s">
        <v>53</v>
      </c>
      <c r="E63" s="10" t="s">
        <v>57</v>
      </c>
      <c r="F63" s="10" t="s">
        <v>54</v>
      </c>
      <c r="G63" s="54">
        <v>45566</v>
      </c>
      <c r="H63" s="13" t="s">
        <v>61</v>
      </c>
      <c r="I63" s="11">
        <v>29000</v>
      </c>
      <c r="J63" s="13" t="s">
        <v>59</v>
      </c>
      <c r="K63" s="56">
        <v>13.4695</v>
      </c>
      <c r="L63" s="10">
        <v>29000</v>
      </c>
      <c r="M63" s="10">
        <v>48</v>
      </c>
      <c r="N63" s="56" t="s">
        <v>378</v>
      </c>
      <c r="O63" s="10" t="s">
        <v>378</v>
      </c>
      <c r="P63" s="10" t="s">
        <v>378</v>
      </c>
      <c r="Q63" s="10">
        <v>2017</v>
      </c>
      <c r="R63" s="10">
        <v>2018</v>
      </c>
      <c r="S63" s="10" t="str" cm="1">
        <f t="array" ref="S63">_xlfn.IFS(AND('Rent Table'!$I63&gt;0,'Rent Table'!$I63&lt;=50000),"0-50,000",
AND('Rent Table'!$I63 &gt; 50000, 'Rent Table'!$I63 &lt;= 150000), "50,001-150,000",
AND('Rent Table'!$I63 &gt; 150000, 'Rent Table'!$I63 &lt;= 250000), "150,001-250,000",
AND('Rent Table'!$I63 &gt; 250000, 'Rent Table'!$I63 &lt;= 350000), "250,001-350,000",
AND('Rent Table'!$I63 &gt; 350000, 'Rent Table'!$I63 &lt;= 450000), "350,001-450,000",
AND('Rent Table'!$I63 &gt; 450000, 'Rent Table'!$I63 &lt;= 600000), "450,001-600,000",
AND('Rent Table'!$I63 &gt; 600000, 'Rent Table'!$I63 &lt;= 750000), "600,001-750,000",'Rent Table'!$I63 &gt; 750000, "750,000+",
TRUE, "Undefined"
         )</f>
        <v>0-50,000</v>
      </c>
    </row>
    <row r="64" spans="1:19" x14ac:dyDescent="0.45">
      <c r="A64" s="13" t="s">
        <v>98</v>
      </c>
      <c r="B64" s="13" t="s">
        <v>2</v>
      </c>
      <c r="C64" s="10" t="s">
        <v>51</v>
      </c>
      <c r="D64" s="13" t="s">
        <v>53</v>
      </c>
      <c r="E64" s="10" t="s">
        <v>57</v>
      </c>
      <c r="F64" s="10" t="s">
        <v>54</v>
      </c>
      <c r="G64" s="54">
        <v>45566</v>
      </c>
      <c r="H64" s="13" t="s">
        <v>61</v>
      </c>
      <c r="I64" s="11">
        <v>21612</v>
      </c>
      <c r="J64" s="13" t="s">
        <v>59</v>
      </c>
      <c r="K64" s="56">
        <v>11.757899999999999</v>
      </c>
      <c r="L64" s="10">
        <v>21612</v>
      </c>
      <c r="M64" s="10">
        <v>48</v>
      </c>
      <c r="N64" s="56" t="s">
        <v>378</v>
      </c>
      <c r="O64" s="10" t="s">
        <v>378</v>
      </c>
      <c r="P64" s="10">
        <v>1</v>
      </c>
      <c r="Q64" s="10">
        <v>2007</v>
      </c>
      <c r="R64" s="10" t="s">
        <v>378</v>
      </c>
      <c r="S64" s="10" t="str" cm="1">
        <f t="array" ref="S64">_xlfn.IFS(AND('Rent Table'!$I64&gt;0,'Rent Table'!$I64&lt;=50000),"0-50,000",
AND('Rent Table'!$I64 &gt; 50000, 'Rent Table'!$I64 &lt;= 150000), "50,001-150,000",
AND('Rent Table'!$I64 &gt; 150000, 'Rent Table'!$I64 &lt;= 250000), "150,001-250,000",
AND('Rent Table'!$I64 &gt; 250000, 'Rent Table'!$I64 &lt;= 350000), "250,001-350,000",
AND('Rent Table'!$I64 &gt; 350000, 'Rent Table'!$I64 &lt;= 450000), "350,001-450,000",
AND('Rent Table'!$I64 &gt; 450000, 'Rent Table'!$I64 &lt;= 600000), "450,001-600,000",
AND('Rent Table'!$I64 &gt; 600000, 'Rent Table'!$I64 &lt;= 750000), "600,001-750,000",'Rent Table'!$I64 &gt; 750000, "750,000+",
TRUE, "Undefined"
         )</f>
        <v>0-50,000</v>
      </c>
    </row>
    <row r="65" spans="1:19" x14ac:dyDescent="0.45">
      <c r="A65" s="13" t="s">
        <v>443</v>
      </c>
      <c r="B65" s="13" t="s">
        <v>2</v>
      </c>
      <c r="C65" s="10" t="s">
        <v>51</v>
      </c>
      <c r="D65" s="13" t="s">
        <v>53</v>
      </c>
      <c r="E65" s="10" t="s">
        <v>57</v>
      </c>
      <c r="F65" s="10" t="s">
        <v>54</v>
      </c>
      <c r="G65" s="54">
        <v>45566</v>
      </c>
      <c r="H65" s="13" t="s">
        <v>61</v>
      </c>
      <c r="I65" s="11">
        <v>19370</v>
      </c>
      <c r="J65" s="13" t="s">
        <v>59</v>
      </c>
      <c r="K65" s="56">
        <v>14.148999999999999</v>
      </c>
      <c r="L65" s="10">
        <v>19370</v>
      </c>
      <c r="M65" s="10">
        <v>61</v>
      </c>
      <c r="N65" s="56">
        <v>1.17</v>
      </c>
      <c r="O65" s="10">
        <v>1</v>
      </c>
      <c r="P65" s="10">
        <v>1</v>
      </c>
      <c r="Q65" s="10">
        <v>2023</v>
      </c>
      <c r="R65" s="10" t="s">
        <v>378</v>
      </c>
      <c r="S65" s="10" t="str" cm="1">
        <f t="array" ref="S65">_xlfn.IFS(AND('Rent Table'!$I65&gt;0,'Rent Table'!$I65&lt;=50000),"0-50,000",
AND('Rent Table'!$I65 &gt; 50000, 'Rent Table'!$I65 &lt;= 150000), "50,001-150,000",
AND('Rent Table'!$I65 &gt; 150000, 'Rent Table'!$I65 &lt;= 250000), "150,001-250,000",
AND('Rent Table'!$I65 &gt; 250000, 'Rent Table'!$I65 &lt;= 350000), "250,001-350,000",
AND('Rent Table'!$I65 &gt; 350000, 'Rent Table'!$I65 &lt;= 450000), "350,001-450,000",
AND('Rent Table'!$I65 &gt; 450000, 'Rent Table'!$I65 &lt;= 600000), "450,001-600,000",
AND('Rent Table'!$I65 &gt; 600000, 'Rent Table'!$I65 &lt;= 750000), "600,001-750,000",'Rent Table'!$I65 &gt; 750000, "750,000+",
TRUE, "Undefined"
         )</f>
        <v>0-50,000</v>
      </c>
    </row>
    <row r="66" spans="1:19" x14ac:dyDescent="0.45">
      <c r="A66" s="13" t="s">
        <v>444</v>
      </c>
      <c r="B66" s="13" t="s">
        <v>2</v>
      </c>
      <c r="C66" s="10" t="s">
        <v>51</v>
      </c>
      <c r="D66" s="13" t="s">
        <v>53</v>
      </c>
      <c r="E66" s="10" t="s">
        <v>57</v>
      </c>
      <c r="F66" s="10" t="s">
        <v>54</v>
      </c>
      <c r="G66" s="54">
        <v>45566</v>
      </c>
      <c r="H66" s="13" t="s">
        <v>61</v>
      </c>
      <c r="I66" s="11">
        <v>15636</v>
      </c>
      <c r="J66" s="13" t="s">
        <v>59</v>
      </c>
      <c r="K66" s="56">
        <v>12.548500000000001</v>
      </c>
      <c r="L66" s="10">
        <v>15636</v>
      </c>
      <c r="M66" s="10">
        <v>60</v>
      </c>
      <c r="N66" s="56" t="s">
        <v>378</v>
      </c>
      <c r="O66" s="10" t="s">
        <v>378</v>
      </c>
      <c r="P66" s="10">
        <v>1</v>
      </c>
      <c r="Q66" s="10">
        <v>2002</v>
      </c>
      <c r="R66" s="10" t="s">
        <v>378</v>
      </c>
      <c r="S66" s="10" t="str" cm="1">
        <f t="array" ref="S66">_xlfn.IFS(AND('Rent Table'!$I66&gt;0,'Rent Table'!$I66&lt;=50000),"0-50,000",
AND('Rent Table'!$I66 &gt; 50000, 'Rent Table'!$I66 &lt;= 150000), "50,001-150,000",
AND('Rent Table'!$I66 &gt; 150000, 'Rent Table'!$I66 &lt;= 250000), "150,001-250,000",
AND('Rent Table'!$I66 &gt; 250000, 'Rent Table'!$I66 &lt;= 350000), "250,001-350,000",
AND('Rent Table'!$I66 &gt; 350000, 'Rent Table'!$I66 &lt;= 450000), "350,001-450,000",
AND('Rent Table'!$I66 &gt; 450000, 'Rent Table'!$I66 &lt;= 600000), "450,001-600,000",
AND('Rent Table'!$I66 &gt; 600000, 'Rent Table'!$I66 &lt;= 750000), "600,001-750,000",'Rent Table'!$I66 &gt; 750000, "750,000+",
TRUE, "Undefined"
         )</f>
        <v>0-50,000</v>
      </c>
    </row>
    <row r="67" spans="1:19" x14ac:dyDescent="0.45">
      <c r="A67" s="13" t="s">
        <v>445</v>
      </c>
      <c r="B67" s="13" t="s">
        <v>2</v>
      </c>
      <c r="C67" s="10" t="s">
        <v>51</v>
      </c>
      <c r="D67" s="13" t="s">
        <v>124</v>
      </c>
      <c r="E67" s="10" t="s">
        <v>57</v>
      </c>
      <c r="F67" s="10" t="s">
        <v>54</v>
      </c>
      <c r="G67" s="54">
        <v>45566</v>
      </c>
      <c r="H67" s="13" t="s">
        <v>61</v>
      </c>
      <c r="I67" s="11">
        <v>28681</v>
      </c>
      <c r="J67" s="13" t="s">
        <v>59</v>
      </c>
      <c r="K67" s="56">
        <v>9.6563599999999994</v>
      </c>
      <c r="L67" s="10">
        <v>28181</v>
      </c>
      <c r="M67" s="10">
        <v>45</v>
      </c>
      <c r="N67" s="56" t="s">
        <v>378</v>
      </c>
      <c r="O67" s="10" t="s">
        <v>378</v>
      </c>
      <c r="P67" s="10">
        <v>1</v>
      </c>
      <c r="Q67" s="10">
        <v>2003</v>
      </c>
      <c r="R67" s="10" t="s">
        <v>378</v>
      </c>
      <c r="S67" s="10" t="str" cm="1">
        <f t="array" ref="S67">_xlfn.IFS(AND('Rent Table'!$I67&gt;0,'Rent Table'!$I67&lt;=50000),"0-50,000",
AND('Rent Table'!$I67 &gt; 50000, 'Rent Table'!$I67 &lt;= 150000), "50,001-150,000",
AND('Rent Table'!$I67 &gt; 150000, 'Rent Table'!$I67 &lt;= 250000), "150,001-250,000",
AND('Rent Table'!$I67 &gt; 250000, 'Rent Table'!$I67 &lt;= 350000), "250,001-350,000",
AND('Rent Table'!$I67 &gt; 350000, 'Rent Table'!$I67 &lt;= 450000), "350,001-450,000",
AND('Rent Table'!$I67 &gt; 450000, 'Rent Table'!$I67 &lt;= 600000), "450,001-600,000",
AND('Rent Table'!$I67 &gt; 600000, 'Rent Table'!$I67 &lt;= 750000), "600,001-750,000",'Rent Table'!$I67 &gt; 750000, "750,000+",
TRUE, "Undefined"
         )</f>
        <v>0-50,000</v>
      </c>
    </row>
    <row r="68" spans="1:19" x14ac:dyDescent="0.45">
      <c r="A68" s="13" t="s">
        <v>446</v>
      </c>
      <c r="B68" s="13" t="s">
        <v>2</v>
      </c>
      <c r="C68" s="10" t="s">
        <v>51</v>
      </c>
      <c r="D68" s="13" t="s">
        <v>124</v>
      </c>
      <c r="E68" s="10" t="s">
        <v>57</v>
      </c>
      <c r="F68" s="10" t="s">
        <v>54</v>
      </c>
      <c r="G68" s="54">
        <v>45566</v>
      </c>
      <c r="H68" s="13" t="s">
        <v>61</v>
      </c>
      <c r="I68" s="11">
        <v>118000</v>
      </c>
      <c r="J68" s="13" t="s">
        <v>59</v>
      </c>
      <c r="K68" s="56">
        <v>9.983765</v>
      </c>
      <c r="L68" s="10">
        <v>70318</v>
      </c>
      <c r="M68" s="10">
        <v>92.5</v>
      </c>
      <c r="N68" s="56">
        <v>1</v>
      </c>
      <c r="O68" s="10">
        <v>2.5</v>
      </c>
      <c r="P68" s="10">
        <v>1</v>
      </c>
      <c r="Q68" s="10">
        <v>1990</v>
      </c>
      <c r="R68" s="10" t="s">
        <v>378</v>
      </c>
      <c r="S68" s="10" t="str" cm="1">
        <f t="array" ref="S68">_xlfn.IFS(AND('Rent Table'!$I68&gt;0,'Rent Table'!$I68&lt;=50000),"0-50,000",
AND('Rent Table'!$I68 &gt; 50000, 'Rent Table'!$I68 &lt;= 150000), "50,001-150,000",
AND('Rent Table'!$I68 &gt; 150000, 'Rent Table'!$I68 &lt;= 250000), "150,001-250,000",
AND('Rent Table'!$I68 &gt; 250000, 'Rent Table'!$I68 &lt;= 350000), "250,001-350,000",
AND('Rent Table'!$I68 &gt; 350000, 'Rent Table'!$I68 &lt;= 450000), "350,001-450,000",
AND('Rent Table'!$I68 &gt; 450000, 'Rent Table'!$I68 &lt;= 600000), "450,001-600,000",
AND('Rent Table'!$I68 &gt; 600000, 'Rent Table'!$I68 &lt;= 750000), "600,001-750,000",'Rent Table'!$I68 &gt; 750000, "750,000+",
TRUE, "Undefined"
         )</f>
        <v>50,001-150,000</v>
      </c>
    </row>
    <row r="69" spans="1:19" x14ac:dyDescent="0.45">
      <c r="A69" s="13" t="s">
        <v>447</v>
      </c>
      <c r="B69" s="13" t="s">
        <v>2</v>
      </c>
      <c r="C69" s="10" t="s">
        <v>51</v>
      </c>
      <c r="D69" s="13" t="s">
        <v>124</v>
      </c>
      <c r="E69" s="10" t="s">
        <v>57</v>
      </c>
      <c r="F69" s="10" t="s">
        <v>54</v>
      </c>
      <c r="G69" s="54">
        <v>45566</v>
      </c>
      <c r="H69" s="13" t="s">
        <v>61</v>
      </c>
      <c r="I69" s="11">
        <v>147677</v>
      </c>
      <c r="J69" s="13" t="s">
        <v>59</v>
      </c>
      <c r="K69" s="56">
        <v>14.7399</v>
      </c>
      <c r="L69" s="10">
        <v>73838</v>
      </c>
      <c r="M69" s="10">
        <v>62</v>
      </c>
      <c r="N69" s="56" t="s">
        <v>378</v>
      </c>
      <c r="O69" s="10">
        <v>2</v>
      </c>
      <c r="P69" s="10">
        <v>1</v>
      </c>
      <c r="Q69" s="10">
        <v>2006</v>
      </c>
      <c r="R69" s="10" t="s">
        <v>378</v>
      </c>
      <c r="S69" s="10" t="str" cm="1">
        <f t="array" ref="S69">_xlfn.IFS(AND('Rent Table'!$I69&gt;0,'Rent Table'!$I69&lt;=50000),"0-50,000",
AND('Rent Table'!$I69 &gt; 50000, 'Rent Table'!$I69 &lt;= 150000), "50,001-150,000",
AND('Rent Table'!$I69 &gt; 150000, 'Rent Table'!$I69 &lt;= 250000), "150,001-250,000",
AND('Rent Table'!$I69 &gt; 250000, 'Rent Table'!$I69 &lt;= 350000), "250,001-350,000",
AND('Rent Table'!$I69 &gt; 350000, 'Rent Table'!$I69 &lt;= 450000), "350,001-450,000",
AND('Rent Table'!$I69 &gt; 450000, 'Rent Table'!$I69 &lt;= 600000), "450,001-600,000",
AND('Rent Table'!$I69 &gt; 600000, 'Rent Table'!$I69 &lt;= 750000), "600,001-750,000",'Rent Table'!$I69 &gt; 750000, "750,000+",
TRUE, "Undefined"
         )</f>
        <v>50,001-150,000</v>
      </c>
    </row>
    <row r="70" spans="1:19" x14ac:dyDescent="0.45">
      <c r="A70" s="13" t="s">
        <v>448</v>
      </c>
      <c r="B70" s="13" t="s">
        <v>2</v>
      </c>
      <c r="C70" s="10" t="s">
        <v>51</v>
      </c>
      <c r="D70" s="13" t="s">
        <v>124</v>
      </c>
      <c r="E70" s="10" t="s">
        <v>57</v>
      </c>
      <c r="F70" s="10" t="s">
        <v>54</v>
      </c>
      <c r="G70" s="54">
        <v>45566</v>
      </c>
      <c r="H70" s="13" t="s">
        <v>61</v>
      </c>
      <c r="I70" s="11">
        <v>128141</v>
      </c>
      <c r="J70" s="13" t="s">
        <v>59</v>
      </c>
      <c r="K70" s="56">
        <v>9.0859000000000005</v>
      </c>
      <c r="L70" s="10">
        <v>128141</v>
      </c>
      <c r="M70" s="10">
        <v>123</v>
      </c>
      <c r="N70" s="56" t="s">
        <v>378</v>
      </c>
      <c r="O70" s="10">
        <v>3</v>
      </c>
      <c r="P70" s="10">
        <v>1</v>
      </c>
      <c r="Q70" s="10">
        <v>2008</v>
      </c>
      <c r="R70" s="10" t="s">
        <v>378</v>
      </c>
      <c r="S70" s="10" t="str" cm="1">
        <f t="array" ref="S70">_xlfn.IFS(AND('Rent Table'!$I70&gt;0,'Rent Table'!$I70&lt;=50000),"0-50,000",
AND('Rent Table'!$I70 &gt; 50000, 'Rent Table'!$I70 &lt;= 150000), "50,001-150,000",
AND('Rent Table'!$I70 &gt; 150000, 'Rent Table'!$I70 &lt;= 250000), "150,001-250,000",
AND('Rent Table'!$I70 &gt; 250000, 'Rent Table'!$I70 &lt;= 350000), "250,001-350,000",
AND('Rent Table'!$I70 &gt; 350000, 'Rent Table'!$I70 &lt;= 450000), "350,001-450,000",
AND('Rent Table'!$I70 &gt; 450000, 'Rent Table'!$I70 &lt;= 600000), "450,001-600,000",
AND('Rent Table'!$I70 &gt; 600000, 'Rent Table'!$I70 &lt;= 750000), "600,001-750,000",'Rent Table'!$I70 &gt; 750000, "750,000+",
TRUE, "Undefined"
         )</f>
        <v>50,001-150,000</v>
      </c>
    </row>
    <row r="71" spans="1:19" x14ac:dyDescent="0.45">
      <c r="A71" s="13" t="s">
        <v>449</v>
      </c>
      <c r="B71" s="13" t="s">
        <v>2</v>
      </c>
      <c r="C71" s="10" t="s">
        <v>51</v>
      </c>
      <c r="D71" s="13" t="s">
        <v>124</v>
      </c>
      <c r="E71" s="10" t="s">
        <v>57</v>
      </c>
      <c r="F71" s="10" t="s">
        <v>54</v>
      </c>
      <c r="G71" s="54">
        <v>45566</v>
      </c>
      <c r="H71" s="13" t="s">
        <v>61</v>
      </c>
      <c r="I71" s="11">
        <v>149275</v>
      </c>
      <c r="J71" s="13" t="s">
        <v>59</v>
      </c>
      <c r="K71" s="56">
        <v>9.8959799999999998</v>
      </c>
      <c r="L71" s="10">
        <v>149275</v>
      </c>
      <c r="M71" s="10">
        <v>62</v>
      </c>
      <c r="N71" s="56">
        <v>1</v>
      </c>
      <c r="O71" s="10">
        <v>2</v>
      </c>
      <c r="P71" s="10">
        <v>2</v>
      </c>
      <c r="Q71" s="10">
        <v>2008</v>
      </c>
      <c r="R71" s="10" t="s">
        <v>378</v>
      </c>
      <c r="S71" s="10" t="str" cm="1">
        <f t="array" ref="S71">_xlfn.IFS(AND('Rent Table'!$I71&gt;0,'Rent Table'!$I71&lt;=50000),"0-50,000",
AND('Rent Table'!$I71 &gt; 50000, 'Rent Table'!$I71 &lt;= 150000), "50,001-150,000",
AND('Rent Table'!$I71 &gt; 150000, 'Rent Table'!$I71 &lt;= 250000), "150,001-250,000",
AND('Rent Table'!$I71 &gt; 250000, 'Rent Table'!$I71 &lt;= 350000), "250,001-350,000",
AND('Rent Table'!$I71 &gt; 350000, 'Rent Table'!$I71 &lt;= 450000), "350,001-450,000",
AND('Rent Table'!$I71 &gt; 450000, 'Rent Table'!$I71 &lt;= 600000), "450,001-600,000",
AND('Rent Table'!$I71 &gt; 600000, 'Rent Table'!$I71 &lt;= 750000), "600,001-750,000",'Rent Table'!$I71 &gt; 750000, "750,000+",
TRUE, "Undefined"
         )</f>
        <v>50,001-150,000</v>
      </c>
    </row>
    <row r="72" spans="1:19" x14ac:dyDescent="0.45">
      <c r="A72" s="13" t="s">
        <v>450</v>
      </c>
      <c r="B72" s="13" t="s">
        <v>2</v>
      </c>
      <c r="C72" s="10" t="s">
        <v>51</v>
      </c>
      <c r="D72" s="13" t="s">
        <v>124</v>
      </c>
      <c r="E72" s="10" t="s">
        <v>57</v>
      </c>
      <c r="F72" s="10" t="s">
        <v>54</v>
      </c>
      <c r="G72" s="54">
        <v>45566</v>
      </c>
      <c r="H72" s="13" t="s">
        <v>61</v>
      </c>
      <c r="I72" s="11">
        <v>104072</v>
      </c>
      <c r="J72" s="13" t="s">
        <v>59</v>
      </c>
      <c r="K72" s="56">
        <v>14.514200000000001</v>
      </c>
      <c r="L72" s="10">
        <v>104072</v>
      </c>
      <c r="M72" s="10">
        <v>61</v>
      </c>
      <c r="N72" s="56" t="s">
        <v>378</v>
      </c>
      <c r="O72" s="10">
        <v>1</v>
      </c>
      <c r="P72" s="10">
        <v>1</v>
      </c>
      <c r="Q72" s="10">
        <v>2008</v>
      </c>
      <c r="R72" s="10" t="s">
        <v>378</v>
      </c>
      <c r="S72" s="10" t="str" cm="1">
        <f t="array" ref="S72">_xlfn.IFS(AND('Rent Table'!$I72&gt;0,'Rent Table'!$I72&lt;=50000),"0-50,000",
AND('Rent Table'!$I72 &gt; 50000, 'Rent Table'!$I72 &lt;= 150000), "50,001-150,000",
AND('Rent Table'!$I72 &gt; 150000, 'Rent Table'!$I72 &lt;= 250000), "150,001-250,000",
AND('Rent Table'!$I72 &gt; 250000, 'Rent Table'!$I72 &lt;= 350000), "250,001-350,000",
AND('Rent Table'!$I72 &gt; 350000, 'Rent Table'!$I72 &lt;= 450000), "350,001-450,000",
AND('Rent Table'!$I72 &gt; 450000, 'Rent Table'!$I72 &lt;= 600000), "450,001-600,000",
AND('Rent Table'!$I72 &gt; 600000, 'Rent Table'!$I72 &lt;= 750000), "600,001-750,000",'Rent Table'!$I72 &gt; 750000, "750,000+",
TRUE, "Undefined"
         )</f>
        <v>50,001-150,000</v>
      </c>
    </row>
    <row r="73" spans="1:19" x14ac:dyDescent="0.45">
      <c r="A73" s="13" t="s">
        <v>451</v>
      </c>
      <c r="B73" s="13" t="s">
        <v>2</v>
      </c>
      <c r="C73" s="10" t="s">
        <v>51</v>
      </c>
      <c r="D73" s="13" t="s">
        <v>53</v>
      </c>
      <c r="E73" s="10" t="s">
        <v>57</v>
      </c>
      <c r="F73" s="10" t="s">
        <v>54</v>
      </c>
      <c r="G73" s="54">
        <v>45566</v>
      </c>
      <c r="H73" s="13" t="s">
        <v>61</v>
      </c>
      <c r="I73" s="11">
        <v>179400</v>
      </c>
      <c r="J73" s="13" t="s">
        <v>59</v>
      </c>
      <c r="K73" s="56">
        <v>14.9824</v>
      </c>
      <c r="L73" s="10">
        <v>179400</v>
      </c>
      <c r="M73" s="10">
        <v>86</v>
      </c>
      <c r="N73" s="56">
        <v>12</v>
      </c>
      <c r="O73" s="10">
        <v>2</v>
      </c>
      <c r="P73" s="10" t="s">
        <v>378</v>
      </c>
      <c r="Q73" s="10">
        <v>2022</v>
      </c>
      <c r="R73" s="10" t="s">
        <v>378</v>
      </c>
      <c r="S73" s="10" t="str" cm="1">
        <f t="array" ref="S73">_xlfn.IFS(AND('Rent Table'!$I73&gt;0,'Rent Table'!$I73&lt;=50000),"0-50,000",
AND('Rent Table'!$I73 &gt; 50000, 'Rent Table'!$I73 &lt;= 150000), "50,001-150,000",
AND('Rent Table'!$I73 &gt; 150000, 'Rent Table'!$I73 &lt;= 250000), "150,001-250,000",
AND('Rent Table'!$I73 &gt; 250000, 'Rent Table'!$I73 &lt;= 350000), "250,001-350,000",
AND('Rent Table'!$I73 &gt; 350000, 'Rent Table'!$I73 &lt;= 450000), "350,001-450,000",
AND('Rent Table'!$I73 &gt; 450000, 'Rent Table'!$I73 &lt;= 600000), "450,001-600,000",
AND('Rent Table'!$I73 &gt; 600000, 'Rent Table'!$I73 &lt;= 750000), "600,001-750,000",'Rent Table'!$I73 &gt; 750000, "750,000+",
TRUE, "Undefined"
         )</f>
        <v>150,001-250,000</v>
      </c>
    </row>
    <row r="74" spans="1:19" x14ac:dyDescent="0.45">
      <c r="A74" s="13" t="s">
        <v>452</v>
      </c>
      <c r="B74" s="13" t="s">
        <v>2</v>
      </c>
      <c r="C74" s="10" t="s">
        <v>51</v>
      </c>
      <c r="D74" s="13" t="s">
        <v>53</v>
      </c>
      <c r="E74" s="10" t="s">
        <v>57</v>
      </c>
      <c r="F74" s="10" t="s">
        <v>54</v>
      </c>
      <c r="G74" s="54">
        <v>45566</v>
      </c>
      <c r="H74" s="13" t="s">
        <v>61</v>
      </c>
      <c r="I74" s="11">
        <v>156694</v>
      </c>
      <c r="J74" s="13" t="s">
        <v>59</v>
      </c>
      <c r="K74" s="56">
        <v>9.18398</v>
      </c>
      <c r="L74" s="10">
        <v>156694</v>
      </c>
      <c r="M74" s="10">
        <v>88</v>
      </c>
      <c r="N74" s="56">
        <v>6.75</v>
      </c>
      <c r="O74" s="10">
        <v>4</v>
      </c>
      <c r="P74" s="10">
        <v>1</v>
      </c>
      <c r="Q74" s="10">
        <v>2019</v>
      </c>
      <c r="R74" s="10" t="s">
        <v>378</v>
      </c>
      <c r="S74" s="10" t="str" cm="1">
        <f t="array" ref="S74">_xlfn.IFS(AND('Rent Table'!$I74&gt;0,'Rent Table'!$I74&lt;=50000),"0-50,000",
AND('Rent Table'!$I74 &gt; 50000, 'Rent Table'!$I74 &lt;= 150000), "50,001-150,000",
AND('Rent Table'!$I74 &gt; 150000, 'Rent Table'!$I74 &lt;= 250000), "150,001-250,000",
AND('Rent Table'!$I74 &gt; 250000, 'Rent Table'!$I74 &lt;= 350000), "250,001-350,000",
AND('Rent Table'!$I74 &gt; 350000, 'Rent Table'!$I74 &lt;= 450000), "350,001-450,000",
AND('Rent Table'!$I74 &gt; 450000, 'Rent Table'!$I74 &lt;= 600000), "450,001-600,000",
AND('Rent Table'!$I74 &gt; 600000, 'Rent Table'!$I74 &lt;= 750000), "600,001-750,000",'Rent Table'!$I74 &gt; 750000, "750,000+",
TRUE, "Undefined"
         )</f>
        <v>150,001-250,000</v>
      </c>
    </row>
    <row r="75" spans="1:19" x14ac:dyDescent="0.45">
      <c r="A75" s="13" t="s">
        <v>453</v>
      </c>
      <c r="B75" s="13" t="s">
        <v>2</v>
      </c>
      <c r="C75" s="10" t="s">
        <v>51</v>
      </c>
      <c r="D75" s="13" t="s">
        <v>124</v>
      </c>
      <c r="E75" s="10" t="s">
        <v>57</v>
      </c>
      <c r="F75" s="10" t="s">
        <v>54</v>
      </c>
      <c r="G75" s="54">
        <v>45566</v>
      </c>
      <c r="H75" s="13" t="s">
        <v>61</v>
      </c>
      <c r="I75" s="11">
        <v>771839</v>
      </c>
      <c r="J75" s="13" t="s">
        <v>59</v>
      </c>
      <c r="K75" s="56">
        <v>6.8924200000000004</v>
      </c>
      <c r="L75" s="10">
        <v>771839</v>
      </c>
      <c r="M75" s="10">
        <v>84</v>
      </c>
      <c r="N75" s="56">
        <v>4</v>
      </c>
      <c r="O75" s="10">
        <v>7.25</v>
      </c>
      <c r="P75" s="10">
        <v>1</v>
      </c>
      <c r="Q75" s="10">
        <v>2015</v>
      </c>
      <c r="R75" s="10" t="s">
        <v>378</v>
      </c>
      <c r="S75" s="10" t="str" cm="1">
        <f t="array" ref="S75">_xlfn.IFS(AND('Rent Table'!$I75&gt;0,'Rent Table'!$I75&lt;=50000),"0-50,000",
AND('Rent Table'!$I75 &gt; 50000, 'Rent Table'!$I75 &lt;= 150000), "50,001-150,000",
AND('Rent Table'!$I75 &gt; 150000, 'Rent Table'!$I75 &lt;= 250000), "150,001-250,000",
AND('Rent Table'!$I75 &gt; 250000, 'Rent Table'!$I75 &lt;= 350000), "250,001-350,000",
AND('Rent Table'!$I75 &gt; 350000, 'Rent Table'!$I75 &lt;= 450000), "350,001-450,000",
AND('Rent Table'!$I75 &gt; 450000, 'Rent Table'!$I75 &lt;= 600000), "450,001-600,000",
AND('Rent Table'!$I75 &gt; 600000, 'Rent Table'!$I75 &lt;= 750000), "600,001-750,000",'Rent Table'!$I75 &gt; 750000, "750,000+",
TRUE, "Undefined"
         )</f>
        <v>750,000+</v>
      </c>
    </row>
    <row r="76" spans="1:19" x14ac:dyDescent="0.45">
      <c r="A76" s="13" t="s">
        <v>152</v>
      </c>
      <c r="B76" s="13" t="s">
        <v>2</v>
      </c>
      <c r="C76" s="10" t="s">
        <v>51</v>
      </c>
      <c r="D76" s="13" t="s">
        <v>124</v>
      </c>
      <c r="E76" s="10" t="s">
        <v>57</v>
      </c>
      <c r="F76" s="10" t="s">
        <v>54</v>
      </c>
      <c r="G76" s="54">
        <v>45566</v>
      </c>
      <c r="H76" s="13" t="s">
        <v>61</v>
      </c>
      <c r="I76" s="11">
        <v>328000</v>
      </c>
      <c r="J76" s="13" t="s">
        <v>59</v>
      </c>
      <c r="K76" s="56">
        <v>12.901</v>
      </c>
      <c r="L76" s="10">
        <v>327790</v>
      </c>
      <c r="M76" s="10">
        <v>64</v>
      </c>
      <c r="N76" s="56">
        <v>2.5</v>
      </c>
      <c r="O76" s="10">
        <v>2</v>
      </c>
      <c r="P76" s="10">
        <v>1</v>
      </c>
      <c r="Q76" s="10">
        <v>2008</v>
      </c>
      <c r="R76" s="10" t="s">
        <v>378</v>
      </c>
      <c r="S76" s="10" t="str" cm="1">
        <f t="array" ref="S76">_xlfn.IFS(AND('Rent Table'!$I76&gt;0,'Rent Table'!$I76&lt;=50000),"0-50,000",
AND('Rent Table'!$I76 &gt; 50000, 'Rent Table'!$I76 &lt;= 150000), "50,001-150,000",
AND('Rent Table'!$I76 &gt; 150000, 'Rent Table'!$I76 &lt;= 250000), "150,001-250,000",
AND('Rent Table'!$I76 &gt; 250000, 'Rent Table'!$I76 &lt;= 350000), "250,001-350,000",
AND('Rent Table'!$I76 &gt; 350000, 'Rent Table'!$I76 &lt;= 450000), "350,001-450,000",
AND('Rent Table'!$I76 &gt; 450000, 'Rent Table'!$I76 &lt;= 600000), "450,001-600,000",
AND('Rent Table'!$I76 &gt; 600000, 'Rent Table'!$I76 &lt;= 750000), "600,001-750,000",'Rent Table'!$I76 &gt; 750000, "750,000+",
TRUE, "Undefined"
         )</f>
        <v>250,001-350,000</v>
      </c>
    </row>
    <row r="77" spans="1:19" x14ac:dyDescent="0.45">
      <c r="A77" s="13" t="s">
        <v>454</v>
      </c>
      <c r="B77" s="13" t="s">
        <v>2</v>
      </c>
      <c r="C77" s="10" t="s">
        <v>51</v>
      </c>
      <c r="D77" s="13" t="s">
        <v>124</v>
      </c>
      <c r="E77" s="10" t="s">
        <v>57</v>
      </c>
      <c r="F77" s="10" t="s">
        <v>54</v>
      </c>
      <c r="G77" s="54">
        <v>45566</v>
      </c>
      <c r="H77" s="13" t="s">
        <v>61</v>
      </c>
      <c r="I77" s="11">
        <v>500602</v>
      </c>
      <c r="J77" s="13" t="s">
        <v>59</v>
      </c>
      <c r="K77" s="56">
        <v>13.674950000000001</v>
      </c>
      <c r="L77" s="10">
        <v>500602</v>
      </c>
      <c r="M77" s="10">
        <v>55.25</v>
      </c>
      <c r="N77" s="56" t="s">
        <v>378</v>
      </c>
      <c r="O77" s="10" t="s">
        <v>378</v>
      </c>
      <c r="P77" s="10">
        <v>2</v>
      </c>
      <c r="Q77" s="10">
        <v>2016</v>
      </c>
      <c r="R77" s="10" t="s">
        <v>378</v>
      </c>
      <c r="S77" s="10" t="str" cm="1">
        <f t="array" ref="S77">_xlfn.IFS(AND('Rent Table'!$I77&gt;0,'Rent Table'!$I77&lt;=50000),"0-50,000",
AND('Rent Table'!$I77 &gt; 50000, 'Rent Table'!$I77 &lt;= 150000), "50,001-150,000",
AND('Rent Table'!$I77 &gt; 150000, 'Rent Table'!$I77 &lt;= 250000), "150,001-250,000",
AND('Rent Table'!$I77 &gt; 250000, 'Rent Table'!$I77 &lt;= 350000), "250,001-350,000",
AND('Rent Table'!$I77 &gt; 350000, 'Rent Table'!$I77 &lt;= 450000), "350,001-450,000",
AND('Rent Table'!$I77 &gt; 450000, 'Rent Table'!$I77 &lt;= 600000), "450,001-600,000",
AND('Rent Table'!$I77 &gt; 600000, 'Rent Table'!$I77 &lt;= 750000), "600,001-750,000",'Rent Table'!$I77 &gt; 750000, "750,000+",
TRUE, "Undefined"
         )</f>
        <v>450,001-600,000</v>
      </c>
    </row>
    <row r="78" spans="1:19" x14ac:dyDescent="0.45">
      <c r="A78" s="13" t="s">
        <v>455</v>
      </c>
      <c r="B78" s="13" t="s">
        <v>2</v>
      </c>
      <c r="C78" s="10" t="s">
        <v>51</v>
      </c>
      <c r="D78" s="13" t="s">
        <v>124</v>
      </c>
      <c r="E78" s="10" t="s">
        <v>57</v>
      </c>
      <c r="F78" s="10" t="s">
        <v>54</v>
      </c>
      <c r="G78" s="54">
        <v>45566</v>
      </c>
      <c r="H78" s="13" t="s">
        <v>61</v>
      </c>
      <c r="I78" s="11">
        <v>412000</v>
      </c>
      <c r="J78" s="13" t="s">
        <v>59</v>
      </c>
      <c r="K78" s="56">
        <v>10.017099999999999</v>
      </c>
      <c r="L78" s="10">
        <v>411879</v>
      </c>
      <c r="M78" s="10">
        <v>122</v>
      </c>
      <c r="N78" s="56">
        <v>0.55000000000000004</v>
      </c>
      <c r="O78" s="10">
        <v>2</v>
      </c>
      <c r="P78" s="10">
        <v>1</v>
      </c>
      <c r="Q78" s="10">
        <v>2007</v>
      </c>
      <c r="R78" s="10" t="s">
        <v>378</v>
      </c>
      <c r="S78" s="10" t="str" cm="1">
        <f t="array" ref="S78">_xlfn.IFS(AND('Rent Table'!$I78&gt;0,'Rent Table'!$I78&lt;=50000),"0-50,000",
AND('Rent Table'!$I78 &gt; 50000, 'Rent Table'!$I78 &lt;= 150000), "50,001-150,000",
AND('Rent Table'!$I78 &gt; 150000, 'Rent Table'!$I78 &lt;= 250000), "150,001-250,000",
AND('Rent Table'!$I78 &gt; 250000, 'Rent Table'!$I78 &lt;= 350000), "250,001-350,000",
AND('Rent Table'!$I78 &gt; 350000, 'Rent Table'!$I78 &lt;= 450000), "350,001-450,000",
AND('Rent Table'!$I78 &gt; 450000, 'Rent Table'!$I78 &lt;= 600000), "450,001-600,000",
AND('Rent Table'!$I78 &gt; 600000, 'Rent Table'!$I78 &lt;= 750000), "600,001-750,000",'Rent Table'!$I78 &gt; 750000, "750,000+",
TRUE, "Undefined"
         )</f>
        <v>350,001-450,000</v>
      </c>
    </row>
    <row r="79" spans="1:19" x14ac:dyDescent="0.45">
      <c r="A79" s="13" t="s">
        <v>456</v>
      </c>
      <c r="B79" s="13" t="s">
        <v>2</v>
      </c>
      <c r="C79" s="10" t="s">
        <v>51</v>
      </c>
      <c r="D79" s="13" t="s">
        <v>124</v>
      </c>
      <c r="E79" s="10" t="s">
        <v>57</v>
      </c>
      <c r="F79" s="10" t="s">
        <v>54</v>
      </c>
      <c r="G79" s="54">
        <v>45566</v>
      </c>
      <c r="H79" s="13" t="s">
        <v>61</v>
      </c>
      <c r="I79" s="11">
        <v>983986</v>
      </c>
      <c r="J79" s="13" t="s">
        <v>59</v>
      </c>
      <c r="K79" s="56">
        <v>10.09254</v>
      </c>
      <c r="L79" s="10">
        <v>896662</v>
      </c>
      <c r="M79" s="10">
        <v>63.5</v>
      </c>
      <c r="N79" s="56">
        <v>0.875</v>
      </c>
      <c r="O79" s="10">
        <v>2</v>
      </c>
      <c r="P79" s="10">
        <v>1</v>
      </c>
      <c r="Q79" s="10">
        <v>2004</v>
      </c>
      <c r="R79" s="10" t="s">
        <v>378</v>
      </c>
      <c r="S79" s="10" t="str" cm="1">
        <f t="array" ref="S79">_xlfn.IFS(AND('Rent Table'!$I79&gt;0,'Rent Table'!$I79&lt;=50000),"0-50,000",
AND('Rent Table'!$I79 &gt; 50000, 'Rent Table'!$I79 &lt;= 150000), "50,001-150,000",
AND('Rent Table'!$I79 &gt; 150000, 'Rent Table'!$I79 &lt;= 250000), "150,001-250,000",
AND('Rent Table'!$I79 &gt; 250000, 'Rent Table'!$I79 &lt;= 350000), "250,001-350,000",
AND('Rent Table'!$I79 &gt; 350000, 'Rent Table'!$I79 &lt;= 450000), "350,001-450,000",
AND('Rent Table'!$I79 &gt; 450000, 'Rent Table'!$I79 &lt;= 600000), "450,001-600,000",
AND('Rent Table'!$I79 &gt; 600000, 'Rent Table'!$I79 &lt;= 750000), "600,001-750,000",'Rent Table'!$I79 &gt; 750000, "750,000+",
TRUE, "Undefined"
         )</f>
        <v>750,000+</v>
      </c>
    </row>
    <row r="80" spans="1:19" x14ac:dyDescent="0.45">
      <c r="A80" s="13" t="s">
        <v>457</v>
      </c>
      <c r="B80" s="13" t="s">
        <v>2</v>
      </c>
      <c r="C80" s="10" t="s">
        <v>51</v>
      </c>
      <c r="D80" s="13" t="s">
        <v>124</v>
      </c>
      <c r="E80" s="10" t="s">
        <v>57</v>
      </c>
      <c r="F80" s="10" t="s">
        <v>54</v>
      </c>
      <c r="G80" s="54">
        <v>45566</v>
      </c>
      <c r="H80" s="13" t="s">
        <v>61</v>
      </c>
      <c r="I80" s="11">
        <v>683269</v>
      </c>
      <c r="J80" s="13" t="s">
        <v>59</v>
      </c>
      <c r="K80" s="56">
        <v>8.7058599999999995</v>
      </c>
      <c r="L80" s="10">
        <v>683269</v>
      </c>
      <c r="M80" s="10">
        <v>120</v>
      </c>
      <c r="N80" s="56">
        <v>2</v>
      </c>
      <c r="O80" s="10">
        <v>3</v>
      </c>
      <c r="P80" s="10">
        <v>1</v>
      </c>
      <c r="Q80" s="10">
        <v>2005</v>
      </c>
      <c r="R80" s="10" t="s">
        <v>378</v>
      </c>
      <c r="S80" s="10" t="str" cm="1">
        <f t="array" ref="S80">_xlfn.IFS(AND('Rent Table'!$I80&gt;0,'Rent Table'!$I80&lt;=50000),"0-50,000",
AND('Rent Table'!$I80 &gt; 50000, 'Rent Table'!$I80 &lt;= 150000), "50,001-150,000",
AND('Rent Table'!$I80 &gt; 150000, 'Rent Table'!$I80 &lt;= 250000), "150,001-250,000",
AND('Rent Table'!$I80 &gt; 250000, 'Rent Table'!$I80 &lt;= 350000), "250,001-350,000",
AND('Rent Table'!$I80 &gt; 350000, 'Rent Table'!$I80 &lt;= 450000), "350,001-450,000",
AND('Rent Table'!$I80 &gt; 450000, 'Rent Table'!$I80 &lt;= 600000), "450,001-600,000",
AND('Rent Table'!$I80 &gt; 600000, 'Rent Table'!$I80 &lt;= 750000), "600,001-750,000",'Rent Table'!$I80 &gt; 750000, "750,000+",
TRUE, "Undefined"
         )</f>
        <v>600,001-750,000</v>
      </c>
    </row>
    <row r="81" spans="1:19" x14ac:dyDescent="0.45">
      <c r="A81" s="13" t="s">
        <v>458</v>
      </c>
      <c r="B81" s="13" t="s">
        <v>2</v>
      </c>
      <c r="C81" s="10" t="s">
        <v>51</v>
      </c>
      <c r="D81" s="13" t="s">
        <v>124</v>
      </c>
      <c r="E81" s="10" t="s">
        <v>57</v>
      </c>
      <c r="F81" s="10" t="s">
        <v>54</v>
      </c>
      <c r="G81" s="54">
        <v>45566</v>
      </c>
      <c r="H81" s="13" t="s">
        <v>61</v>
      </c>
      <c r="I81" s="11">
        <v>375839</v>
      </c>
      <c r="J81" s="13" t="s">
        <v>59</v>
      </c>
      <c r="K81" s="56">
        <v>13.1526</v>
      </c>
      <c r="L81" s="10">
        <v>375839</v>
      </c>
      <c r="M81" s="10">
        <v>60</v>
      </c>
      <c r="N81" s="56" t="s">
        <v>378</v>
      </c>
      <c r="O81" s="10" t="s">
        <v>378</v>
      </c>
      <c r="P81" s="10">
        <v>1</v>
      </c>
      <c r="Q81" s="10">
        <v>2014</v>
      </c>
      <c r="R81" s="10" t="s">
        <v>378</v>
      </c>
      <c r="S81" s="10" t="str" cm="1">
        <f t="array" ref="S81">_xlfn.IFS(AND('Rent Table'!$I81&gt;0,'Rent Table'!$I81&lt;=50000),"0-50,000",
AND('Rent Table'!$I81 &gt; 50000, 'Rent Table'!$I81 &lt;= 150000), "50,001-150,000",
AND('Rent Table'!$I81 &gt; 150000, 'Rent Table'!$I81 &lt;= 250000), "150,001-250,000",
AND('Rent Table'!$I81 &gt; 250000, 'Rent Table'!$I81 &lt;= 350000), "250,001-350,000",
AND('Rent Table'!$I81 &gt; 350000, 'Rent Table'!$I81 &lt;= 450000), "350,001-450,000",
AND('Rent Table'!$I81 &gt; 450000, 'Rent Table'!$I81 &lt;= 600000), "450,001-600,000",
AND('Rent Table'!$I81 &gt; 600000, 'Rent Table'!$I81 &lt;= 750000), "600,001-750,000",'Rent Table'!$I81 &gt; 750000, "750,000+",
TRUE, "Undefined"
         )</f>
        <v>350,001-450,000</v>
      </c>
    </row>
    <row r="82" spans="1:19" x14ac:dyDescent="0.45">
      <c r="A82" s="13" t="s">
        <v>459</v>
      </c>
      <c r="B82" s="13" t="s">
        <v>2</v>
      </c>
      <c r="C82" s="10" t="s">
        <v>51</v>
      </c>
      <c r="D82" s="13" t="s">
        <v>124</v>
      </c>
      <c r="E82" s="10" t="s">
        <v>57</v>
      </c>
      <c r="F82" s="10" t="s">
        <v>54</v>
      </c>
      <c r="G82" s="54">
        <v>45566</v>
      </c>
      <c r="H82" s="13" t="s">
        <v>61</v>
      </c>
      <c r="I82" s="11">
        <v>557213</v>
      </c>
      <c r="J82" s="13" t="s">
        <v>59</v>
      </c>
      <c r="K82" s="56">
        <v>10.069100000000001</v>
      </c>
      <c r="L82" s="10">
        <v>557213</v>
      </c>
      <c r="M82" s="10">
        <v>60</v>
      </c>
      <c r="N82" s="56" t="s">
        <v>378</v>
      </c>
      <c r="O82" s="10" t="s">
        <v>378</v>
      </c>
      <c r="P82" s="10">
        <v>1</v>
      </c>
      <c r="Q82" s="10">
        <v>2012</v>
      </c>
      <c r="R82" s="10" t="s">
        <v>378</v>
      </c>
      <c r="S82" s="10" t="str" cm="1">
        <f t="array" ref="S82">_xlfn.IFS(AND('Rent Table'!$I82&gt;0,'Rent Table'!$I82&lt;=50000),"0-50,000",
AND('Rent Table'!$I82 &gt; 50000, 'Rent Table'!$I82 &lt;= 150000), "50,001-150,000",
AND('Rent Table'!$I82 &gt; 150000, 'Rent Table'!$I82 &lt;= 250000), "150,001-250,000",
AND('Rent Table'!$I82 &gt; 250000, 'Rent Table'!$I82 &lt;= 350000), "250,001-350,000",
AND('Rent Table'!$I82 &gt; 350000, 'Rent Table'!$I82 &lt;= 450000), "350,001-450,000",
AND('Rent Table'!$I82 &gt; 450000, 'Rent Table'!$I82 &lt;= 600000), "450,001-600,000",
AND('Rent Table'!$I82 &gt; 600000, 'Rent Table'!$I82 &lt;= 750000), "600,001-750,000",'Rent Table'!$I82 &gt; 750000, "750,000+",
TRUE, "Undefined"
         )</f>
        <v>450,001-600,000</v>
      </c>
    </row>
    <row r="83" spans="1:19" x14ac:dyDescent="0.45">
      <c r="A83" s="13" t="s">
        <v>460</v>
      </c>
      <c r="B83" s="13" t="s">
        <v>2</v>
      </c>
      <c r="C83" s="10" t="s">
        <v>51</v>
      </c>
      <c r="D83" s="13" t="s">
        <v>124</v>
      </c>
      <c r="E83" s="10" t="s">
        <v>57</v>
      </c>
      <c r="F83" s="10" t="s">
        <v>54</v>
      </c>
      <c r="G83" s="54">
        <v>45566</v>
      </c>
      <c r="H83" s="13" t="s">
        <v>61</v>
      </c>
      <c r="I83" s="11">
        <v>616542</v>
      </c>
      <c r="J83" s="13" t="s">
        <v>59</v>
      </c>
      <c r="K83" s="56">
        <v>8.7487100000000009</v>
      </c>
      <c r="L83" s="10">
        <v>616542</v>
      </c>
      <c r="M83" s="10">
        <v>61</v>
      </c>
      <c r="N83" s="56">
        <v>1</v>
      </c>
      <c r="O83" s="10">
        <v>1</v>
      </c>
      <c r="P83" s="10">
        <v>1</v>
      </c>
      <c r="Q83" s="10">
        <v>2011</v>
      </c>
      <c r="R83" s="10" t="s">
        <v>378</v>
      </c>
      <c r="S83" s="10" t="str" cm="1">
        <f t="array" ref="S83">_xlfn.IFS(AND('Rent Table'!$I83&gt;0,'Rent Table'!$I83&lt;=50000),"0-50,000",
AND('Rent Table'!$I83 &gt; 50000, 'Rent Table'!$I83 &lt;= 150000), "50,001-150,000",
AND('Rent Table'!$I83 &gt; 150000, 'Rent Table'!$I83 &lt;= 250000), "150,001-250,000",
AND('Rent Table'!$I83 &gt; 250000, 'Rent Table'!$I83 &lt;= 350000), "250,001-350,000",
AND('Rent Table'!$I83 &gt; 350000, 'Rent Table'!$I83 &lt;= 450000), "350,001-450,000",
AND('Rent Table'!$I83 &gt; 450000, 'Rent Table'!$I83 &lt;= 600000), "450,001-600,000",
AND('Rent Table'!$I83 &gt; 600000, 'Rent Table'!$I83 &lt;= 750000), "600,001-750,000",'Rent Table'!$I83 &gt; 750000, "750,000+",
TRUE, "Undefined"
         )</f>
        <v>600,001-750,000</v>
      </c>
    </row>
    <row r="84" spans="1:19" x14ac:dyDescent="0.45">
      <c r="A84" s="13" t="s">
        <v>461</v>
      </c>
      <c r="B84" s="13" t="s">
        <v>2</v>
      </c>
      <c r="C84" s="10" t="s">
        <v>51</v>
      </c>
      <c r="D84" s="13" t="s">
        <v>53</v>
      </c>
      <c r="E84" s="10" t="s">
        <v>57</v>
      </c>
      <c r="F84" s="10" t="s">
        <v>54</v>
      </c>
      <c r="G84" s="54">
        <v>45566</v>
      </c>
      <c r="H84" s="13" t="s">
        <v>61</v>
      </c>
      <c r="I84" s="11">
        <v>88967</v>
      </c>
      <c r="J84" s="13" t="s">
        <v>59</v>
      </c>
      <c r="K84" s="56">
        <v>13.672499999999999</v>
      </c>
      <c r="L84" s="10">
        <v>88967</v>
      </c>
      <c r="M84" s="10">
        <v>63</v>
      </c>
      <c r="N84" s="56" t="s">
        <v>378</v>
      </c>
      <c r="O84" s="10">
        <v>4</v>
      </c>
      <c r="P84" s="10">
        <v>1</v>
      </c>
      <c r="Q84" s="10">
        <v>2023</v>
      </c>
      <c r="R84" s="10" t="s">
        <v>378</v>
      </c>
      <c r="S84" s="10" t="str" cm="1">
        <f t="array" ref="S84">_xlfn.IFS(AND('Rent Table'!$I84&gt;0,'Rent Table'!$I84&lt;=50000),"0-50,000",
AND('Rent Table'!$I84 &gt; 50000, 'Rent Table'!$I84 &lt;= 150000), "50,001-150,000",
AND('Rent Table'!$I84 &gt; 150000, 'Rent Table'!$I84 &lt;= 250000), "150,001-250,000",
AND('Rent Table'!$I84 &gt; 250000, 'Rent Table'!$I84 &lt;= 350000), "250,001-350,000",
AND('Rent Table'!$I84 &gt; 350000, 'Rent Table'!$I84 &lt;= 450000), "350,001-450,000",
AND('Rent Table'!$I84 &gt; 450000, 'Rent Table'!$I84 &lt;= 600000), "450,001-600,000",
AND('Rent Table'!$I84 &gt; 600000, 'Rent Table'!$I84 &lt;= 750000), "600,001-750,000",'Rent Table'!$I84 &gt; 750000, "750,000+",
TRUE, "Undefined"
         )</f>
        <v>50,001-150,000</v>
      </c>
    </row>
    <row r="85" spans="1:19" x14ac:dyDescent="0.45">
      <c r="A85" s="13" t="s">
        <v>462</v>
      </c>
      <c r="B85" s="13" t="s">
        <v>2</v>
      </c>
      <c r="C85" s="10" t="s">
        <v>51</v>
      </c>
      <c r="D85" s="13" t="s">
        <v>53</v>
      </c>
      <c r="E85" s="10" t="s">
        <v>57</v>
      </c>
      <c r="F85" s="10" t="s">
        <v>54</v>
      </c>
      <c r="G85" s="54">
        <v>45566</v>
      </c>
      <c r="H85" s="13" t="s">
        <v>61</v>
      </c>
      <c r="I85" s="11">
        <v>83451</v>
      </c>
      <c r="J85" s="13" t="s">
        <v>59</v>
      </c>
      <c r="K85" s="56">
        <v>12.642232999999999</v>
      </c>
      <c r="L85" s="10">
        <v>19145</v>
      </c>
      <c r="M85" s="10">
        <v>84</v>
      </c>
      <c r="N85" s="56">
        <v>2</v>
      </c>
      <c r="O85" s="10" t="s">
        <v>378</v>
      </c>
      <c r="P85" s="10">
        <v>1</v>
      </c>
      <c r="Q85" s="10">
        <v>2007</v>
      </c>
      <c r="R85" s="10" t="s">
        <v>378</v>
      </c>
      <c r="S85" s="10" t="str" cm="1">
        <f t="array" ref="S85">_xlfn.IFS(AND('Rent Table'!$I85&gt;0,'Rent Table'!$I85&lt;=50000),"0-50,000",
AND('Rent Table'!$I85 &gt; 50000, 'Rent Table'!$I85 &lt;= 150000), "50,001-150,000",
AND('Rent Table'!$I85 &gt; 150000, 'Rent Table'!$I85 &lt;= 250000), "150,001-250,000",
AND('Rent Table'!$I85 &gt; 250000, 'Rent Table'!$I85 &lt;= 350000), "250,001-350,000",
AND('Rent Table'!$I85 &gt; 350000, 'Rent Table'!$I85 &lt;= 450000), "350,001-450,000",
AND('Rent Table'!$I85 &gt; 450000, 'Rent Table'!$I85 &lt;= 600000), "450,001-600,000",
AND('Rent Table'!$I85 &gt; 600000, 'Rent Table'!$I85 &lt;= 750000), "600,001-750,000",'Rent Table'!$I85 &gt; 750000, "750,000+",
TRUE, "Undefined"
         )</f>
        <v>50,001-150,000</v>
      </c>
    </row>
    <row r="86" spans="1:19" x14ac:dyDescent="0.45">
      <c r="A86" s="13" t="s">
        <v>463</v>
      </c>
      <c r="B86" s="13" t="s">
        <v>2</v>
      </c>
      <c r="C86" s="10" t="s">
        <v>51</v>
      </c>
      <c r="D86" s="13" t="s">
        <v>124</v>
      </c>
      <c r="E86" s="10" t="s">
        <v>57</v>
      </c>
      <c r="F86" s="10" t="s">
        <v>54</v>
      </c>
      <c r="G86" s="54">
        <v>45566</v>
      </c>
      <c r="H86" s="13" t="s">
        <v>61</v>
      </c>
      <c r="I86" s="11">
        <v>99582</v>
      </c>
      <c r="J86" s="13" t="s">
        <v>59</v>
      </c>
      <c r="K86" s="56">
        <v>11.653499999999999</v>
      </c>
      <c r="L86" s="10">
        <v>99580</v>
      </c>
      <c r="M86" s="10">
        <v>124</v>
      </c>
      <c r="N86" s="56">
        <v>1.6</v>
      </c>
      <c r="O86" s="10">
        <v>4</v>
      </c>
      <c r="P86" s="10">
        <v>1</v>
      </c>
      <c r="Q86" s="10">
        <v>2008</v>
      </c>
      <c r="R86" s="10" t="s">
        <v>378</v>
      </c>
      <c r="S86" s="10" t="str" cm="1">
        <f t="array" ref="S86">_xlfn.IFS(AND('Rent Table'!$I86&gt;0,'Rent Table'!$I86&lt;=50000),"0-50,000",
AND('Rent Table'!$I86 &gt; 50000, 'Rent Table'!$I86 &lt;= 150000), "50,001-150,000",
AND('Rent Table'!$I86 &gt; 150000, 'Rent Table'!$I86 &lt;= 250000), "150,001-250,000",
AND('Rent Table'!$I86 &gt; 250000, 'Rent Table'!$I86 &lt;= 350000), "250,001-350,000",
AND('Rent Table'!$I86 &gt; 350000, 'Rent Table'!$I86 &lt;= 450000), "350,001-450,000",
AND('Rent Table'!$I86 &gt; 450000, 'Rent Table'!$I86 &lt;= 600000), "450,001-600,000",
AND('Rent Table'!$I86 &gt; 600000, 'Rent Table'!$I86 &lt;= 750000), "600,001-750,000",'Rent Table'!$I86 &gt; 750000, "750,000+",
TRUE, "Undefined"
         )</f>
        <v>50,001-150,000</v>
      </c>
    </row>
    <row r="87" spans="1:19" x14ac:dyDescent="0.45">
      <c r="A87" s="13" t="s">
        <v>464</v>
      </c>
      <c r="B87" s="13" t="s">
        <v>2</v>
      </c>
      <c r="C87" s="10" t="s">
        <v>51</v>
      </c>
      <c r="D87" s="13" t="s">
        <v>124</v>
      </c>
      <c r="E87" s="10" t="s">
        <v>57</v>
      </c>
      <c r="F87" s="10" t="s">
        <v>54</v>
      </c>
      <c r="G87" s="54">
        <v>45566</v>
      </c>
      <c r="H87" s="13" t="s">
        <v>61</v>
      </c>
      <c r="I87" s="11">
        <v>99363</v>
      </c>
      <c r="J87" s="13" t="s">
        <v>59</v>
      </c>
      <c r="K87" s="56">
        <v>10.044700000000001</v>
      </c>
      <c r="L87" s="10">
        <v>99363</v>
      </c>
      <c r="M87" s="10">
        <v>61</v>
      </c>
      <c r="N87" s="56" t="s">
        <v>378</v>
      </c>
      <c r="O87" s="10">
        <v>1</v>
      </c>
      <c r="P87" s="10">
        <v>1</v>
      </c>
      <c r="Q87" s="10">
        <v>2008</v>
      </c>
      <c r="R87" s="10" t="s">
        <v>378</v>
      </c>
      <c r="S87" s="10" t="str" cm="1">
        <f t="array" ref="S87">_xlfn.IFS(AND('Rent Table'!$I87&gt;0,'Rent Table'!$I87&lt;=50000),"0-50,000",
AND('Rent Table'!$I87 &gt; 50000, 'Rent Table'!$I87 &lt;= 150000), "50,001-150,000",
AND('Rent Table'!$I87 &gt; 150000, 'Rent Table'!$I87 &lt;= 250000), "150,001-250,000",
AND('Rent Table'!$I87 &gt; 250000, 'Rent Table'!$I87 &lt;= 350000), "250,001-350,000",
AND('Rent Table'!$I87 &gt; 350000, 'Rent Table'!$I87 &lt;= 450000), "350,001-450,000",
AND('Rent Table'!$I87 &gt; 450000, 'Rent Table'!$I87 &lt;= 600000), "450,001-600,000",
AND('Rent Table'!$I87 &gt; 600000, 'Rent Table'!$I87 &lt;= 750000), "600,001-750,000",'Rent Table'!$I87 &gt; 750000, "750,000+",
TRUE, "Undefined"
         )</f>
        <v>50,001-150,000</v>
      </c>
    </row>
    <row r="88" spans="1:19" x14ac:dyDescent="0.45">
      <c r="A88" s="13" t="s">
        <v>465</v>
      </c>
      <c r="B88" s="13" t="s">
        <v>68</v>
      </c>
      <c r="C88" s="10" t="s">
        <v>51</v>
      </c>
      <c r="D88" s="13" t="s">
        <v>69</v>
      </c>
      <c r="E88" s="10" t="s">
        <v>57</v>
      </c>
      <c r="F88" s="10" t="s">
        <v>54</v>
      </c>
      <c r="G88" s="54">
        <v>45566</v>
      </c>
      <c r="H88" s="13" t="s">
        <v>61</v>
      </c>
      <c r="I88" s="11">
        <v>72000</v>
      </c>
      <c r="J88" s="13" t="s">
        <v>59</v>
      </c>
      <c r="K88" s="56">
        <v>12.299099999999999</v>
      </c>
      <c r="L88" s="10">
        <v>72000</v>
      </c>
      <c r="M88" s="10">
        <v>89</v>
      </c>
      <c r="N88" s="56">
        <v>2.33</v>
      </c>
      <c r="O88" s="10">
        <v>2</v>
      </c>
      <c r="P88" s="10" t="s">
        <v>378</v>
      </c>
      <c r="Q88" s="10">
        <v>1986</v>
      </c>
      <c r="R88" s="10" t="s">
        <v>378</v>
      </c>
      <c r="S88" s="10" t="str" cm="1">
        <f t="array" ref="S88">_xlfn.IFS(AND('Rent Table'!$I88&gt;0,'Rent Table'!$I88&lt;=50000),"0-50,000",
AND('Rent Table'!$I88 &gt; 50000, 'Rent Table'!$I88 &lt;= 150000), "50,001-150,000",
AND('Rent Table'!$I88 &gt; 150000, 'Rent Table'!$I88 &lt;= 250000), "150,001-250,000",
AND('Rent Table'!$I88 &gt; 250000, 'Rent Table'!$I88 &lt;= 350000), "250,001-350,000",
AND('Rent Table'!$I88 &gt; 350000, 'Rent Table'!$I88 &lt;= 450000), "350,001-450,000",
AND('Rent Table'!$I88 &gt; 450000, 'Rent Table'!$I88 &lt;= 600000), "450,001-600,000",
AND('Rent Table'!$I88 &gt; 600000, 'Rent Table'!$I88 &lt;= 750000), "600,001-750,000",'Rent Table'!$I88 &gt; 750000, "750,000+",
TRUE, "Undefined"
         )</f>
        <v>50,001-150,000</v>
      </c>
    </row>
    <row r="89" spans="1:19" x14ac:dyDescent="0.45">
      <c r="A89" s="13" t="s">
        <v>466</v>
      </c>
      <c r="B89" s="13" t="s">
        <v>68</v>
      </c>
      <c r="C89" s="10" t="s">
        <v>51</v>
      </c>
      <c r="D89" s="13" t="s">
        <v>69</v>
      </c>
      <c r="E89" s="10" t="s">
        <v>57</v>
      </c>
      <c r="F89" s="10" t="s">
        <v>54</v>
      </c>
      <c r="G89" s="54">
        <v>45566</v>
      </c>
      <c r="H89" s="13" t="s">
        <v>61</v>
      </c>
      <c r="I89" s="11">
        <v>19142</v>
      </c>
      <c r="J89" s="13" t="s">
        <v>59</v>
      </c>
      <c r="K89" s="56">
        <v>11.850199999999999</v>
      </c>
      <c r="L89" s="10">
        <v>19142</v>
      </c>
      <c r="M89" s="10">
        <v>120</v>
      </c>
      <c r="N89" s="56" t="s">
        <v>378</v>
      </c>
      <c r="O89" s="10">
        <v>4</v>
      </c>
      <c r="P89" s="10">
        <v>1</v>
      </c>
      <c r="Q89" s="10">
        <v>2008</v>
      </c>
      <c r="R89" s="10" t="s">
        <v>378</v>
      </c>
      <c r="S89" s="10" t="str" cm="1">
        <f t="array" ref="S89">_xlfn.IFS(AND('Rent Table'!$I89&gt;0,'Rent Table'!$I89&lt;=50000),"0-50,000",
AND('Rent Table'!$I89 &gt; 50000, 'Rent Table'!$I89 &lt;= 150000), "50,001-150,000",
AND('Rent Table'!$I89 &gt; 150000, 'Rent Table'!$I89 &lt;= 250000), "150,001-250,000",
AND('Rent Table'!$I89 &gt; 250000, 'Rent Table'!$I89 &lt;= 350000), "250,001-350,000",
AND('Rent Table'!$I89 &gt; 350000, 'Rent Table'!$I89 &lt;= 450000), "350,001-450,000",
AND('Rent Table'!$I89 &gt; 450000, 'Rent Table'!$I89 &lt;= 600000), "450,001-600,000",
AND('Rent Table'!$I89 &gt; 600000, 'Rent Table'!$I89 &lt;= 750000), "600,001-750,000",'Rent Table'!$I89 &gt; 750000, "750,000+",
TRUE, "Undefined"
         )</f>
        <v>0-50,000</v>
      </c>
    </row>
    <row r="90" spans="1:19" x14ac:dyDescent="0.45">
      <c r="A90" s="13" t="s">
        <v>467</v>
      </c>
      <c r="B90" s="13" t="s">
        <v>68</v>
      </c>
      <c r="C90" s="10" t="s">
        <v>51</v>
      </c>
      <c r="D90" s="13" t="s">
        <v>69</v>
      </c>
      <c r="E90" s="10" t="s">
        <v>57</v>
      </c>
      <c r="F90" s="10" t="s">
        <v>54</v>
      </c>
      <c r="G90" s="54">
        <v>45566</v>
      </c>
      <c r="H90" s="13" t="s">
        <v>61</v>
      </c>
      <c r="I90" s="11">
        <v>553592</v>
      </c>
      <c r="J90" s="13" t="s">
        <v>59</v>
      </c>
      <c r="K90" s="56">
        <v>7.35182</v>
      </c>
      <c r="L90" s="10">
        <v>553592</v>
      </c>
      <c r="M90" s="10">
        <v>88</v>
      </c>
      <c r="N90" s="56">
        <v>7</v>
      </c>
      <c r="O90" s="10">
        <v>4</v>
      </c>
      <c r="P90" s="10">
        <v>1</v>
      </c>
      <c r="Q90" s="10">
        <v>2018</v>
      </c>
      <c r="R90" s="10" t="s">
        <v>378</v>
      </c>
      <c r="S90" s="10" t="str" cm="1">
        <f t="array" ref="S90">_xlfn.IFS(AND('Rent Table'!$I90&gt;0,'Rent Table'!$I90&lt;=50000),"0-50,000",
AND('Rent Table'!$I90 &gt; 50000, 'Rent Table'!$I90 &lt;= 150000), "50,001-150,000",
AND('Rent Table'!$I90 &gt; 150000, 'Rent Table'!$I90 &lt;= 250000), "150,001-250,000",
AND('Rent Table'!$I90 &gt; 250000, 'Rent Table'!$I90 &lt;= 350000), "250,001-350,000",
AND('Rent Table'!$I90 &gt; 350000, 'Rent Table'!$I90 &lt;= 450000), "350,001-450,000",
AND('Rent Table'!$I90 &gt; 450000, 'Rent Table'!$I90 &lt;= 600000), "450,001-600,000",
AND('Rent Table'!$I90 &gt; 600000, 'Rent Table'!$I90 &lt;= 750000), "600,001-750,000",'Rent Table'!$I90 &gt; 750000, "750,000+",
TRUE, "Undefined"
         )</f>
        <v>450,001-600,000</v>
      </c>
    </row>
    <row r="91" spans="1:19" x14ac:dyDescent="0.45">
      <c r="A91" s="13" t="s">
        <v>468</v>
      </c>
      <c r="B91" s="13" t="s">
        <v>68</v>
      </c>
      <c r="C91" s="10" t="s">
        <v>51</v>
      </c>
      <c r="D91" s="13" t="s">
        <v>69</v>
      </c>
      <c r="E91" s="10" t="s">
        <v>57</v>
      </c>
      <c r="F91" s="10" t="s">
        <v>54</v>
      </c>
      <c r="G91" s="54">
        <v>45566</v>
      </c>
      <c r="H91" s="13" t="s">
        <v>61</v>
      </c>
      <c r="I91" s="11">
        <v>81286</v>
      </c>
      <c r="J91" s="13" t="s">
        <v>59</v>
      </c>
      <c r="K91" s="56">
        <v>14.355</v>
      </c>
      <c r="L91" s="10">
        <v>81286</v>
      </c>
      <c r="M91" s="10">
        <v>37</v>
      </c>
      <c r="N91" s="56" t="s">
        <v>378</v>
      </c>
      <c r="O91" s="10">
        <v>1</v>
      </c>
      <c r="P91" s="10">
        <v>2</v>
      </c>
      <c r="Q91" s="10">
        <v>2018</v>
      </c>
      <c r="R91" s="10" t="s">
        <v>378</v>
      </c>
      <c r="S91" s="10" t="str" cm="1">
        <f t="array" ref="S91">_xlfn.IFS(AND('Rent Table'!$I91&gt;0,'Rent Table'!$I91&lt;=50000),"0-50,000",
AND('Rent Table'!$I91 &gt; 50000, 'Rent Table'!$I91 &lt;= 150000), "50,001-150,000",
AND('Rent Table'!$I91 &gt; 150000, 'Rent Table'!$I91 &lt;= 250000), "150,001-250,000",
AND('Rent Table'!$I91 &gt; 250000, 'Rent Table'!$I91 &lt;= 350000), "250,001-350,000",
AND('Rent Table'!$I91 &gt; 350000, 'Rent Table'!$I91 &lt;= 450000), "350,001-450,000",
AND('Rent Table'!$I91 &gt; 450000, 'Rent Table'!$I91 &lt;= 600000), "450,001-600,000",
AND('Rent Table'!$I91 &gt; 600000, 'Rent Table'!$I91 &lt;= 750000), "600,001-750,000",'Rent Table'!$I91 &gt; 750000, "750,000+",
TRUE, "Undefined"
         )</f>
        <v>50,001-150,000</v>
      </c>
    </row>
    <row r="92" spans="1:19" x14ac:dyDescent="0.45">
      <c r="A92" s="13" t="s">
        <v>469</v>
      </c>
      <c r="B92" s="13" t="s">
        <v>68</v>
      </c>
      <c r="C92" s="10" t="s">
        <v>51</v>
      </c>
      <c r="D92" s="13" t="s">
        <v>69</v>
      </c>
      <c r="E92" s="10" t="s">
        <v>57</v>
      </c>
      <c r="F92" s="10" t="s">
        <v>54</v>
      </c>
      <c r="G92" s="54">
        <v>45566</v>
      </c>
      <c r="H92" s="13" t="s">
        <v>61</v>
      </c>
      <c r="I92" s="11">
        <v>65360</v>
      </c>
      <c r="J92" s="13" t="s">
        <v>59</v>
      </c>
      <c r="K92" s="56">
        <v>11.1859</v>
      </c>
      <c r="L92" s="10">
        <v>43600</v>
      </c>
      <c r="M92" s="10">
        <v>89</v>
      </c>
      <c r="N92" s="56" t="s">
        <v>378</v>
      </c>
      <c r="O92" s="10">
        <v>4</v>
      </c>
      <c r="P92" s="10" t="s">
        <v>378</v>
      </c>
      <c r="Q92" s="10">
        <v>1989</v>
      </c>
      <c r="R92" s="10" t="s">
        <v>378</v>
      </c>
      <c r="S92" s="10" t="str" cm="1">
        <f t="array" ref="S92">_xlfn.IFS(AND('Rent Table'!$I92&gt;0,'Rent Table'!$I92&lt;=50000),"0-50,000",
AND('Rent Table'!$I92 &gt; 50000, 'Rent Table'!$I92 &lt;= 150000), "50,001-150,000",
AND('Rent Table'!$I92 &gt; 150000, 'Rent Table'!$I92 &lt;= 250000), "150,001-250,000",
AND('Rent Table'!$I92 &gt; 250000, 'Rent Table'!$I92 &lt;= 350000), "250,001-350,000",
AND('Rent Table'!$I92 &gt; 350000, 'Rent Table'!$I92 &lt;= 450000), "350,001-450,000",
AND('Rent Table'!$I92 &gt; 450000, 'Rent Table'!$I92 &lt;= 600000), "450,001-600,000",
AND('Rent Table'!$I92 &gt; 600000, 'Rent Table'!$I92 &lt;= 750000), "600,001-750,000",'Rent Table'!$I92 &gt; 750000, "750,000+",
TRUE, "Undefined"
         )</f>
        <v>50,001-150,000</v>
      </c>
    </row>
    <row r="93" spans="1:19" x14ac:dyDescent="0.45">
      <c r="A93" s="13" t="s">
        <v>470</v>
      </c>
      <c r="B93" s="13" t="s">
        <v>68</v>
      </c>
      <c r="C93" s="10" t="s">
        <v>51</v>
      </c>
      <c r="D93" s="13" t="s">
        <v>69</v>
      </c>
      <c r="E93" s="10" t="s">
        <v>57</v>
      </c>
      <c r="F93" s="10" t="s">
        <v>54</v>
      </c>
      <c r="G93" s="54">
        <v>45566</v>
      </c>
      <c r="H93" s="13" t="s">
        <v>61</v>
      </c>
      <c r="I93" s="11">
        <v>23748</v>
      </c>
      <c r="J93" s="13" t="s">
        <v>59</v>
      </c>
      <c r="K93" s="56">
        <v>11.743167</v>
      </c>
      <c r="L93" s="10">
        <v>8246.6669999999995</v>
      </c>
      <c r="M93" s="10">
        <v>61</v>
      </c>
      <c r="N93" s="56" t="s">
        <v>378</v>
      </c>
      <c r="O93" s="10">
        <v>2.3333333000000001</v>
      </c>
      <c r="P93" s="10" t="s">
        <v>378</v>
      </c>
      <c r="Q93" s="10">
        <v>1988</v>
      </c>
      <c r="R93" s="10" t="s">
        <v>378</v>
      </c>
      <c r="S93" s="10" t="str" cm="1">
        <f t="array" ref="S93">_xlfn.IFS(AND('Rent Table'!$I93&gt;0,'Rent Table'!$I93&lt;=50000),"0-50,000",
AND('Rent Table'!$I93 &gt; 50000, 'Rent Table'!$I93 &lt;= 150000), "50,001-150,000",
AND('Rent Table'!$I93 &gt; 150000, 'Rent Table'!$I93 &lt;= 250000), "150,001-250,000",
AND('Rent Table'!$I93 &gt; 250000, 'Rent Table'!$I93 &lt;= 350000), "250,001-350,000",
AND('Rent Table'!$I93 &gt; 350000, 'Rent Table'!$I93 &lt;= 450000), "350,001-450,000",
AND('Rent Table'!$I93 &gt; 450000, 'Rent Table'!$I93 &lt;= 600000), "450,001-600,000",
AND('Rent Table'!$I93 &gt; 600000, 'Rent Table'!$I93 &lt;= 750000), "600,001-750,000",'Rent Table'!$I93 &gt; 750000, "750,000+",
TRUE, "Undefined"
         )</f>
        <v>0-50,000</v>
      </c>
    </row>
    <row r="94" spans="1:19" x14ac:dyDescent="0.45">
      <c r="A94" s="13" t="s">
        <v>471</v>
      </c>
      <c r="B94" s="13" t="s">
        <v>68</v>
      </c>
      <c r="C94" s="10" t="s">
        <v>51</v>
      </c>
      <c r="D94" s="13" t="s">
        <v>69</v>
      </c>
      <c r="E94" s="10" t="s">
        <v>57</v>
      </c>
      <c r="F94" s="10" t="s">
        <v>54</v>
      </c>
      <c r="G94" s="54">
        <v>45566</v>
      </c>
      <c r="H94" s="13" t="s">
        <v>61</v>
      </c>
      <c r="I94" s="11">
        <v>6600</v>
      </c>
      <c r="J94" s="13" t="s">
        <v>59</v>
      </c>
      <c r="K94" s="56">
        <v>10.9107</v>
      </c>
      <c r="L94" s="10">
        <v>6600</v>
      </c>
      <c r="M94" s="10">
        <v>36</v>
      </c>
      <c r="N94" s="56" t="s">
        <v>378</v>
      </c>
      <c r="O94" s="10" t="s">
        <v>378</v>
      </c>
      <c r="P94" s="10">
        <v>1</v>
      </c>
      <c r="Q94" s="10">
        <v>1989</v>
      </c>
      <c r="R94" s="10" t="s">
        <v>378</v>
      </c>
      <c r="S94" s="10" t="str" cm="1">
        <f t="array" ref="S94">_xlfn.IFS(AND('Rent Table'!$I94&gt;0,'Rent Table'!$I94&lt;=50000),"0-50,000",
AND('Rent Table'!$I94 &gt; 50000, 'Rent Table'!$I94 &lt;= 150000), "50,001-150,000",
AND('Rent Table'!$I94 &gt; 150000, 'Rent Table'!$I94 &lt;= 250000), "150,001-250,000",
AND('Rent Table'!$I94 &gt; 250000, 'Rent Table'!$I94 &lt;= 350000), "250,001-350,000",
AND('Rent Table'!$I94 &gt; 350000, 'Rent Table'!$I94 &lt;= 450000), "350,001-450,000",
AND('Rent Table'!$I94 &gt; 450000, 'Rent Table'!$I94 &lt;= 600000), "450,001-600,000",
AND('Rent Table'!$I94 &gt; 600000, 'Rent Table'!$I94 &lt;= 750000), "600,001-750,000",'Rent Table'!$I94 &gt; 750000, "750,000+",
TRUE, "Undefined"
         )</f>
        <v>0-50,000</v>
      </c>
    </row>
    <row r="95" spans="1:19" x14ac:dyDescent="0.45">
      <c r="A95" s="13" t="s">
        <v>472</v>
      </c>
      <c r="B95" s="13" t="s">
        <v>68</v>
      </c>
      <c r="C95" s="10" t="s">
        <v>51</v>
      </c>
      <c r="D95" s="13" t="s">
        <v>69</v>
      </c>
      <c r="E95" s="10" t="s">
        <v>57</v>
      </c>
      <c r="F95" s="10" t="s">
        <v>54</v>
      </c>
      <c r="G95" s="54">
        <v>45566</v>
      </c>
      <c r="H95" s="13" t="s">
        <v>61</v>
      </c>
      <c r="I95" s="11">
        <v>344000</v>
      </c>
      <c r="J95" s="13" t="s">
        <v>59</v>
      </c>
      <c r="K95" s="56">
        <v>8.3992699999999996</v>
      </c>
      <c r="L95" s="10">
        <v>205398</v>
      </c>
      <c r="M95" s="10">
        <v>126</v>
      </c>
      <c r="N95" s="56">
        <v>5</v>
      </c>
      <c r="O95" s="10">
        <v>6</v>
      </c>
      <c r="P95" s="10">
        <v>1</v>
      </c>
      <c r="Q95" s="10">
        <v>2018</v>
      </c>
      <c r="R95" s="10" t="s">
        <v>378</v>
      </c>
      <c r="S95" s="10" t="str" cm="1">
        <f t="array" ref="S95">_xlfn.IFS(AND('Rent Table'!$I95&gt;0,'Rent Table'!$I95&lt;=50000),"0-50,000",
AND('Rent Table'!$I95 &gt; 50000, 'Rent Table'!$I95 &lt;= 150000), "50,001-150,000",
AND('Rent Table'!$I95 &gt; 150000, 'Rent Table'!$I95 &lt;= 250000), "150,001-250,000",
AND('Rent Table'!$I95 &gt; 250000, 'Rent Table'!$I95 &lt;= 350000), "250,001-350,000",
AND('Rent Table'!$I95 &gt; 350000, 'Rent Table'!$I95 &lt;= 450000), "350,001-450,000",
AND('Rent Table'!$I95 &gt; 450000, 'Rent Table'!$I95 &lt;= 600000), "450,001-600,000",
AND('Rent Table'!$I95 &gt; 600000, 'Rent Table'!$I95 &lt;= 750000), "600,001-750,000",'Rent Table'!$I95 &gt; 750000, "750,000+",
TRUE, "Undefined"
         )</f>
        <v>250,001-350,000</v>
      </c>
    </row>
    <row r="96" spans="1:19" x14ac:dyDescent="0.45">
      <c r="A96" s="13" t="s">
        <v>473</v>
      </c>
      <c r="B96" s="13" t="s">
        <v>68</v>
      </c>
      <c r="C96" s="10" t="s">
        <v>51</v>
      </c>
      <c r="D96" s="13" t="s">
        <v>69</v>
      </c>
      <c r="E96" s="10" t="s">
        <v>57</v>
      </c>
      <c r="F96" s="10" t="s">
        <v>54</v>
      </c>
      <c r="G96" s="54">
        <v>45566</v>
      </c>
      <c r="H96" s="13" t="s">
        <v>61</v>
      </c>
      <c r="I96" s="11">
        <v>116645</v>
      </c>
      <c r="J96" s="13" t="s">
        <v>59</v>
      </c>
      <c r="K96" s="56">
        <v>16.582999999999998</v>
      </c>
      <c r="L96" s="10">
        <v>116645</v>
      </c>
      <c r="M96" s="10">
        <v>36</v>
      </c>
      <c r="N96" s="56" t="s">
        <v>378</v>
      </c>
      <c r="O96" s="10" t="s">
        <v>378</v>
      </c>
      <c r="P96" s="10">
        <v>1</v>
      </c>
      <c r="Q96" s="10">
        <v>1980</v>
      </c>
      <c r="R96" s="10" t="s">
        <v>378</v>
      </c>
      <c r="S96" s="10" t="str" cm="1">
        <f t="array" ref="S96">_xlfn.IFS(AND('Rent Table'!$I96&gt;0,'Rent Table'!$I96&lt;=50000),"0-50,000",
AND('Rent Table'!$I96 &gt; 50000, 'Rent Table'!$I96 &lt;= 150000), "50,001-150,000",
AND('Rent Table'!$I96 &gt; 150000, 'Rent Table'!$I96 &lt;= 250000), "150,001-250,000",
AND('Rent Table'!$I96 &gt; 250000, 'Rent Table'!$I96 &lt;= 350000), "250,001-350,000",
AND('Rent Table'!$I96 &gt; 350000, 'Rent Table'!$I96 &lt;= 450000), "350,001-450,000",
AND('Rent Table'!$I96 &gt; 450000, 'Rent Table'!$I96 &lt;= 600000), "450,001-600,000",
AND('Rent Table'!$I96 &gt; 600000, 'Rent Table'!$I96 &lt;= 750000), "600,001-750,000",'Rent Table'!$I96 &gt; 750000, "750,000+",
TRUE, "Undefined"
         )</f>
        <v>50,001-150,000</v>
      </c>
    </row>
    <row r="97" spans="1:19" x14ac:dyDescent="0.45">
      <c r="A97" s="13" t="s">
        <v>474</v>
      </c>
      <c r="B97" s="13" t="s">
        <v>68</v>
      </c>
      <c r="C97" s="10" t="s">
        <v>51</v>
      </c>
      <c r="D97" s="13" t="s">
        <v>69</v>
      </c>
      <c r="E97" s="10" t="s">
        <v>57</v>
      </c>
      <c r="F97" s="10" t="s">
        <v>54</v>
      </c>
      <c r="G97" s="54">
        <v>45566</v>
      </c>
      <c r="H97" s="13" t="s">
        <v>61</v>
      </c>
      <c r="I97" s="11">
        <v>18710</v>
      </c>
      <c r="J97" s="13" t="s">
        <v>59</v>
      </c>
      <c r="K97" s="56">
        <v>10.7996</v>
      </c>
      <c r="L97" s="10">
        <v>8160</v>
      </c>
      <c r="M97" s="10">
        <v>36</v>
      </c>
      <c r="N97" s="56" t="s">
        <v>378</v>
      </c>
      <c r="O97" s="10" t="s">
        <v>378</v>
      </c>
      <c r="P97" s="10">
        <v>1</v>
      </c>
      <c r="Q97" s="10">
        <v>1982</v>
      </c>
      <c r="R97" s="10" t="s">
        <v>378</v>
      </c>
      <c r="S97" s="10" t="str" cm="1">
        <f t="array" ref="S97">_xlfn.IFS(AND('Rent Table'!$I97&gt;0,'Rent Table'!$I97&lt;=50000),"0-50,000",
AND('Rent Table'!$I97 &gt; 50000, 'Rent Table'!$I97 &lt;= 150000), "50,001-150,000",
AND('Rent Table'!$I97 &gt; 150000, 'Rent Table'!$I97 &lt;= 250000), "150,001-250,000",
AND('Rent Table'!$I97 &gt; 250000, 'Rent Table'!$I97 &lt;= 350000), "250,001-350,000",
AND('Rent Table'!$I97 &gt; 350000, 'Rent Table'!$I97 &lt;= 450000), "350,001-450,000",
AND('Rent Table'!$I97 &gt; 450000, 'Rent Table'!$I97 &lt;= 600000), "450,001-600,000",
AND('Rent Table'!$I97 &gt; 600000, 'Rent Table'!$I97 &lt;= 750000), "600,001-750,000",'Rent Table'!$I97 &gt; 750000, "750,000+",
TRUE, "Undefined"
         )</f>
        <v>0-50,000</v>
      </c>
    </row>
    <row r="98" spans="1:19" x14ac:dyDescent="0.45">
      <c r="A98" s="13" t="s">
        <v>475</v>
      </c>
      <c r="B98" s="13" t="s">
        <v>68</v>
      </c>
      <c r="C98" s="10" t="s">
        <v>51</v>
      </c>
      <c r="D98" s="13" t="s">
        <v>69</v>
      </c>
      <c r="E98" s="10" t="s">
        <v>57</v>
      </c>
      <c r="F98" s="10" t="s">
        <v>54</v>
      </c>
      <c r="G98" s="54">
        <v>45566</v>
      </c>
      <c r="H98" s="13" t="s">
        <v>61</v>
      </c>
      <c r="I98" s="11">
        <v>8000</v>
      </c>
      <c r="J98" s="13" t="s">
        <v>59</v>
      </c>
      <c r="K98" s="56">
        <v>15.5779</v>
      </c>
      <c r="L98" s="10">
        <v>8000</v>
      </c>
      <c r="M98" s="10">
        <v>59.75</v>
      </c>
      <c r="N98" s="56" t="s">
        <v>378</v>
      </c>
      <c r="O98" s="10">
        <v>1</v>
      </c>
      <c r="P98" s="10">
        <v>1</v>
      </c>
      <c r="Q98" s="10">
        <v>1980</v>
      </c>
      <c r="R98" s="10" t="s">
        <v>378</v>
      </c>
      <c r="S98" s="10" t="str" cm="1">
        <f t="array" ref="S98">_xlfn.IFS(AND('Rent Table'!$I98&gt;0,'Rent Table'!$I98&lt;=50000),"0-50,000",
AND('Rent Table'!$I98 &gt; 50000, 'Rent Table'!$I98 &lt;= 150000), "50,001-150,000",
AND('Rent Table'!$I98 &gt; 150000, 'Rent Table'!$I98 &lt;= 250000), "150,001-250,000",
AND('Rent Table'!$I98 &gt; 250000, 'Rent Table'!$I98 &lt;= 350000), "250,001-350,000",
AND('Rent Table'!$I98 &gt; 350000, 'Rent Table'!$I98 &lt;= 450000), "350,001-450,000",
AND('Rent Table'!$I98 &gt; 450000, 'Rent Table'!$I98 &lt;= 600000), "450,001-600,000",
AND('Rent Table'!$I98 &gt; 600000, 'Rent Table'!$I98 &lt;= 750000), "600,001-750,000",'Rent Table'!$I98 &gt; 750000, "750,000+",
TRUE, "Undefined"
         )</f>
        <v>0-50,000</v>
      </c>
    </row>
    <row r="99" spans="1:19" x14ac:dyDescent="0.45">
      <c r="A99" s="13" t="s">
        <v>476</v>
      </c>
      <c r="B99" s="13" t="s">
        <v>68</v>
      </c>
      <c r="C99" s="10" t="s">
        <v>51</v>
      </c>
      <c r="D99" s="13" t="s">
        <v>69</v>
      </c>
      <c r="E99" s="10" t="s">
        <v>57</v>
      </c>
      <c r="F99" s="10" t="s">
        <v>54</v>
      </c>
      <c r="G99" s="54">
        <v>45566</v>
      </c>
      <c r="H99" s="13" t="s">
        <v>61</v>
      </c>
      <c r="I99" s="11">
        <v>44000</v>
      </c>
      <c r="J99" s="13" t="s">
        <v>59</v>
      </c>
      <c r="K99" s="56">
        <v>10.411300000000001</v>
      </c>
      <c r="L99" s="10">
        <v>8800</v>
      </c>
      <c r="M99" s="10">
        <v>61</v>
      </c>
      <c r="N99" s="56" t="s">
        <v>378</v>
      </c>
      <c r="O99" s="10">
        <v>1</v>
      </c>
      <c r="P99" s="10">
        <v>1</v>
      </c>
      <c r="Q99" s="10">
        <v>1984</v>
      </c>
      <c r="R99" s="10" t="s">
        <v>378</v>
      </c>
      <c r="S99" s="10" t="str" cm="1">
        <f t="array" ref="S99">_xlfn.IFS(AND('Rent Table'!$I99&gt;0,'Rent Table'!$I99&lt;=50000),"0-50,000",
AND('Rent Table'!$I99 &gt; 50000, 'Rent Table'!$I99 &lt;= 150000), "50,001-150,000",
AND('Rent Table'!$I99 &gt; 150000, 'Rent Table'!$I99 &lt;= 250000), "150,001-250,000",
AND('Rent Table'!$I99 &gt; 250000, 'Rent Table'!$I99 &lt;= 350000), "250,001-350,000",
AND('Rent Table'!$I99 &gt; 350000, 'Rent Table'!$I99 &lt;= 450000), "350,001-450,000",
AND('Rent Table'!$I99 &gt; 450000, 'Rent Table'!$I99 &lt;= 600000), "450,001-600,000",
AND('Rent Table'!$I99 &gt; 600000, 'Rent Table'!$I99 &lt;= 750000), "600,001-750,000",'Rent Table'!$I99 &gt; 750000, "750,000+",
TRUE, "Undefined"
         )</f>
        <v>0-50,000</v>
      </c>
    </row>
    <row r="100" spans="1:19" x14ac:dyDescent="0.45">
      <c r="A100" s="13" t="s">
        <v>477</v>
      </c>
      <c r="B100" s="13" t="s">
        <v>68</v>
      </c>
      <c r="C100" s="10" t="s">
        <v>51</v>
      </c>
      <c r="D100" s="13" t="s">
        <v>69</v>
      </c>
      <c r="E100" s="10" t="s">
        <v>57</v>
      </c>
      <c r="F100" s="10" t="s">
        <v>54</v>
      </c>
      <c r="G100" s="54">
        <v>45566</v>
      </c>
      <c r="H100" s="13" t="s">
        <v>61</v>
      </c>
      <c r="I100" s="11">
        <v>44000</v>
      </c>
      <c r="J100" s="13" t="s">
        <v>59</v>
      </c>
      <c r="K100" s="56">
        <v>8.3250299999999999</v>
      </c>
      <c r="L100" s="10">
        <v>8800</v>
      </c>
      <c r="M100" s="10">
        <v>39</v>
      </c>
      <c r="N100" s="56" t="s">
        <v>378</v>
      </c>
      <c r="O100" s="10">
        <v>4</v>
      </c>
      <c r="P100" s="10">
        <v>1</v>
      </c>
      <c r="Q100" s="10">
        <v>1981</v>
      </c>
      <c r="R100" s="10" t="s">
        <v>378</v>
      </c>
      <c r="S100" s="10" t="str" cm="1">
        <f t="array" ref="S100">_xlfn.IFS(AND('Rent Table'!$I100&gt;0,'Rent Table'!$I100&lt;=50000),"0-50,000",
AND('Rent Table'!$I100 &gt; 50000, 'Rent Table'!$I100 &lt;= 150000), "50,001-150,000",
AND('Rent Table'!$I100 &gt; 150000, 'Rent Table'!$I100 &lt;= 250000), "150,001-250,000",
AND('Rent Table'!$I100 &gt; 250000, 'Rent Table'!$I100 &lt;= 350000), "250,001-350,000",
AND('Rent Table'!$I100 &gt; 350000, 'Rent Table'!$I100 &lt;= 450000), "350,001-450,000",
AND('Rent Table'!$I100 &gt; 450000, 'Rent Table'!$I100 &lt;= 600000), "450,001-600,000",
AND('Rent Table'!$I100 &gt; 600000, 'Rent Table'!$I100 &lt;= 750000), "600,001-750,000",'Rent Table'!$I100 &gt; 750000, "750,000+",
TRUE, "Undefined"
         )</f>
        <v>0-50,000</v>
      </c>
    </row>
    <row r="101" spans="1:19" x14ac:dyDescent="0.45">
      <c r="A101" s="13" t="s">
        <v>478</v>
      </c>
      <c r="B101" s="13" t="s">
        <v>68</v>
      </c>
      <c r="C101" s="10" t="s">
        <v>51</v>
      </c>
      <c r="D101" s="13" t="s">
        <v>69</v>
      </c>
      <c r="E101" s="10" t="s">
        <v>57</v>
      </c>
      <c r="F101" s="10" t="s">
        <v>54</v>
      </c>
      <c r="G101" s="54">
        <v>45566</v>
      </c>
      <c r="H101" s="13" t="s">
        <v>61</v>
      </c>
      <c r="I101" s="11">
        <v>7319</v>
      </c>
      <c r="J101" s="13" t="s">
        <v>59</v>
      </c>
      <c r="K101" s="56">
        <v>13.002000000000001</v>
      </c>
      <c r="L101" s="10">
        <v>7319</v>
      </c>
      <c r="M101" s="10">
        <v>144</v>
      </c>
      <c r="N101" s="56" t="s">
        <v>378</v>
      </c>
      <c r="O101" s="10" t="s">
        <v>378</v>
      </c>
      <c r="P101" s="10">
        <v>1</v>
      </c>
      <c r="Q101" s="10">
        <v>1980</v>
      </c>
      <c r="R101" s="10" t="s">
        <v>378</v>
      </c>
      <c r="S101" s="10" t="str" cm="1">
        <f t="array" ref="S101">_xlfn.IFS(AND('Rent Table'!$I101&gt;0,'Rent Table'!$I101&lt;=50000),"0-50,000",
AND('Rent Table'!$I101 &gt; 50000, 'Rent Table'!$I101 &lt;= 150000), "50,001-150,000",
AND('Rent Table'!$I101 &gt; 150000, 'Rent Table'!$I101 &lt;= 250000), "150,001-250,000",
AND('Rent Table'!$I101 &gt; 250000, 'Rent Table'!$I101 &lt;= 350000), "250,001-350,000",
AND('Rent Table'!$I101 &gt; 350000, 'Rent Table'!$I101 &lt;= 450000), "350,001-450,000",
AND('Rent Table'!$I101 &gt; 450000, 'Rent Table'!$I101 &lt;= 600000), "450,001-600,000",
AND('Rent Table'!$I101 &gt; 600000, 'Rent Table'!$I101 &lt;= 750000), "600,001-750,000",'Rent Table'!$I101 &gt; 750000, "750,000+",
TRUE, "Undefined"
         )</f>
        <v>0-50,000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CBA01-96CA-4EBD-8950-321556647665}">
  <sheetPr>
    <tabColor theme="7" tint="0.79998168889431442"/>
  </sheetPr>
  <dimension ref="B2:I40"/>
  <sheetViews>
    <sheetView topLeftCell="A14" workbookViewId="0">
      <selection activeCell="I36" sqref="I36"/>
    </sheetView>
  </sheetViews>
  <sheetFormatPr defaultColWidth="9" defaultRowHeight="16.5" x14ac:dyDescent="0.6"/>
  <cols>
    <col min="1" max="1" width="9" style="60"/>
    <col min="2" max="2" width="12.6640625" style="60" customWidth="1"/>
    <col min="3" max="3" width="18.1328125" style="60" customWidth="1"/>
    <col min="4" max="4" width="17.19921875" style="90" customWidth="1"/>
    <col min="5" max="5" width="11.265625" style="90" customWidth="1"/>
    <col min="6" max="6" width="9" style="60" customWidth="1"/>
    <col min="7" max="7" width="9" style="91" customWidth="1"/>
    <col min="8" max="8" width="9" style="60" customWidth="1"/>
    <col min="9" max="9" width="21.3984375" style="60" customWidth="1"/>
    <col min="10" max="16384" width="9" style="60"/>
  </cols>
  <sheetData>
    <row r="2" spans="2:9" x14ac:dyDescent="0.6">
      <c r="B2" s="105" t="s">
        <v>479</v>
      </c>
      <c r="C2" s="106"/>
      <c r="D2" s="107"/>
      <c r="E2" s="57"/>
      <c r="F2" s="58"/>
      <c r="G2" s="59"/>
      <c r="H2" s="58"/>
      <c r="I2" s="58"/>
    </row>
    <row r="3" spans="2:9" s="65" customFormat="1" x14ac:dyDescent="0.6">
      <c r="B3" s="61"/>
      <c r="C3" s="61"/>
      <c r="D3" s="61"/>
      <c r="E3" s="62" t="s">
        <v>480</v>
      </c>
      <c r="F3" s="63" t="s">
        <v>481</v>
      </c>
      <c r="G3" s="63" t="s">
        <v>482</v>
      </c>
      <c r="H3" s="63" t="s">
        <v>483</v>
      </c>
      <c r="I3" s="64" t="s">
        <v>484</v>
      </c>
    </row>
    <row r="4" spans="2:9" x14ac:dyDescent="0.6">
      <c r="B4" s="66" t="s">
        <v>57</v>
      </c>
      <c r="C4" s="67"/>
      <c r="D4" s="67"/>
      <c r="E4" s="68">
        <v>50</v>
      </c>
      <c r="F4" s="69">
        <v>6.8924200000000004</v>
      </c>
      <c r="G4" s="69">
        <v>20.4175</v>
      </c>
      <c r="H4" s="69">
        <v>2.5608557114279402</v>
      </c>
      <c r="I4" s="70">
        <v>11.748450099999999</v>
      </c>
    </row>
    <row r="5" spans="2:9" x14ac:dyDescent="0.6">
      <c r="B5" s="71"/>
      <c r="C5" s="72" t="s">
        <v>104</v>
      </c>
      <c r="D5" s="73"/>
      <c r="E5" s="74">
        <v>1</v>
      </c>
      <c r="F5" s="75">
        <v>10.203900000000001</v>
      </c>
      <c r="G5" s="75">
        <v>10.203900000000001</v>
      </c>
      <c r="H5" s="75"/>
      <c r="I5" s="76">
        <v>10.203900000000001</v>
      </c>
    </row>
    <row r="6" spans="2:9" x14ac:dyDescent="0.6">
      <c r="B6" s="77"/>
      <c r="C6" s="78"/>
      <c r="D6" s="78" t="s">
        <v>485</v>
      </c>
      <c r="E6" s="79">
        <v>1</v>
      </c>
      <c r="F6" s="80">
        <v>10.203900000000001</v>
      </c>
      <c r="G6" s="80">
        <v>10.203900000000001</v>
      </c>
      <c r="H6" s="80"/>
      <c r="I6" s="81">
        <v>10.203900000000001</v>
      </c>
    </row>
    <row r="7" spans="2:9" x14ac:dyDescent="0.6">
      <c r="B7" s="77"/>
      <c r="C7" s="72" t="s">
        <v>431</v>
      </c>
      <c r="D7" s="73"/>
      <c r="E7" s="74">
        <v>3</v>
      </c>
      <c r="F7" s="75">
        <v>13.0548</v>
      </c>
      <c r="G7" s="75">
        <v>14.1289</v>
      </c>
      <c r="H7" s="75">
        <v>0.54345147284118445</v>
      </c>
      <c r="I7" s="76">
        <v>13.639866666666668</v>
      </c>
    </row>
    <row r="8" spans="2:9" x14ac:dyDescent="0.6">
      <c r="B8" s="77"/>
      <c r="C8" s="77"/>
      <c r="D8" s="77" t="s">
        <v>485</v>
      </c>
      <c r="E8" s="79">
        <v>1</v>
      </c>
      <c r="F8" s="80">
        <v>13.735900000000001</v>
      </c>
      <c r="G8" s="80">
        <v>13.735900000000001</v>
      </c>
      <c r="H8" s="80"/>
      <c r="I8" s="81">
        <v>13.735900000000001</v>
      </c>
    </row>
    <row r="9" spans="2:9" x14ac:dyDescent="0.6">
      <c r="B9" s="77"/>
      <c r="C9" s="78"/>
      <c r="D9" s="78" t="s">
        <v>486</v>
      </c>
      <c r="E9" s="79">
        <v>2</v>
      </c>
      <c r="F9" s="80">
        <v>13.0548</v>
      </c>
      <c r="G9" s="80">
        <v>14.1289</v>
      </c>
      <c r="H9" s="80">
        <v>0.75950339367245212</v>
      </c>
      <c r="I9" s="81">
        <v>13.591850000000001</v>
      </c>
    </row>
    <row r="10" spans="2:9" x14ac:dyDescent="0.6">
      <c r="B10" s="77"/>
      <c r="C10" s="72" t="s">
        <v>2</v>
      </c>
      <c r="D10" s="73"/>
      <c r="E10" s="74">
        <v>32</v>
      </c>
      <c r="F10" s="75">
        <v>6.8924200000000004</v>
      </c>
      <c r="G10" s="75">
        <v>20.4175</v>
      </c>
      <c r="H10" s="75">
        <v>2.6320308112468171</v>
      </c>
      <c r="I10" s="76">
        <v>11.6720318125</v>
      </c>
    </row>
    <row r="11" spans="2:9" x14ac:dyDescent="0.6">
      <c r="B11" s="77"/>
      <c r="C11" s="77"/>
      <c r="D11" s="77" t="s">
        <v>487</v>
      </c>
      <c r="E11" s="79">
        <v>12</v>
      </c>
      <c r="F11" s="80">
        <v>9.0724099999999996</v>
      </c>
      <c r="G11" s="80">
        <v>20.4175</v>
      </c>
      <c r="H11" s="80">
        <v>2.9801097688945317</v>
      </c>
      <c r="I11" s="81">
        <v>12.404306666666665</v>
      </c>
    </row>
    <row r="12" spans="2:9" x14ac:dyDescent="0.6">
      <c r="B12" s="77"/>
      <c r="C12" s="82"/>
      <c r="D12" s="82" t="s">
        <v>488</v>
      </c>
      <c r="E12" s="83">
        <v>2</v>
      </c>
      <c r="F12" s="84">
        <v>9.18398</v>
      </c>
      <c r="G12" s="84">
        <v>14.9824</v>
      </c>
      <c r="H12" s="84">
        <v>4.1001021021677033</v>
      </c>
      <c r="I12" s="85">
        <v>12.08319</v>
      </c>
    </row>
    <row r="13" spans="2:9" x14ac:dyDescent="0.6">
      <c r="B13" s="77"/>
      <c r="C13" s="82"/>
      <c r="D13" s="82" t="s">
        <v>485</v>
      </c>
      <c r="E13" s="83">
        <v>1</v>
      </c>
      <c r="F13" s="84">
        <v>12.901</v>
      </c>
      <c r="G13" s="84">
        <v>12.901</v>
      </c>
      <c r="H13" s="84"/>
      <c r="I13" s="85">
        <v>12.901</v>
      </c>
    </row>
    <row r="14" spans="2:9" x14ac:dyDescent="0.6">
      <c r="B14" s="77"/>
      <c r="C14" s="82"/>
      <c r="D14" s="82" t="s">
        <v>489</v>
      </c>
      <c r="E14" s="83">
        <v>2</v>
      </c>
      <c r="F14" s="84">
        <v>10.017099999999999</v>
      </c>
      <c r="G14" s="84">
        <v>13.1526</v>
      </c>
      <c r="H14" s="84">
        <v>2.2171333124104184</v>
      </c>
      <c r="I14" s="85">
        <v>11.584849999999999</v>
      </c>
    </row>
    <row r="15" spans="2:9" x14ac:dyDescent="0.6">
      <c r="B15" s="77"/>
      <c r="C15" s="77"/>
      <c r="D15" s="77" t="s">
        <v>490</v>
      </c>
      <c r="E15" s="79">
        <v>2</v>
      </c>
      <c r="F15" s="80">
        <v>10.069100000000001</v>
      </c>
      <c r="G15" s="80">
        <v>13.674950000000001</v>
      </c>
      <c r="H15" s="80">
        <v>2.5497209869415176</v>
      </c>
      <c r="I15" s="81">
        <v>11.872025000000001</v>
      </c>
    </row>
    <row r="16" spans="2:9" x14ac:dyDescent="0.6">
      <c r="B16" s="77"/>
      <c r="C16" s="77"/>
      <c r="D16" s="77" t="s">
        <v>486</v>
      </c>
      <c r="E16" s="79">
        <v>9</v>
      </c>
      <c r="F16" s="80">
        <v>9.0859000000000005</v>
      </c>
      <c r="G16" s="80">
        <v>14.7399</v>
      </c>
      <c r="H16" s="80">
        <v>2.1684749411085722</v>
      </c>
      <c r="I16" s="81">
        <v>11.80363088888889</v>
      </c>
    </row>
    <row r="17" spans="2:9" x14ac:dyDescent="0.6">
      <c r="B17" s="77"/>
      <c r="C17" s="77"/>
      <c r="D17" s="77" t="s">
        <v>491</v>
      </c>
      <c r="E17" s="79">
        <v>2</v>
      </c>
      <c r="F17" s="80">
        <v>8.7058599999999995</v>
      </c>
      <c r="G17" s="80">
        <v>8.7487100000000009</v>
      </c>
      <c r="H17" s="80">
        <v>3.0299525573684934E-2</v>
      </c>
      <c r="I17" s="81">
        <v>8.7272850000000002</v>
      </c>
    </row>
    <row r="18" spans="2:9" x14ac:dyDescent="0.6">
      <c r="B18" s="77"/>
      <c r="C18" s="78"/>
      <c r="D18" s="78" t="s">
        <v>492</v>
      </c>
      <c r="E18" s="79">
        <v>2</v>
      </c>
      <c r="F18" s="80">
        <v>6.8924200000000004</v>
      </c>
      <c r="G18" s="80">
        <v>10.09254</v>
      </c>
      <c r="H18" s="80">
        <v>2.2628265526106919</v>
      </c>
      <c r="I18" s="81">
        <v>8.4924800000000005</v>
      </c>
    </row>
    <row r="19" spans="2:9" x14ac:dyDescent="0.6">
      <c r="B19" s="77"/>
      <c r="C19" s="72" t="s">
        <v>68</v>
      </c>
      <c r="D19" s="73"/>
      <c r="E19" s="74">
        <v>14</v>
      </c>
      <c r="F19" s="75">
        <v>7.35182</v>
      </c>
      <c r="G19" s="75">
        <v>16.582999999999998</v>
      </c>
      <c r="H19" s="75">
        <v>2.6672912216196032</v>
      </c>
      <c r="I19" s="76">
        <v>11.628141928571427</v>
      </c>
    </row>
    <row r="20" spans="2:9" x14ac:dyDescent="0.6">
      <c r="B20" s="77"/>
      <c r="C20" s="77"/>
      <c r="D20" s="77" t="s">
        <v>487</v>
      </c>
      <c r="E20" s="79">
        <v>8</v>
      </c>
      <c r="F20" s="80">
        <v>8.3250299999999999</v>
      </c>
      <c r="G20" s="80">
        <v>15.5779</v>
      </c>
      <c r="H20" s="80">
        <v>2.1085724840843305</v>
      </c>
      <c r="I20" s="81">
        <v>11.577487124999999</v>
      </c>
    </row>
    <row r="21" spans="2:9" x14ac:dyDescent="0.6">
      <c r="B21" s="77"/>
      <c r="C21" s="77"/>
      <c r="D21" s="77" t="s">
        <v>485</v>
      </c>
      <c r="E21" s="79">
        <v>1</v>
      </c>
      <c r="F21" s="80">
        <v>8.3992699999999996</v>
      </c>
      <c r="G21" s="80">
        <v>8.3992699999999996</v>
      </c>
      <c r="H21" s="80"/>
      <c r="I21" s="81">
        <v>8.3992699999999996</v>
      </c>
    </row>
    <row r="22" spans="2:9" x14ac:dyDescent="0.6">
      <c r="B22" s="77"/>
      <c r="C22" s="77"/>
      <c r="D22" s="77" t="s">
        <v>490</v>
      </c>
      <c r="E22" s="79">
        <v>1</v>
      </c>
      <c r="F22" s="80">
        <v>7.35182</v>
      </c>
      <c r="G22" s="80">
        <v>7.35182</v>
      </c>
      <c r="H22" s="80"/>
      <c r="I22" s="81">
        <v>7.35182</v>
      </c>
    </row>
    <row r="23" spans="2:9" x14ac:dyDescent="0.6">
      <c r="B23" s="78"/>
      <c r="C23" s="78"/>
      <c r="D23" s="78" t="s">
        <v>486</v>
      </c>
      <c r="E23" s="79">
        <v>4</v>
      </c>
      <c r="F23" s="80">
        <v>11.1859</v>
      </c>
      <c r="G23" s="80">
        <v>16.582999999999998</v>
      </c>
      <c r="H23" s="80">
        <v>2.3796639377581443</v>
      </c>
      <c r="I23" s="81">
        <v>13.60575</v>
      </c>
    </row>
    <row r="24" spans="2:9" x14ac:dyDescent="0.6">
      <c r="B24" s="66" t="s">
        <v>238</v>
      </c>
      <c r="C24" s="67"/>
      <c r="D24" s="67"/>
      <c r="E24" s="68">
        <v>50</v>
      </c>
      <c r="F24" s="69">
        <v>10.7525</v>
      </c>
      <c r="G24" s="69">
        <v>30.2333</v>
      </c>
      <c r="H24" s="69">
        <v>4.761626670199731</v>
      </c>
      <c r="I24" s="70">
        <v>19.067257099999999</v>
      </c>
    </row>
    <row r="25" spans="2:9" x14ac:dyDescent="0.6">
      <c r="B25" s="71"/>
      <c r="C25" s="72" t="s">
        <v>258</v>
      </c>
      <c r="D25" s="73"/>
      <c r="E25" s="74">
        <v>19</v>
      </c>
      <c r="F25" s="75">
        <v>10.7525</v>
      </c>
      <c r="G25" s="75">
        <v>21.990400000000001</v>
      </c>
      <c r="H25" s="75">
        <v>3.8169863868022285</v>
      </c>
      <c r="I25" s="76">
        <v>16.560663421052631</v>
      </c>
    </row>
    <row r="26" spans="2:9" x14ac:dyDescent="0.6">
      <c r="B26" s="77"/>
      <c r="C26" s="77"/>
      <c r="D26" s="77" t="s">
        <v>487</v>
      </c>
      <c r="E26" s="79">
        <v>8</v>
      </c>
      <c r="F26" s="80">
        <v>10.7525</v>
      </c>
      <c r="G26" s="80">
        <v>18.472999999999999</v>
      </c>
      <c r="H26" s="80">
        <v>2.3564069033290247</v>
      </c>
      <c r="I26" s="81">
        <v>12.962438125</v>
      </c>
    </row>
    <row r="27" spans="2:9" x14ac:dyDescent="0.6">
      <c r="B27" s="77"/>
      <c r="C27" s="77"/>
      <c r="D27" s="77" t="s">
        <v>488</v>
      </c>
      <c r="E27" s="79">
        <v>5</v>
      </c>
      <c r="F27" s="80">
        <v>18.030550000000002</v>
      </c>
      <c r="G27" s="80">
        <v>21.990400000000001</v>
      </c>
      <c r="H27" s="80">
        <v>1.6933218440390885</v>
      </c>
      <c r="I27" s="81">
        <v>19.787950000000002</v>
      </c>
    </row>
    <row r="28" spans="2:9" x14ac:dyDescent="0.6">
      <c r="B28" s="77"/>
      <c r="C28" s="77"/>
      <c r="D28" s="77" t="s">
        <v>485</v>
      </c>
      <c r="E28" s="79">
        <v>1</v>
      </c>
      <c r="F28" s="80">
        <v>20.280850000000001</v>
      </c>
      <c r="G28" s="80">
        <v>20.280850000000001</v>
      </c>
      <c r="H28" s="80"/>
      <c r="I28" s="81">
        <v>20.280850000000001</v>
      </c>
    </row>
    <row r="29" spans="2:9" x14ac:dyDescent="0.6">
      <c r="B29" s="77"/>
      <c r="C29" s="77"/>
      <c r="D29" s="78" t="s">
        <v>486</v>
      </c>
      <c r="E29" s="79">
        <v>5</v>
      </c>
      <c r="F29" s="80">
        <v>14.905200000000001</v>
      </c>
      <c r="G29" s="80">
        <v>21.697700000000001</v>
      </c>
      <c r="H29" s="80">
        <v>2.5724723652548733</v>
      </c>
      <c r="I29" s="81">
        <v>18.346499999999999</v>
      </c>
    </row>
    <row r="30" spans="2:9" x14ac:dyDescent="0.6">
      <c r="B30" s="77"/>
      <c r="C30" s="72" t="s">
        <v>244</v>
      </c>
      <c r="D30" s="73"/>
      <c r="E30" s="74">
        <v>3</v>
      </c>
      <c r="F30" s="75">
        <v>11.754099999999999</v>
      </c>
      <c r="G30" s="75">
        <v>25.766400000000001</v>
      </c>
      <c r="H30" s="75">
        <v>7.3447641870473461</v>
      </c>
      <c r="I30" s="76">
        <v>20.032966666666667</v>
      </c>
    </row>
    <row r="31" spans="2:9" x14ac:dyDescent="0.6">
      <c r="B31" s="77"/>
      <c r="C31" s="77"/>
      <c r="D31" s="77" t="s">
        <v>487</v>
      </c>
      <c r="E31" s="79">
        <v>1</v>
      </c>
      <c r="F31" s="80">
        <v>25.766400000000001</v>
      </c>
      <c r="G31" s="80">
        <v>25.766400000000001</v>
      </c>
      <c r="H31" s="80"/>
      <c r="I31" s="81">
        <v>25.766400000000001</v>
      </c>
    </row>
    <row r="32" spans="2:9" x14ac:dyDescent="0.6">
      <c r="B32" s="77"/>
      <c r="C32" s="77"/>
      <c r="D32" s="78" t="s">
        <v>486</v>
      </c>
      <c r="E32" s="79">
        <v>2</v>
      </c>
      <c r="F32" s="80">
        <v>11.754099999999999</v>
      </c>
      <c r="G32" s="80">
        <v>22.578399999999998</v>
      </c>
      <c r="H32" s="80">
        <v>7.6539359315975304</v>
      </c>
      <c r="I32" s="81">
        <v>17.166250000000002</v>
      </c>
    </row>
    <row r="33" spans="2:9" x14ac:dyDescent="0.6">
      <c r="B33" s="77"/>
      <c r="C33" s="72" t="s">
        <v>7</v>
      </c>
      <c r="D33" s="73"/>
      <c r="E33" s="74">
        <v>28</v>
      </c>
      <c r="F33" s="75">
        <v>12.102</v>
      </c>
      <c r="G33" s="75">
        <v>30.2333</v>
      </c>
      <c r="H33" s="75">
        <v>4.5019173149821246</v>
      </c>
      <c r="I33" s="76">
        <v>20.664691071428571</v>
      </c>
    </row>
    <row r="34" spans="2:9" x14ac:dyDescent="0.6">
      <c r="B34" s="77"/>
      <c r="C34" s="77"/>
      <c r="D34" s="77" t="s">
        <v>487</v>
      </c>
      <c r="E34" s="79">
        <v>8</v>
      </c>
      <c r="F34" s="80">
        <v>12.102</v>
      </c>
      <c r="G34" s="80">
        <v>30.2333</v>
      </c>
      <c r="H34" s="80">
        <v>5.7697141231753957</v>
      </c>
      <c r="I34" s="81">
        <v>20.502593749999999</v>
      </c>
    </row>
    <row r="35" spans="2:9" x14ac:dyDescent="0.6">
      <c r="B35" s="77"/>
      <c r="C35" s="77"/>
      <c r="D35" s="77" t="s">
        <v>488</v>
      </c>
      <c r="E35" s="79">
        <v>3</v>
      </c>
      <c r="F35" s="80">
        <v>19.518049999999999</v>
      </c>
      <c r="G35" s="80">
        <v>27.982600000000001</v>
      </c>
      <c r="H35" s="80">
        <v>4.658902371356735</v>
      </c>
      <c r="I35" s="81">
        <v>22.625866666666667</v>
      </c>
    </row>
    <row r="36" spans="2:9" x14ac:dyDescent="0.6">
      <c r="B36" s="77"/>
      <c r="C36" s="77"/>
      <c r="D36" s="77" t="s">
        <v>485</v>
      </c>
      <c r="E36" s="79">
        <v>5</v>
      </c>
      <c r="F36" s="80">
        <v>16.220300000000002</v>
      </c>
      <c r="G36" s="80">
        <v>25.520600000000002</v>
      </c>
      <c r="H36" s="80">
        <v>3.6797274473797623</v>
      </c>
      <c r="I36" s="81">
        <v>19.08812</v>
      </c>
    </row>
    <row r="37" spans="2:9" x14ac:dyDescent="0.6">
      <c r="B37" s="77"/>
      <c r="C37" s="77"/>
      <c r="D37" s="77" t="s">
        <v>489</v>
      </c>
      <c r="E37" s="79">
        <v>1</v>
      </c>
      <c r="F37" s="80">
        <v>18.524799999999999</v>
      </c>
      <c r="G37" s="80">
        <v>18.524799999999999</v>
      </c>
      <c r="H37" s="80"/>
      <c r="I37" s="81">
        <v>18.524799999999999</v>
      </c>
    </row>
    <row r="38" spans="2:9" x14ac:dyDescent="0.6">
      <c r="B38" s="77"/>
      <c r="C38" s="77"/>
      <c r="D38" s="77" t="s">
        <v>486</v>
      </c>
      <c r="E38" s="79">
        <v>9</v>
      </c>
      <c r="F38" s="80">
        <v>16.751300000000001</v>
      </c>
      <c r="G38" s="80">
        <v>28.968499999999999</v>
      </c>
      <c r="H38" s="80">
        <v>4.1221069075777343</v>
      </c>
      <c r="I38" s="81">
        <v>22.1494</v>
      </c>
    </row>
    <row r="39" spans="2:9" x14ac:dyDescent="0.6">
      <c r="B39" s="77"/>
      <c r="C39" s="82"/>
      <c r="D39" s="82" t="s">
        <v>491</v>
      </c>
      <c r="E39" s="83">
        <v>1</v>
      </c>
      <c r="F39" s="84">
        <v>16.121200000000002</v>
      </c>
      <c r="G39" s="84">
        <v>16.121200000000002</v>
      </c>
      <c r="H39" s="84"/>
      <c r="I39" s="85">
        <v>16.121200000000002</v>
      </c>
    </row>
    <row r="40" spans="2:9" x14ac:dyDescent="0.6">
      <c r="B40" s="78"/>
      <c r="C40" s="86"/>
      <c r="D40" s="86" t="s">
        <v>492</v>
      </c>
      <c r="E40" s="87">
        <v>1</v>
      </c>
      <c r="F40" s="88">
        <v>17.2818</v>
      </c>
      <c r="G40" s="88">
        <v>17.2818</v>
      </c>
      <c r="H40" s="88"/>
      <c r="I40" s="89">
        <v>17.2818</v>
      </c>
    </row>
  </sheetData>
  <mergeCells count="1">
    <mergeCell ref="B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3A7D0-D80F-401E-8C6A-A6DFF54D21A1}">
  <sheetPr>
    <tabColor theme="7" tint="0.79998168889431442"/>
  </sheetPr>
  <dimension ref="A2:B10"/>
  <sheetViews>
    <sheetView workbookViewId="0"/>
  </sheetViews>
  <sheetFormatPr defaultRowHeight="14.25" x14ac:dyDescent="0.45"/>
  <cols>
    <col min="1" max="1" width="12.796875" style="9" bestFit="1" customWidth="1"/>
    <col min="2" max="2" width="33.59765625" style="9" bestFit="1" customWidth="1"/>
    <col min="3" max="16384" width="9.06640625" style="9"/>
  </cols>
  <sheetData>
    <row r="2" spans="1:2" x14ac:dyDescent="0.45">
      <c r="A2" s="9" t="s">
        <v>3</v>
      </c>
      <c r="B2" s="9" t="s">
        <v>366</v>
      </c>
    </row>
    <row r="3" spans="1:2" x14ac:dyDescent="0.45">
      <c r="A3" s="9" t="s">
        <v>7</v>
      </c>
      <c r="B3" s="14">
        <v>7180.6799999999994</v>
      </c>
    </row>
    <row r="4" spans="1:2" x14ac:dyDescent="0.45">
      <c r="A4" s="9" t="s">
        <v>2</v>
      </c>
      <c r="B4" s="14">
        <v>2616.4499999999998</v>
      </c>
    </row>
    <row r="5" spans="1:2" x14ac:dyDescent="0.45">
      <c r="A5" s="9" t="s">
        <v>244</v>
      </c>
      <c r="B5" s="14">
        <v>2320.6400000000003</v>
      </c>
    </row>
    <row r="6" spans="1:2" x14ac:dyDescent="0.45">
      <c r="A6" s="9" t="s">
        <v>68</v>
      </c>
      <c r="B6" s="14">
        <v>1485.3</v>
      </c>
    </row>
    <row r="7" spans="1:2" x14ac:dyDescent="0.45">
      <c r="A7" s="9" t="s">
        <v>258</v>
      </c>
      <c r="B7" s="14">
        <v>894.51</v>
      </c>
    </row>
    <row r="8" spans="1:2" x14ac:dyDescent="0.45">
      <c r="A8" s="9" t="s">
        <v>104</v>
      </c>
      <c r="B8" s="14">
        <v>451.08</v>
      </c>
    </row>
    <row r="9" spans="1:2" x14ac:dyDescent="0.45">
      <c r="A9" s="9" t="s">
        <v>223</v>
      </c>
      <c r="B9" s="14">
        <v>161.66</v>
      </c>
    </row>
    <row r="10" spans="1:2" x14ac:dyDescent="0.45">
      <c r="A10" s="9" t="s">
        <v>367</v>
      </c>
      <c r="B10" s="14">
        <v>15110.32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BF890-7C62-4B2E-9CEE-C2D874370FF1}">
  <sheetPr>
    <tabColor theme="7" tint="0.79998168889431442"/>
  </sheetPr>
  <dimension ref="A1:AR96"/>
  <sheetViews>
    <sheetView workbookViewId="0"/>
  </sheetViews>
  <sheetFormatPr defaultRowHeight="14.25" x14ac:dyDescent="0.45"/>
  <cols>
    <col min="1" max="1" width="9.06640625" style="9"/>
    <col min="2" max="2" width="46.53125" style="9" bestFit="1" customWidth="1"/>
    <col min="3" max="3" width="49.3984375" style="9" bestFit="1" customWidth="1"/>
    <col min="4" max="4" width="12.796875" style="9" bestFit="1" customWidth="1"/>
    <col min="5" max="5" width="6.6640625" style="9" customWidth="1"/>
    <col min="6" max="6" width="11.33203125" style="9" bestFit="1" customWidth="1"/>
    <col min="7" max="7" width="9.3984375" style="9" customWidth="1"/>
    <col min="8" max="8" width="8.1328125" style="9" bestFit="1" customWidth="1"/>
    <col min="9" max="9" width="11.73046875" style="9" bestFit="1" customWidth="1"/>
    <col min="10" max="10" width="27" style="9" bestFit="1" customWidth="1"/>
    <col min="11" max="11" width="27.73046875" style="9" customWidth="1"/>
    <col min="12" max="12" width="11.59765625" style="9" bestFit="1" customWidth="1"/>
    <col min="13" max="13" width="13.6640625" style="9" bestFit="1" customWidth="1"/>
    <col min="14" max="14" width="12.1328125" style="9" bestFit="1" customWidth="1"/>
    <col min="15" max="15" width="9.796875" style="9" customWidth="1"/>
    <col min="16" max="16" width="10" style="9" customWidth="1"/>
    <col min="17" max="17" width="10.6640625" style="9" customWidth="1"/>
    <col min="18" max="18" width="25.33203125" style="9" customWidth="1"/>
    <col min="19" max="19" width="20.19921875" style="9" customWidth="1"/>
    <col min="20" max="20" width="28.19921875" style="9" customWidth="1"/>
    <col min="21" max="21" width="30.59765625" style="9" customWidth="1"/>
    <col min="22" max="22" width="16.265625" style="9" customWidth="1"/>
    <col min="23" max="23" width="16.86328125" style="9" customWidth="1"/>
    <col min="24" max="24" width="24.3984375" style="9" bestFit="1" customWidth="1"/>
    <col min="25" max="25" width="17.53125" style="9" customWidth="1"/>
    <col min="26" max="26" width="38" style="9" bestFit="1" customWidth="1"/>
    <col min="27" max="27" width="30.46484375" style="9" bestFit="1" customWidth="1"/>
    <col min="28" max="28" width="15" style="9" customWidth="1"/>
    <col min="29" max="29" width="16.46484375" style="9" customWidth="1"/>
    <col min="30" max="30" width="18.265625" style="9" bestFit="1" customWidth="1"/>
    <col min="31" max="31" width="32.53125" style="9" bestFit="1" customWidth="1"/>
    <col min="32" max="32" width="16.19921875" style="9" customWidth="1"/>
    <col min="33" max="33" width="7.9296875" style="9" customWidth="1"/>
    <col min="34" max="34" width="8.46484375" style="9" customWidth="1"/>
    <col min="35" max="35" width="9.73046875" style="9" customWidth="1"/>
    <col min="36" max="36" width="10.19921875" style="9" customWidth="1"/>
    <col min="37" max="37" width="14.9296875" style="9" customWidth="1"/>
    <col min="38" max="38" width="11.06640625" style="9" customWidth="1"/>
    <col min="39" max="39" width="26.19921875" style="9" customWidth="1"/>
    <col min="40" max="40" width="18.53125" style="9" customWidth="1"/>
    <col min="41" max="41" width="16.86328125" style="9" customWidth="1"/>
    <col min="42" max="42" width="16.86328125" style="9" bestFit="1" customWidth="1"/>
    <col min="43" max="43" width="13.19921875" style="9" customWidth="1"/>
    <col min="44" max="44" width="9.59765625" style="9" customWidth="1"/>
    <col min="45" max="16384" width="9.06640625" style="9"/>
  </cols>
  <sheetData>
    <row r="1" spans="1:44" x14ac:dyDescent="0.45">
      <c r="A1" s="9" t="s">
        <v>10</v>
      </c>
    </row>
    <row r="4" spans="1:44" x14ac:dyDescent="0.45">
      <c r="B4" s="9" t="s">
        <v>11</v>
      </c>
      <c r="C4" s="9" t="s">
        <v>12</v>
      </c>
      <c r="D4" s="9" t="s">
        <v>3</v>
      </c>
      <c r="E4" s="9" t="s">
        <v>4</v>
      </c>
      <c r="F4" s="9" t="s">
        <v>13</v>
      </c>
      <c r="G4" s="10" t="s">
        <v>14</v>
      </c>
      <c r="H4" s="9" t="s">
        <v>15</v>
      </c>
      <c r="I4" s="9" t="s">
        <v>16</v>
      </c>
      <c r="J4" s="9" t="s">
        <v>17</v>
      </c>
      <c r="K4" s="9" t="s">
        <v>18</v>
      </c>
      <c r="L4" s="9" t="s">
        <v>1</v>
      </c>
      <c r="M4" s="9" t="s">
        <v>19</v>
      </c>
      <c r="N4" s="9" t="s">
        <v>6</v>
      </c>
      <c r="O4" s="9" t="s">
        <v>20</v>
      </c>
      <c r="P4" s="9" t="s">
        <v>21</v>
      </c>
      <c r="Q4" s="9" t="s">
        <v>22</v>
      </c>
      <c r="R4" s="11" t="s">
        <v>23</v>
      </c>
      <c r="S4" s="9" t="s">
        <v>24</v>
      </c>
      <c r="T4" s="11" t="s">
        <v>25</v>
      </c>
      <c r="U4" s="11" t="s">
        <v>26</v>
      </c>
      <c r="V4" s="9" t="s">
        <v>27</v>
      </c>
      <c r="W4" s="9" t="s">
        <v>28</v>
      </c>
      <c r="X4" s="9" t="s">
        <v>29</v>
      </c>
      <c r="Y4" s="9" t="s">
        <v>30</v>
      </c>
      <c r="Z4" s="9" t="s">
        <v>31</v>
      </c>
      <c r="AA4" s="9" t="s">
        <v>32</v>
      </c>
      <c r="AB4" s="9" t="s">
        <v>33</v>
      </c>
      <c r="AC4" s="9" t="s">
        <v>34</v>
      </c>
      <c r="AD4" s="9" t="s">
        <v>35</v>
      </c>
      <c r="AE4" s="9" t="s">
        <v>36</v>
      </c>
      <c r="AF4" s="9" t="s">
        <v>37</v>
      </c>
      <c r="AG4" s="9" t="s">
        <v>38</v>
      </c>
      <c r="AH4" s="9" t="s">
        <v>39</v>
      </c>
      <c r="AI4" s="9" t="s">
        <v>40</v>
      </c>
      <c r="AJ4" s="9" t="s">
        <v>8</v>
      </c>
      <c r="AK4" s="9" t="s">
        <v>41</v>
      </c>
      <c r="AL4" s="9" t="s">
        <v>42</v>
      </c>
      <c r="AM4" s="9" t="s">
        <v>43</v>
      </c>
      <c r="AN4" s="9" t="s">
        <v>44</v>
      </c>
      <c r="AO4" s="9" t="s">
        <v>45</v>
      </c>
      <c r="AP4" s="9" t="s">
        <v>46</v>
      </c>
      <c r="AQ4" s="9" t="s">
        <v>47</v>
      </c>
      <c r="AR4" s="9" t="s">
        <v>48</v>
      </c>
    </row>
    <row r="5" spans="1:44" x14ac:dyDescent="0.45">
      <c r="B5" s="9" t="s">
        <v>49</v>
      </c>
      <c r="C5" s="9" t="s">
        <v>50</v>
      </c>
      <c r="D5" s="9" t="s">
        <v>2</v>
      </c>
      <c r="E5" s="9" t="s">
        <v>51</v>
      </c>
      <c r="F5" s="12" t="s">
        <v>52</v>
      </c>
      <c r="G5" s="13" t="s">
        <v>53</v>
      </c>
      <c r="H5" s="9" t="s">
        <v>54</v>
      </c>
      <c r="I5" s="12" t="s">
        <v>55</v>
      </c>
      <c r="J5" s="12"/>
      <c r="K5" s="9" t="s">
        <v>56</v>
      </c>
      <c r="L5" s="9" t="s">
        <v>57</v>
      </c>
      <c r="M5" s="9" t="s">
        <v>58</v>
      </c>
      <c r="N5" s="14">
        <v>21228</v>
      </c>
      <c r="O5" s="12" t="s">
        <v>59</v>
      </c>
      <c r="P5" s="15">
        <v>45295</v>
      </c>
      <c r="Q5" s="16">
        <v>1</v>
      </c>
      <c r="R5" s="17">
        <v>5.0999999999999996</v>
      </c>
      <c r="S5" s="12" t="s">
        <v>60</v>
      </c>
      <c r="T5" s="17">
        <v>240.25</v>
      </c>
      <c r="U5" s="11"/>
      <c r="V5" s="9" t="s">
        <v>61</v>
      </c>
      <c r="W5" s="16">
        <v>4.0522530000000001E-2</v>
      </c>
      <c r="X5" s="12" t="s">
        <v>62</v>
      </c>
      <c r="Y5" s="9" t="s">
        <v>56</v>
      </c>
      <c r="Z5" s="9" t="s">
        <v>63</v>
      </c>
      <c r="AB5" s="12"/>
      <c r="AC5" s="9" t="s">
        <v>56</v>
      </c>
      <c r="AD5" s="12"/>
      <c r="AE5" s="12"/>
      <c r="AF5" s="14">
        <v>1.1830000000000001</v>
      </c>
      <c r="AG5" s="14">
        <v>1</v>
      </c>
      <c r="AH5" s="14"/>
      <c r="AI5" s="14">
        <v>1</v>
      </c>
      <c r="AJ5" s="9">
        <v>2001</v>
      </c>
      <c r="AL5" s="16"/>
      <c r="AM5" s="16">
        <v>4.7E-2</v>
      </c>
      <c r="AN5" s="16">
        <v>4.8187099999999997E-2</v>
      </c>
      <c r="AO5" s="16">
        <v>4.791285E-2</v>
      </c>
      <c r="AP5" s="9" t="s">
        <v>64</v>
      </c>
      <c r="AQ5" s="18">
        <v>2550000</v>
      </c>
      <c r="AR5" s="9" t="s">
        <v>65</v>
      </c>
    </row>
    <row r="6" spans="1:44" x14ac:dyDescent="0.45">
      <c r="B6" s="9" t="s">
        <v>66</v>
      </c>
      <c r="C6" s="9" t="s">
        <v>67</v>
      </c>
      <c r="D6" s="9" t="s">
        <v>68</v>
      </c>
      <c r="E6" s="9" t="s">
        <v>51</v>
      </c>
      <c r="F6" s="12" t="s">
        <v>52</v>
      </c>
      <c r="G6" s="13" t="s">
        <v>69</v>
      </c>
      <c r="H6" s="9" t="s">
        <v>54</v>
      </c>
      <c r="I6" s="12" t="s">
        <v>70</v>
      </c>
      <c r="J6" s="12" t="s">
        <v>71</v>
      </c>
      <c r="K6" s="9" t="s">
        <v>56</v>
      </c>
      <c r="L6" s="9" t="s">
        <v>57</v>
      </c>
      <c r="M6" s="9" t="s">
        <v>58</v>
      </c>
      <c r="N6" s="14">
        <v>78012</v>
      </c>
      <c r="O6" s="12" t="s">
        <v>59</v>
      </c>
      <c r="P6" s="15">
        <v>45205</v>
      </c>
      <c r="Q6" s="16">
        <v>1</v>
      </c>
      <c r="R6" s="17">
        <v>11.1</v>
      </c>
      <c r="S6" s="12" t="s">
        <v>60</v>
      </c>
      <c r="T6" s="17">
        <v>142.29</v>
      </c>
      <c r="U6" s="11"/>
      <c r="V6" s="9" t="s">
        <v>61</v>
      </c>
      <c r="W6" s="16">
        <v>4.2421100000000003E-2</v>
      </c>
      <c r="X6" s="12" t="s">
        <v>62</v>
      </c>
      <c r="Y6" s="9" t="s">
        <v>56</v>
      </c>
      <c r="AB6" s="12"/>
      <c r="AC6" s="9" t="s">
        <v>56</v>
      </c>
      <c r="AD6" s="12"/>
      <c r="AE6" s="12"/>
      <c r="AF6" s="14">
        <v>2.81</v>
      </c>
      <c r="AG6" s="14">
        <v>2</v>
      </c>
      <c r="AH6" s="14"/>
      <c r="AI6" s="14">
        <v>1</v>
      </c>
      <c r="AJ6" s="9">
        <v>1988</v>
      </c>
      <c r="AL6" s="16"/>
      <c r="AM6" s="16">
        <v>4.7E-2</v>
      </c>
      <c r="AN6" s="16">
        <v>4.8187099999999997E-2</v>
      </c>
      <c r="AO6" s="16">
        <v>4.791285E-2</v>
      </c>
      <c r="AP6" s="9" t="s">
        <v>72</v>
      </c>
      <c r="AQ6" s="18">
        <v>6400000</v>
      </c>
      <c r="AR6" s="9" t="s">
        <v>65</v>
      </c>
    </row>
    <row r="7" spans="1:44" x14ac:dyDescent="0.45">
      <c r="B7" s="9" t="s">
        <v>73</v>
      </c>
      <c r="C7" s="9" t="s">
        <v>74</v>
      </c>
      <c r="D7" s="9" t="s">
        <v>68</v>
      </c>
      <c r="E7" s="9" t="s">
        <v>51</v>
      </c>
      <c r="F7" s="12" t="s">
        <v>52</v>
      </c>
      <c r="G7" s="13" t="s">
        <v>69</v>
      </c>
      <c r="H7" s="9" t="s">
        <v>54</v>
      </c>
      <c r="I7" s="12" t="s">
        <v>70</v>
      </c>
      <c r="J7" s="12" t="s">
        <v>71</v>
      </c>
      <c r="K7" s="9" t="s">
        <v>56</v>
      </c>
      <c r="L7" s="9" t="s">
        <v>57</v>
      </c>
      <c r="M7" s="9" t="s">
        <v>58</v>
      </c>
      <c r="N7" s="14">
        <v>23397</v>
      </c>
      <c r="O7" s="12" t="s">
        <v>59</v>
      </c>
      <c r="P7" s="15">
        <v>45201</v>
      </c>
      <c r="Q7" s="16">
        <v>1</v>
      </c>
      <c r="R7" s="17">
        <v>5.62</v>
      </c>
      <c r="S7" s="12" t="s">
        <v>60</v>
      </c>
      <c r="T7" s="17">
        <v>240.01</v>
      </c>
      <c r="U7" s="11"/>
      <c r="V7" s="9" t="s">
        <v>61</v>
      </c>
      <c r="W7" s="16">
        <v>4.2421100000000003E-2</v>
      </c>
      <c r="X7" s="12" t="s">
        <v>62</v>
      </c>
      <c r="Y7" s="9" t="s">
        <v>56</v>
      </c>
      <c r="AA7" s="9" t="s">
        <v>75</v>
      </c>
      <c r="AB7" s="12"/>
      <c r="AC7" s="9" t="s">
        <v>56</v>
      </c>
      <c r="AD7" s="12"/>
      <c r="AE7" s="12"/>
      <c r="AF7" s="14">
        <v>1.24</v>
      </c>
      <c r="AG7" s="14">
        <v>2</v>
      </c>
      <c r="AH7" s="14"/>
      <c r="AI7" s="14">
        <v>1</v>
      </c>
      <c r="AJ7" s="9">
        <v>2004</v>
      </c>
      <c r="AL7" s="16"/>
      <c r="AM7" s="16">
        <v>4.7E-2</v>
      </c>
      <c r="AN7" s="16">
        <v>4.8187099999999997E-2</v>
      </c>
      <c r="AO7" s="16">
        <v>4.791285E-2</v>
      </c>
      <c r="AP7" s="9" t="s">
        <v>76</v>
      </c>
      <c r="AQ7" s="18">
        <v>3369200</v>
      </c>
      <c r="AR7" s="9" t="s">
        <v>65</v>
      </c>
    </row>
    <row r="8" spans="1:44" x14ac:dyDescent="0.45">
      <c r="B8" s="9" t="s">
        <v>77</v>
      </c>
      <c r="C8" s="9" t="s">
        <v>78</v>
      </c>
      <c r="D8" s="9" t="s">
        <v>2</v>
      </c>
      <c r="E8" s="9" t="s">
        <v>51</v>
      </c>
      <c r="F8" s="12" t="s">
        <v>52</v>
      </c>
      <c r="G8" s="13" t="s">
        <v>53</v>
      </c>
      <c r="H8" s="9" t="s">
        <v>54</v>
      </c>
      <c r="I8" s="12" t="s">
        <v>70</v>
      </c>
      <c r="J8" s="12" t="s">
        <v>71</v>
      </c>
      <c r="K8" s="9" t="s">
        <v>56</v>
      </c>
      <c r="L8" s="9" t="s">
        <v>57</v>
      </c>
      <c r="M8" s="9" t="s">
        <v>58</v>
      </c>
      <c r="N8" s="14">
        <v>95500</v>
      </c>
      <c r="O8" s="12" t="s">
        <v>59</v>
      </c>
      <c r="P8" s="15">
        <v>45051</v>
      </c>
      <c r="Q8" s="16">
        <v>1</v>
      </c>
      <c r="R8" s="17">
        <v>27.25</v>
      </c>
      <c r="S8" s="12" t="s">
        <v>60</v>
      </c>
      <c r="T8" s="17">
        <v>285.33999999999997</v>
      </c>
      <c r="U8" s="11"/>
      <c r="V8" s="9" t="s">
        <v>61</v>
      </c>
      <c r="W8" s="16">
        <v>4.2999999999999997E-2</v>
      </c>
      <c r="X8" s="12" t="s">
        <v>79</v>
      </c>
      <c r="Y8" s="9" t="s">
        <v>56</v>
      </c>
      <c r="Z8" s="9" t="s">
        <v>80</v>
      </c>
      <c r="AA8" s="9" t="s">
        <v>81</v>
      </c>
      <c r="AB8" s="12"/>
      <c r="AC8" s="9" t="s">
        <v>56</v>
      </c>
      <c r="AD8" s="12"/>
      <c r="AE8" s="12" t="s">
        <v>82</v>
      </c>
      <c r="AF8" s="14">
        <v>4.5259999999999998</v>
      </c>
      <c r="AG8" s="14">
        <v>1</v>
      </c>
      <c r="AH8" s="14"/>
      <c r="AI8" s="14">
        <v>1</v>
      </c>
      <c r="AJ8" s="9">
        <v>2017</v>
      </c>
      <c r="AL8" s="16">
        <v>1</v>
      </c>
      <c r="AM8" s="16">
        <v>4.7E-2</v>
      </c>
      <c r="AN8" s="16">
        <v>4.8187099999999997E-2</v>
      </c>
      <c r="AO8" s="16">
        <v>4.791285E-2</v>
      </c>
      <c r="AQ8" s="18"/>
      <c r="AR8" s="9" t="s">
        <v>65</v>
      </c>
    </row>
    <row r="9" spans="1:44" x14ac:dyDescent="0.45">
      <c r="B9" s="9" t="s">
        <v>83</v>
      </c>
      <c r="C9" s="9" t="s">
        <v>84</v>
      </c>
      <c r="D9" s="9" t="s">
        <v>68</v>
      </c>
      <c r="E9" s="9" t="s">
        <v>51</v>
      </c>
      <c r="F9" s="12" t="s">
        <v>52</v>
      </c>
      <c r="G9" s="13" t="s">
        <v>69</v>
      </c>
      <c r="H9" s="9" t="s">
        <v>54</v>
      </c>
      <c r="I9" s="12" t="s">
        <v>70</v>
      </c>
      <c r="J9" s="12" t="s">
        <v>71</v>
      </c>
      <c r="K9" s="9" t="s">
        <v>56</v>
      </c>
      <c r="L9" s="9" t="s">
        <v>57</v>
      </c>
      <c r="M9" s="9" t="s">
        <v>58</v>
      </c>
      <c r="N9" s="14">
        <v>51438</v>
      </c>
      <c r="O9" s="12" t="s">
        <v>59</v>
      </c>
      <c r="P9" s="15">
        <v>44715</v>
      </c>
      <c r="Q9" s="16">
        <v>1</v>
      </c>
      <c r="R9" s="17">
        <v>11.02</v>
      </c>
      <c r="S9" s="12" t="s">
        <v>60</v>
      </c>
      <c r="T9" s="17">
        <v>214.19</v>
      </c>
      <c r="U9" s="11"/>
      <c r="V9" s="9" t="s">
        <v>61</v>
      </c>
      <c r="W9" s="16">
        <v>5.7700000000000001E-2</v>
      </c>
      <c r="X9" s="12" t="s">
        <v>79</v>
      </c>
      <c r="Y9" s="9" t="s">
        <v>56</v>
      </c>
      <c r="AA9" s="9" t="s">
        <v>85</v>
      </c>
      <c r="AB9" s="12"/>
      <c r="AC9" s="9" t="s">
        <v>56</v>
      </c>
      <c r="AD9" s="12" t="s">
        <v>82</v>
      </c>
      <c r="AE9" s="12" t="s">
        <v>82</v>
      </c>
      <c r="AF9" s="14"/>
      <c r="AG9" s="14"/>
      <c r="AH9" s="14">
        <v>0</v>
      </c>
      <c r="AI9" s="14">
        <v>1</v>
      </c>
      <c r="AJ9" s="9">
        <v>1987</v>
      </c>
      <c r="AL9" s="16">
        <v>0.95</v>
      </c>
      <c r="AM9" s="16">
        <v>4.7E-2</v>
      </c>
      <c r="AN9" s="16">
        <v>4.8187099999999997E-2</v>
      </c>
      <c r="AO9" s="16">
        <v>4.791285E-2</v>
      </c>
      <c r="AQ9" s="18"/>
      <c r="AR9" s="9" t="s">
        <v>65</v>
      </c>
    </row>
    <row r="10" spans="1:44" x14ac:dyDescent="0.45">
      <c r="B10" s="9" t="s">
        <v>86</v>
      </c>
      <c r="C10" s="9" t="s">
        <v>87</v>
      </c>
      <c r="D10" s="9" t="s">
        <v>68</v>
      </c>
      <c r="E10" s="9" t="s">
        <v>51</v>
      </c>
      <c r="F10" s="12" t="s">
        <v>52</v>
      </c>
      <c r="G10" s="13" t="s">
        <v>69</v>
      </c>
      <c r="H10" s="9" t="s">
        <v>54</v>
      </c>
      <c r="I10" s="12" t="s">
        <v>70</v>
      </c>
      <c r="J10" s="12"/>
      <c r="K10" s="9" t="s">
        <v>56</v>
      </c>
      <c r="L10" s="9" t="s">
        <v>57</v>
      </c>
      <c r="M10" s="9" t="s">
        <v>58</v>
      </c>
      <c r="N10" s="14">
        <v>20473</v>
      </c>
      <c r="O10" s="12" t="s">
        <v>59</v>
      </c>
      <c r="P10" s="15">
        <v>44704</v>
      </c>
      <c r="Q10" s="16">
        <v>1</v>
      </c>
      <c r="R10" s="17">
        <v>24</v>
      </c>
      <c r="S10" s="12" t="s">
        <v>60</v>
      </c>
      <c r="T10" s="17" t="s">
        <v>88</v>
      </c>
      <c r="U10" s="11"/>
      <c r="V10" s="9" t="s">
        <v>61</v>
      </c>
      <c r="W10" s="16">
        <v>3.667045E-2</v>
      </c>
      <c r="X10" s="12" t="s">
        <v>62</v>
      </c>
      <c r="Y10" s="9" t="s">
        <v>56</v>
      </c>
      <c r="AB10" s="12"/>
      <c r="AC10" s="9" t="s">
        <v>56</v>
      </c>
      <c r="AD10" s="12" t="s">
        <v>82</v>
      </c>
      <c r="AE10" s="12"/>
      <c r="AF10" s="14"/>
      <c r="AG10" s="14"/>
      <c r="AH10" s="14">
        <v>0</v>
      </c>
      <c r="AI10" s="14"/>
      <c r="AJ10" s="9">
        <v>1980</v>
      </c>
      <c r="AL10" s="16"/>
      <c r="AM10" s="16">
        <v>4.7E-2</v>
      </c>
      <c r="AN10" s="16">
        <v>4.8187099999999997E-2</v>
      </c>
      <c r="AO10" s="16">
        <v>4.791285E-2</v>
      </c>
      <c r="AQ10" s="18"/>
      <c r="AR10" s="9" t="s">
        <v>65</v>
      </c>
    </row>
    <row r="11" spans="1:44" x14ac:dyDescent="0.45">
      <c r="B11" s="9" t="s">
        <v>89</v>
      </c>
      <c r="C11" s="9" t="s">
        <v>90</v>
      </c>
      <c r="D11" s="9" t="s">
        <v>68</v>
      </c>
      <c r="E11" s="9" t="s">
        <v>51</v>
      </c>
      <c r="F11" s="12" t="s">
        <v>52</v>
      </c>
      <c r="G11" s="13" t="s">
        <v>69</v>
      </c>
      <c r="H11" s="9" t="s">
        <v>54</v>
      </c>
      <c r="I11" s="12" t="s">
        <v>70</v>
      </c>
      <c r="J11" s="12" t="s">
        <v>71</v>
      </c>
      <c r="K11" s="9" t="s">
        <v>56</v>
      </c>
      <c r="L11" s="9" t="s">
        <v>57</v>
      </c>
      <c r="M11" s="9" t="s">
        <v>58</v>
      </c>
      <c r="N11" s="14">
        <v>117125</v>
      </c>
      <c r="O11" s="12" t="s">
        <v>59</v>
      </c>
      <c r="P11" s="15">
        <v>44696</v>
      </c>
      <c r="Q11" s="16">
        <v>1</v>
      </c>
      <c r="R11" s="17">
        <v>20</v>
      </c>
      <c r="S11" s="12" t="s">
        <v>60</v>
      </c>
      <c r="T11" s="17">
        <v>170.76</v>
      </c>
      <c r="U11" s="11"/>
      <c r="V11" s="9" t="s">
        <v>61</v>
      </c>
      <c r="W11" s="16">
        <v>3.667045E-2</v>
      </c>
      <c r="X11" s="12" t="s">
        <v>62</v>
      </c>
      <c r="Y11" s="9" t="s">
        <v>56</v>
      </c>
      <c r="Z11" s="9" t="s">
        <v>91</v>
      </c>
      <c r="AB11" s="12"/>
      <c r="AC11" s="9" t="s">
        <v>56</v>
      </c>
      <c r="AD11" s="12"/>
      <c r="AE11" s="12"/>
      <c r="AF11" s="14"/>
      <c r="AG11" s="14"/>
      <c r="AH11" s="14"/>
      <c r="AI11" s="14"/>
      <c r="AL11" s="16"/>
      <c r="AM11" s="16">
        <v>4.7E-2</v>
      </c>
      <c r="AN11" s="16">
        <v>4.8187099999999997E-2</v>
      </c>
      <c r="AO11" s="16">
        <v>4.791285E-2</v>
      </c>
      <c r="AQ11" s="18"/>
      <c r="AR11" s="9" t="s">
        <v>65</v>
      </c>
    </row>
    <row r="12" spans="1:44" x14ac:dyDescent="0.45">
      <c r="B12" s="9" t="s">
        <v>92</v>
      </c>
      <c r="C12" s="9" t="s">
        <v>93</v>
      </c>
      <c r="D12" s="9" t="s">
        <v>2</v>
      </c>
      <c r="E12" s="9" t="s">
        <v>51</v>
      </c>
      <c r="F12" s="12" t="s">
        <v>52</v>
      </c>
      <c r="G12" s="13" t="s">
        <v>53</v>
      </c>
      <c r="H12" s="9" t="s">
        <v>54</v>
      </c>
      <c r="I12" s="12" t="s">
        <v>70</v>
      </c>
      <c r="J12" s="12" t="s">
        <v>94</v>
      </c>
      <c r="K12" s="9" t="s">
        <v>56</v>
      </c>
      <c r="L12" s="9" t="s">
        <v>57</v>
      </c>
      <c r="M12" s="9" t="s">
        <v>58</v>
      </c>
      <c r="N12" s="14">
        <v>193469</v>
      </c>
      <c r="O12" s="12" t="s">
        <v>59</v>
      </c>
      <c r="P12" s="15">
        <v>44665</v>
      </c>
      <c r="Q12" s="16">
        <v>1</v>
      </c>
      <c r="R12" s="17">
        <v>18.25</v>
      </c>
      <c r="S12" s="12" t="s">
        <v>60</v>
      </c>
      <c r="T12" s="17">
        <v>94.33</v>
      </c>
      <c r="U12" s="11"/>
      <c r="V12" s="9" t="s">
        <v>61</v>
      </c>
      <c r="W12" s="16">
        <v>3.4120730000000002E-2</v>
      </c>
      <c r="X12" s="12" t="s">
        <v>62</v>
      </c>
      <c r="Y12" s="9" t="s">
        <v>56</v>
      </c>
      <c r="Z12" s="9" t="s">
        <v>95</v>
      </c>
      <c r="AA12" s="9" t="s">
        <v>96</v>
      </c>
      <c r="AB12" s="12"/>
      <c r="AC12" s="9" t="s">
        <v>56</v>
      </c>
      <c r="AD12" s="12"/>
      <c r="AE12" s="12" t="s">
        <v>97</v>
      </c>
      <c r="AF12" s="14"/>
      <c r="AG12" s="14"/>
      <c r="AH12" s="14">
        <v>0</v>
      </c>
      <c r="AI12" s="14"/>
      <c r="AL12" s="16"/>
      <c r="AM12" s="16">
        <v>4.7E-2</v>
      </c>
      <c r="AN12" s="16">
        <v>4.8187099999999997E-2</v>
      </c>
      <c r="AO12" s="16">
        <v>4.791285E-2</v>
      </c>
      <c r="AQ12" s="18"/>
      <c r="AR12" s="9" t="s">
        <v>65</v>
      </c>
    </row>
    <row r="13" spans="1:44" x14ac:dyDescent="0.45">
      <c r="B13" s="9" t="s">
        <v>98</v>
      </c>
      <c r="C13" s="9" t="s">
        <v>99</v>
      </c>
      <c r="D13" s="9" t="s">
        <v>2</v>
      </c>
      <c r="E13" s="9" t="s">
        <v>51</v>
      </c>
      <c r="F13" s="12" t="s">
        <v>52</v>
      </c>
      <c r="G13" s="13" t="s">
        <v>53</v>
      </c>
      <c r="H13" s="9" t="s">
        <v>54</v>
      </c>
      <c r="I13" s="12" t="s">
        <v>70</v>
      </c>
      <c r="J13" s="12"/>
      <c r="K13" s="9" t="s">
        <v>56</v>
      </c>
      <c r="L13" s="9" t="s">
        <v>57</v>
      </c>
      <c r="M13" s="9" t="s">
        <v>58</v>
      </c>
      <c r="N13" s="14">
        <v>21612</v>
      </c>
      <c r="O13" s="12" t="s">
        <v>59</v>
      </c>
      <c r="P13" s="15">
        <v>44651</v>
      </c>
      <c r="Q13" s="16">
        <v>1</v>
      </c>
      <c r="R13" s="17">
        <v>5.96</v>
      </c>
      <c r="S13" s="12" t="s">
        <v>60</v>
      </c>
      <c r="T13" s="17">
        <v>275.77</v>
      </c>
      <c r="U13" s="11"/>
      <c r="V13" s="9" t="s">
        <v>61</v>
      </c>
      <c r="W13" s="16">
        <v>3.162073E-2</v>
      </c>
      <c r="X13" s="12" t="s">
        <v>62</v>
      </c>
      <c r="Y13" s="9" t="s">
        <v>56</v>
      </c>
      <c r="Z13" s="9" t="s">
        <v>100</v>
      </c>
      <c r="AA13" s="9" t="s">
        <v>101</v>
      </c>
      <c r="AB13" s="12"/>
      <c r="AC13" s="9" t="s">
        <v>56</v>
      </c>
      <c r="AD13" s="12" t="s">
        <v>82</v>
      </c>
      <c r="AE13" s="12" t="s">
        <v>82</v>
      </c>
      <c r="AF13" s="14"/>
      <c r="AG13" s="14">
        <v>1</v>
      </c>
      <c r="AH13" s="14">
        <v>0</v>
      </c>
      <c r="AI13" s="14"/>
      <c r="AJ13" s="9">
        <v>2007</v>
      </c>
      <c r="AL13" s="16"/>
      <c r="AM13" s="16">
        <v>4.7E-2</v>
      </c>
      <c r="AN13" s="16">
        <v>4.8187099999999997E-2</v>
      </c>
      <c r="AO13" s="16">
        <v>4.791285E-2</v>
      </c>
      <c r="AQ13" s="18"/>
      <c r="AR13" s="9" t="s">
        <v>65</v>
      </c>
    </row>
    <row r="14" spans="1:44" x14ac:dyDescent="0.45">
      <c r="B14" s="9" t="s">
        <v>102</v>
      </c>
      <c r="C14" s="9" t="s">
        <v>103</v>
      </c>
      <c r="D14" s="9" t="s">
        <v>104</v>
      </c>
      <c r="E14" s="9" t="s">
        <v>51</v>
      </c>
      <c r="F14" s="12" t="s">
        <v>52</v>
      </c>
      <c r="G14" s="13" t="s">
        <v>105</v>
      </c>
      <c r="H14" s="9" t="s">
        <v>54</v>
      </c>
      <c r="I14" s="12" t="s">
        <v>70</v>
      </c>
      <c r="J14" s="12"/>
      <c r="K14" s="9" t="s">
        <v>56</v>
      </c>
      <c r="L14" s="9" t="s">
        <v>57</v>
      </c>
      <c r="M14" s="9" t="s">
        <v>58</v>
      </c>
      <c r="N14" s="14">
        <v>225353</v>
      </c>
      <c r="O14" s="12" t="s">
        <v>59</v>
      </c>
      <c r="P14" s="15">
        <v>44439</v>
      </c>
      <c r="Q14" s="16">
        <v>1</v>
      </c>
      <c r="R14" s="17">
        <v>57.5</v>
      </c>
      <c r="S14" s="12" t="s">
        <v>60</v>
      </c>
      <c r="T14" s="17">
        <v>255.16</v>
      </c>
      <c r="U14" s="11"/>
      <c r="V14" s="9" t="s">
        <v>61</v>
      </c>
      <c r="W14" s="16">
        <v>2.8000000000000001E-2</v>
      </c>
      <c r="X14" s="12" t="s">
        <v>79</v>
      </c>
      <c r="Y14" s="9" t="s">
        <v>56</v>
      </c>
      <c r="Z14" s="9" t="s">
        <v>106</v>
      </c>
      <c r="AA14" s="9" t="s">
        <v>107</v>
      </c>
      <c r="AB14" s="12"/>
      <c r="AC14" s="9" t="s">
        <v>56</v>
      </c>
      <c r="AD14" s="12"/>
      <c r="AE14" s="12" t="s">
        <v>82</v>
      </c>
      <c r="AF14" s="14"/>
      <c r="AG14" s="14"/>
      <c r="AH14" s="14">
        <v>0</v>
      </c>
      <c r="AI14" s="14"/>
      <c r="AJ14" s="9">
        <v>2021</v>
      </c>
      <c r="AL14" s="16">
        <v>1</v>
      </c>
      <c r="AM14" s="16">
        <v>4.7E-2</v>
      </c>
      <c r="AN14" s="16">
        <v>4.8187099999999997E-2</v>
      </c>
      <c r="AO14" s="16">
        <v>4.791285E-2</v>
      </c>
      <c r="AQ14" s="18"/>
      <c r="AR14" s="9" t="s">
        <v>65</v>
      </c>
    </row>
    <row r="15" spans="1:44" x14ac:dyDescent="0.45">
      <c r="B15" s="19" t="s">
        <v>108</v>
      </c>
      <c r="C15" s="19" t="s">
        <v>109</v>
      </c>
      <c r="D15" s="19" t="s">
        <v>68</v>
      </c>
      <c r="E15" s="19" t="s">
        <v>51</v>
      </c>
      <c r="F15" s="20" t="s">
        <v>52</v>
      </c>
      <c r="G15" s="21" t="s">
        <v>69</v>
      </c>
      <c r="H15" s="19" t="s">
        <v>54</v>
      </c>
      <c r="I15" s="20" t="s">
        <v>70</v>
      </c>
      <c r="J15" s="20"/>
      <c r="K15" s="19" t="s">
        <v>56</v>
      </c>
      <c r="L15" s="19" t="s">
        <v>57</v>
      </c>
      <c r="M15" s="19" t="s">
        <v>58</v>
      </c>
      <c r="N15" s="22">
        <v>574984</v>
      </c>
      <c r="O15" s="20" t="s">
        <v>59</v>
      </c>
      <c r="P15" s="23">
        <v>44423</v>
      </c>
      <c r="Q15" s="24">
        <v>1</v>
      </c>
      <c r="R15" s="25"/>
      <c r="S15" s="20" t="s">
        <v>60</v>
      </c>
      <c r="T15" s="25">
        <v>164.53</v>
      </c>
      <c r="U15" s="25"/>
      <c r="V15" s="19" t="s">
        <v>61</v>
      </c>
      <c r="W15" s="24"/>
      <c r="X15" s="20"/>
      <c r="Y15" s="19" t="s">
        <v>65</v>
      </c>
      <c r="Z15" s="19" t="s">
        <v>110</v>
      </c>
      <c r="AA15" s="19" t="s">
        <v>111</v>
      </c>
      <c r="AB15" s="20"/>
      <c r="AC15" s="19" t="s">
        <v>56</v>
      </c>
      <c r="AD15" s="20"/>
      <c r="AE15" s="20" t="s">
        <v>112</v>
      </c>
      <c r="AF15" s="14"/>
      <c r="AG15" s="14"/>
      <c r="AH15" s="14">
        <v>0</v>
      </c>
      <c r="AI15" s="14"/>
      <c r="AL15" s="16"/>
      <c r="AM15" s="16">
        <v>4.7E-2</v>
      </c>
      <c r="AN15" s="16">
        <v>4.8187099999999997E-2</v>
      </c>
      <c r="AO15" s="16">
        <v>4.791285E-2</v>
      </c>
      <c r="AQ15" s="18"/>
      <c r="AR15" s="9" t="s">
        <v>65</v>
      </c>
    </row>
    <row r="16" spans="1:44" x14ac:dyDescent="0.45">
      <c r="B16" s="19" t="s">
        <v>113</v>
      </c>
      <c r="C16" s="19" t="s">
        <v>109</v>
      </c>
      <c r="D16" s="19" t="s">
        <v>68</v>
      </c>
      <c r="E16" s="19" t="s">
        <v>51</v>
      </c>
      <c r="F16" s="20" t="s">
        <v>52</v>
      </c>
      <c r="G16" s="21" t="s">
        <v>69</v>
      </c>
      <c r="H16" s="19" t="s">
        <v>54</v>
      </c>
      <c r="I16" s="20" t="s">
        <v>70</v>
      </c>
      <c r="J16" s="20"/>
      <c r="K16" s="19" t="s">
        <v>56</v>
      </c>
      <c r="L16" s="19" t="s">
        <v>57</v>
      </c>
      <c r="M16" s="19" t="s">
        <v>58</v>
      </c>
      <c r="N16" s="22">
        <v>146800</v>
      </c>
      <c r="O16" s="20" t="s">
        <v>59</v>
      </c>
      <c r="P16" s="23">
        <v>44423</v>
      </c>
      <c r="Q16" s="24">
        <v>1</v>
      </c>
      <c r="R16" s="25"/>
      <c r="S16" s="20"/>
      <c r="T16" s="25"/>
      <c r="U16" s="26"/>
      <c r="V16" s="19" t="s">
        <v>61</v>
      </c>
      <c r="W16" s="24"/>
      <c r="X16" s="20"/>
      <c r="Y16" s="19" t="s">
        <v>65</v>
      </c>
      <c r="Z16" s="19" t="s">
        <v>110</v>
      </c>
      <c r="AA16" s="19" t="s">
        <v>111</v>
      </c>
      <c r="AB16" s="20"/>
      <c r="AC16" s="19" t="s">
        <v>56</v>
      </c>
      <c r="AD16" s="20"/>
      <c r="AE16" s="20" t="s">
        <v>112</v>
      </c>
      <c r="AF16" s="14"/>
      <c r="AG16" s="14"/>
      <c r="AH16" s="14">
        <v>0</v>
      </c>
      <c r="AI16" s="14"/>
      <c r="AL16" s="16"/>
      <c r="AM16" s="16">
        <v>4.7E-2</v>
      </c>
      <c r="AN16" s="16">
        <v>4.8187099999999997E-2</v>
      </c>
      <c r="AO16" s="16">
        <v>4.791285E-2</v>
      </c>
      <c r="AQ16" s="18"/>
      <c r="AR16" s="9" t="s">
        <v>65</v>
      </c>
    </row>
    <row r="17" spans="2:44" x14ac:dyDescent="0.45">
      <c r="B17" s="19" t="s">
        <v>114</v>
      </c>
      <c r="C17" s="19" t="s">
        <v>115</v>
      </c>
      <c r="D17" s="19" t="s">
        <v>68</v>
      </c>
      <c r="E17" s="19" t="s">
        <v>51</v>
      </c>
      <c r="F17" s="20" t="s">
        <v>52</v>
      </c>
      <c r="G17" s="21" t="s">
        <v>69</v>
      </c>
      <c r="H17" s="19" t="s">
        <v>54</v>
      </c>
      <c r="I17" s="20" t="s">
        <v>70</v>
      </c>
      <c r="J17" s="20"/>
      <c r="K17" s="19" t="s">
        <v>56</v>
      </c>
      <c r="L17" s="19" t="s">
        <v>57</v>
      </c>
      <c r="M17" s="19" t="s">
        <v>58</v>
      </c>
      <c r="N17" s="22">
        <v>179584</v>
      </c>
      <c r="O17" s="20" t="s">
        <v>59</v>
      </c>
      <c r="P17" s="23">
        <v>44423</v>
      </c>
      <c r="Q17" s="24">
        <v>1</v>
      </c>
      <c r="R17" s="25"/>
      <c r="S17" s="20"/>
      <c r="T17" s="25"/>
      <c r="U17" s="26"/>
      <c r="V17" s="19" t="s">
        <v>61</v>
      </c>
      <c r="W17" s="24"/>
      <c r="X17" s="20"/>
      <c r="Y17" s="19" t="s">
        <v>65</v>
      </c>
      <c r="Z17" s="19" t="s">
        <v>110</v>
      </c>
      <c r="AA17" s="19" t="s">
        <v>111</v>
      </c>
      <c r="AB17" s="20"/>
      <c r="AC17" s="19" t="s">
        <v>56</v>
      </c>
      <c r="AD17" s="20"/>
      <c r="AE17" s="20" t="s">
        <v>112</v>
      </c>
      <c r="AF17" s="14"/>
      <c r="AG17" s="14"/>
      <c r="AH17" s="14">
        <v>0</v>
      </c>
      <c r="AI17" s="14"/>
      <c r="AL17" s="16"/>
      <c r="AM17" s="16">
        <v>4.7E-2</v>
      </c>
      <c r="AN17" s="16">
        <v>4.8187099999999997E-2</v>
      </c>
      <c r="AO17" s="16">
        <v>4.791285E-2</v>
      </c>
      <c r="AQ17" s="18"/>
      <c r="AR17" s="9" t="s">
        <v>65</v>
      </c>
    </row>
    <row r="18" spans="2:44" x14ac:dyDescent="0.45">
      <c r="B18" s="9" t="s">
        <v>116</v>
      </c>
      <c r="C18" s="9" t="s">
        <v>117</v>
      </c>
      <c r="D18" s="9" t="s">
        <v>2</v>
      </c>
      <c r="E18" s="9" t="s">
        <v>51</v>
      </c>
      <c r="F18" s="12" t="s">
        <v>52</v>
      </c>
      <c r="G18" s="13" t="s">
        <v>53</v>
      </c>
      <c r="H18" s="9" t="s">
        <v>54</v>
      </c>
      <c r="I18" s="12" t="s">
        <v>70</v>
      </c>
      <c r="J18" s="12"/>
      <c r="K18" s="9" t="s">
        <v>56</v>
      </c>
      <c r="L18" s="9" t="s">
        <v>57</v>
      </c>
      <c r="M18" s="9" t="s">
        <v>58</v>
      </c>
      <c r="N18" s="14">
        <v>74000</v>
      </c>
      <c r="O18" s="12" t="s">
        <v>59</v>
      </c>
      <c r="P18" s="15">
        <v>44320</v>
      </c>
      <c r="Q18" s="16">
        <v>1</v>
      </c>
      <c r="R18" s="17">
        <v>16.899999999999999</v>
      </c>
      <c r="S18" s="12" t="s">
        <v>60</v>
      </c>
      <c r="T18" s="17">
        <v>228.38</v>
      </c>
      <c r="U18" s="11"/>
      <c r="V18" s="9" t="s">
        <v>61</v>
      </c>
      <c r="W18" s="16">
        <v>3.7100000000000001E-2</v>
      </c>
      <c r="X18" s="12" t="s">
        <v>79</v>
      </c>
      <c r="Y18" s="9" t="s">
        <v>56</v>
      </c>
      <c r="Z18" s="9" t="s">
        <v>118</v>
      </c>
      <c r="AA18" s="9" t="s">
        <v>119</v>
      </c>
      <c r="AB18" s="12"/>
      <c r="AC18" s="9" t="s">
        <v>56</v>
      </c>
      <c r="AD18" s="12" t="s">
        <v>120</v>
      </c>
      <c r="AE18" s="12" t="s">
        <v>121</v>
      </c>
      <c r="AF18" s="14"/>
      <c r="AG18" s="14"/>
      <c r="AH18" s="14">
        <v>0</v>
      </c>
      <c r="AI18" s="14"/>
      <c r="AL18" s="16"/>
      <c r="AM18" s="16">
        <v>4.7E-2</v>
      </c>
      <c r="AN18" s="16">
        <v>4.8187099999999997E-2</v>
      </c>
      <c r="AO18" s="16">
        <v>4.791285E-2</v>
      </c>
      <c r="AQ18" s="18"/>
      <c r="AR18" s="9" t="s">
        <v>65</v>
      </c>
    </row>
    <row r="19" spans="2:44" x14ac:dyDescent="0.45">
      <c r="B19" s="9" t="s">
        <v>122</v>
      </c>
      <c r="C19" s="9" t="s">
        <v>123</v>
      </c>
      <c r="D19" s="9" t="s">
        <v>2</v>
      </c>
      <c r="E19" s="9" t="s">
        <v>51</v>
      </c>
      <c r="F19" s="12" t="s">
        <v>52</v>
      </c>
      <c r="G19" s="13" t="s">
        <v>124</v>
      </c>
      <c r="H19" s="9" t="s">
        <v>54</v>
      </c>
      <c r="I19" s="12" t="s">
        <v>70</v>
      </c>
      <c r="J19" s="12"/>
      <c r="K19" s="9" t="s">
        <v>56</v>
      </c>
      <c r="L19" s="9" t="s">
        <v>57</v>
      </c>
      <c r="M19" s="9" t="s">
        <v>58</v>
      </c>
      <c r="N19" s="14">
        <v>118000</v>
      </c>
      <c r="O19" s="12" t="s">
        <v>59</v>
      </c>
      <c r="P19" s="15">
        <v>44295</v>
      </c>
      <c r="Q19" s="16">
        <v>1</v>
      </c>
      <c r="R19" s="17">
        <v>18.38</v>
      </c>
      <c r="S19" s="12" t="s">
        <v>60</v>
      </c>
      <c r="T19" s="17">
        <v>155.72</v>
      </c>
      <c r="U19" s="11"/>
      <c r="V19" s="9" t="s">
        <v>61</v>
      </c>
      <c r="W19" s="16">
        <v>3.6120729999999997E-2</v>
      </c>
      <c r="X19" s="12" t="s">
        <v>62</v>
      </c>
      <c r="Y19" s="9" t="s">
        <v>56</v>
      </c>
      <c r="Z19" s="9" t="s">
        <v>125</v>
      </c>
      <c r="AA19" s="9" t="s">
        <v>126</v>
      </c>
      <c r="AB19" s="12"/>
      <c r="AC19" s="9" t="s">
        <v>56</v>
      </c>
      <c r="AD19" s="12"/>
      <c r="AE19" s="12" t="s">
        <v>127</v>
      </c>
      <c r="AF19" s="14"/>
      <c r="AG19" s="14"/>
      <c r="AH19" s="14">
        <v>0</v>
      </c>
      <c r="AI19" s="14"/>
      <c r="AL19" s="16"/>
      <c r="AM19" s="16">
        <v>4.7E-2</v>
      </c>
      <c r="AN19" s="16">
        <v>4.8187099999999997E-2</v>
      </c>
      <c r="AO19" s="16">
        <v>4.791285E-2</v>
      </c>
      <c r="AQ19" s="18"/>
      <c r="AR19" s="9" t="s">
        <v>65</v>
      </c>
    </row>
    <row r="20" spans="2:44" x14ac:dyDescent="0.45">
      <c r="B20" s="19" t="s">
        <v>128</v>
      </c>
      <c r="C20" s="19" t="s">
        <v>129</v>
      </c>
      <c r="D20" s="19" t="s">
        <v>68</v>
      </c>
      <c r="E20" s="19" t="s">
        <v>51</v>
      </c>
      <c r="F20" s="20" t="s">
        <v>52</v>
      </c>
      <c r="G20" s="21" t="s">
        <v>69</v>
      </c>
      <c r="H20" s="19" t="s">
        <v>54</v>
      </c>
      <c r="I20" s="20" t="s">
        <v>70</v>
      </c>
      <c r="J20" s="20"/>
      <c r="K20" s="19" t="s">
        <v>56</v>
      </c>
      <c r="L20" s="19" t="s">
        <v>57</v>
      </c>
      <c r="M20" s="19" t="s">
        <v>58</v>
      </c>
      <c r="N20" s="22">
        <v>591000</v>
      </c>
      <c r="O20" s="20" t="s">
        <v>59</v>
      </c>
      <c r="P20" s="23">
        <v>44276</v>
      </c>
      <c r="Q20" s="24">
        <v>1</v>
      </c>
      <c r="R20" s="25"/>
      <c r="S20" s="20" t="s">
        <v>60</v>
      </c>
      <c r="T20" s="25">
        <v>155.77000000000001</v>
      </c>
      <c r="U20" s="25"/>
      <c r="V20" s="19" t="s">
        <v>61</v>
      </c>
      <c r="W20" s="24"/>
      <c r="X20" s="20"/>
      <c r="Y20" s="19" t="s">
        <v>65</v>
      </c>
      <c r="Z20" s="19" t="s">
        <v>130</v>
      </c>
      <c r="AA20" s="19" t="s">
        <v>111</v>
      </c>
      <c r="AB20" s="20"/>
      <c r="AC20" s="19" t="s">
        <v>56</v>
      </c>
      <c r="AD20" s="20"/>
      <c r="AE20" s="20" t="s">
        <v>131</v>
      </c>
      <c r="AF20" s="14"/>
      <c r="AG20" s="14"/>
      <c r="AH20" s="14">
        <v>0</v>
      </c>
      <c r="AI20" s="14"/>
      <c r="AL20" s="16"/>
      <c r="AM20" s="16">
        <v>4.7E-2</v>
      </c>
      <c r="AN20" s="16">
        <v>4.8187099999999997E-2</v>
      </c>
      <c r="AO20" s="16">
        <v>4.791285E-2</v>
      </c>
      <c r="AQ20" s="18"/>
      <c r="AR20" s="9" t="s">
        <v>65</v>
      </c>
    </row>
    <row r="21" spans="2:44" x14ac:dyDescent="0.45">
      <c r="B21" s="19" t="s">
        <v>132</v>
      </c>
      <c r="C21" s="19" t="s">
        <v>129</v>
      </c>
      <c r="D21" s="19" t="s">
        <v>68</v>
      </c>
      <c r="E21" s="19" t="s">
        <v>51</v>
      </c>
      <c r="F21" s="20" t="s">
        <v>52</v>
      </c>
      <c r="G21" s="21" t="s">
        <v>69</v>
      </c>
      <c r="H21" s="19" t="s">
        <v>54</v>
      </c>
      <c r="I21" s="20" t="s">
        <v>70</v>
      </c>
      <c r="J21" s="20"/>
      <c r="K21" s="19" t="s">
        <v>56</v>
      </c>
      <c r="L21" s="19" t="s">
        <v>57</v>
      </c>
      <c r="M21" s="19" t="s">
        <v>58</v>
      </c>
      <c r="N21" s="22">
        <v>392000</v>
      </c>
      <c r="O21" s="20" t="s">
        <v>59</v>
      </c>
      <c r="P21" s="23">
        <v>44276</v>
      </c>
      <c r="Q21" s="24">
        <v>1</v>
      </c>
      <c r="R21" s="25"/>
      <c r="S21" s="20"/>
      <c r="T21" s="25"/>
      <c r="U21" s="26"/>
      <c r="V21" s="19" t="s">
        <v>61</v>
      </c>
      <c r="W21" s="24"/>
      <c r="X21" s="20"/>
      <c r="Y21" s="19" t="s">
        <v>65</v>
      </c>
      <c r="Z21" s="19" t="s">
        <v>130</v>
      </c>
      <c r="AA21" s="19" t="s">
        <v>111</v>
      </c>
      <c r="AB21" s="20"/>
      <c r="AC21" s="19" t="s">
        <v>56</v>
      </c>
      <c r="AD21" s="20"/>
      <c r="AE21" s="20" t="s">
        <v>131</v>
      </c>
      <c r="AF21" s="14"/>
      <c r="AG21" s="14"/>
      <c r="AH21" s="14">
        <v>0</v>
      </c>
      <c r="AI21" s="14"/>
      <c r="AL21" s="16"/>
      <c r="AM21" s="16">
        <v>4.7E-2</v>
      </c>
      <c r="AN21" s="16">
        <v>4.8187099999999997E-2</v>
      </c>
      <c r="AO21" s="16">
        <v>4.791285E-2</v>
      </c>
      <c r="AQ21" s="18"/>
      <c r="AR21" s="9" t="s">
        <v>65</v>
      </c>
    </row>
    <row r="22" spans="2:44" x14ac:dyDescent="0.45">
      <c r="B22" s="19" t="s">
        <v>133</v>
      </c>
      <c r="C22" s="19" t="s">
        <v>134</v>
      </c>
      <c r="D22" s="19" t="s">
        <v>2</v>
      </c>
      <c r="E22" s="19" t="s">
        <v>51</v>
      </c>
      <c r="F22" s="20" t="s">
        <v>52</v>
      </c>
      <c r="G22" s="21" t="s">
        <v>124</v>
      </c>
      <c r="H22" s="19" t="s">
        <v>135</v>
      </c>
      <c r="I22" s="20" t="s">
        <v>70</v>
      </c>
      <c r="J22" s="20"/>
      <c r="K22" s="19" t="s">
        <v>56</v>
      </c>
      <c r="L22" s="19" t="s">
        <v>57</v>
      </c>
      <c r="M22" s="19" t="s">
        <v>58</v>
      </c>
      <c r="N22" s="22">
        <v>287000</v>
      </c>
      <c r="O22" s="20" t="s">
        <v>59</v>
      </c>
      <c r="P22" s="23">
        <v>44215</v>
      </c>
      <c r="Q22" s="24">
        <v>1</v>
      </c>
      <c r="R22" s="25"/>
      <c r="S22" s="20" t="s">
        <v>60</v>
      </c>
      <c r="T22" s="25">
        <v>141.46</v>
      </c>
      <c r="U22" s="25"/>
      <c r="V22" s="19" t="s">
        <v>61</v>
      </c>
      <c r="W22" s="24"/>
      <c r="X22" s="20"/>
      <c r="Y22" s="19" t="s">
        <v>65</v>
      </c>
      <c r="Z22" s="19" t="s">
        <v>136</v>
      </c>
      <c r="AA22" s="19" t="s">
        <v>137</v>
      </c>
      <c r="AB22" s="20"/>
      <c r="AC22" s="19" t="s">
        <v>56</v>
      </c>
      <c r="AD22" s="20"/>
      <c r="AE22" s="20" t="s">
        <v>82</v>
      </c>
      <c r="AF22" s="14"/>
      <c r="AG22" s="14"/>
      <c r="AH22" s="14">
        <v>0</v>
      </c>
      <c r="AI22" s="14"/>
      <c r="AJ22" s="9">
        <v>2003</v>
      </c>
      <c r="AL22" s="16"/>
      <c r="AM22" s="16">
        <v>4.7E-2</v>
      </c>
      <c r="AN22" s="16">
        <v>4.8187099999999997E-2</v>
      </c>
      <c r="AO22" s="16">
        <v>4.791285E-2</v>
      </c>
      <c r="AQ22" s="18"/>
      <c r="AR22" s="9" t="s">
        <v>65</v>
      </c>
    </row>
    <row r="23" spans="2:44" x14ac:dyDescent="0.45">
      <c r="B23" s="19" t="s">
        <v>138</v>
      </c>
      <c r="C23" s="19" t="s">
        <v>134</v>
      </c>
      <c r="D23" s="19" t="s">
        <v>2</v>
      </c>
      <c r="E23" s="19" t="s">
        <v>51</v>
      </c>
      <c r="F23" s="20" t="s">
        <v>52</v>
      </c>
      <c r="G23" s="21" t="s">
        <v>124</v>
      </c>
      <c r="H23" s="19" t="s">
        <v>54</v>
      </c>
      <c r="I23" s="20" t="s">
        <v>70</v>
      </c>
      <c r="J23" s="20"/>
      <c r="K23" s="19" t="s">
        <v>56</v>
      </c>
      <c r="L23" s="19" t="s">
        <v>57</v>
      </c>
      <c r="M23" s="19" t="s">
        <v>58</v>
      </c>
      <c r="N23" s="22">
        <v>39000</v>
      </c>
      <c r="O23" s="20" t="s">
        <v>59</v>
      </c>
      <c r="P23" s="23">
        <v>44215</v>
      </c>
      <c r="Q23" s="24">
        <v>1</v>
      </c>
      <c r="R23" s="25"/>
      <c r="S23" s="20"/>
      <c r="T23" s="25"/>
      <c r="U23" s="26"/>
      <c r="V23" s="19" t="s">
        <v>61</v>
      </c>
      <c r="W23" s="24"/>
      <c r="X23" s="20"/>
      <c r="Y23" s="19" t="s">
        <v>65</v>
      </c>
      <c r="Z23" s="19" t="s">
        <v>136</v>
      </c>
      <c r="AA23" s="19" t="s">
        <v>137</v>
      </c>
      <c r="AB23" s="20"/>
      <c r="AC23" s="19" t="s">
        <v>56</v>
      </c>
      <c r="AD23" s="20"/>
      <c r="AE23" s="20" t="s">
        <v>82</v>
      </c>
      <c r="AF23" s="14"/>
      <c r="AG23" s="14"/>
      <c r="AH23" s="14">
        <v>0</v>
      </c>
      <c r="AI23" s="14"/>
      <c r="AJ23" s="9">
        <v>2003</v>
      </c>
      <c r="AL23" s="16"/>
      <c r="AM23" s="16">
        <v>4.7E-2</v>
      </c>
      <c r="AN23" s="16">
        <v>4.8187099999999997E-2</v>
      </c>
      <c r="AO23" s="16">
        <v>4.791285E-2</v>
      </c>
      <c r="AQ23" s="18"/>
      <c r="AR23" s="9" t="s">
        <v>65</v>
      </c>
    </row>
    <row r="24" spans="2:44" x14ac:dyDescent="0.45">
      <c r="B24" s="19" t="s">
        <v>139</v>
      </c>
      <c r="C24" s="19" t="s">
        <v>140</v>
      </c>
      <c r="D24" s="19" t="s">
        <v>2</v>
      </c>
      <c r="E24" s="19" t="s">
        <v>51</v>
      </c>
      <c r="F24" s="20" t="s">
        <v>52</v>
      </c>
      <c r="G24" s="21" t="s">
        <v>124</v>
      </c>
      <c r="H24" s="19" t="s">
        <v>54</v>
      </c>
      <c r="I24" s="20" t="s">
        <v>70</v>
      </c>
      <c r="J24" s="20"/>
      <c r="K24" s="19" t="s">
        <v>56</v>
      </c>
      <c r="L24" s="19" t="s">
        <v>57</v>
      </c>
      <c r="M24" s="19" t="s">
        <v>58</v>
      </c>
      <c r="N24" s="22">
        <v>31000</v>
      </c>
      <c r="O24" s="20" t="s">
        <v>59</v>
      </c>
      <c r="P24" s="23">
        <v>44215</v>
      </c>
      <c r="Q24" s="24">
        <v>1</v>
      </c>
      <c r="R24" s="25"/>
      <c r="S24" s="20"/>
      <c r="T24" s="25"/>
      <c r="U24" s="26"/>
      <c r="V24" s="19" t="s">
        <v>61</v>
      </c>
      <c r="W24" s="24"/>
      <c r="X24" s="20"/>
      <c r="Y24" s="19" t="s">
        <v>65</v>
      </c>
      <c r="Z24" s="19" t="s">
        <v>136</v>
      </c>
      <c r="AA24" s="19" t="s">
        <v>137</v>
      </c>
      <c r="AB24" s="20"/>
      <c r="AC24" s="19" t="s">
        <v>56</v>
      </c>
      <c r="AD24" s="20"/>
      <c r="AE24" s="20" t="s">
        <v>82</v>
      </c>
      <c r="AF24" s="14"/>
      <c r="AG24" s="14"/>
      <c r="AH24" s="14">
        <v>0</v>
      </c>
      <c r="AI24" s="14"/>
      <c r="AJ24" s="9">
        <v>1991</v>
      </c>
      <c r="AL24" s="16"/>
      <c r="AM24" s="16">
        <v>4.7E-2</v>
      </c>
      <c r="AN24" s="16">
        <v>4.8187099999999997E-2</v>
      </c>
      <c r="AO24" s="16">
        <v>4.791285E-2</v>
      </c>
      <c r="AQ24" s="18"/>
      <c r="AR24" s="9" t="s">
        <v>65</v>
      </c>
    </row>
    <row r="25" spans="2:44" x14ac:dyDescent="0.45">
      <c r="B25" s="19" t="s">
        <v>141</v>
      </c>
      <c r="C25" s="19" t="s">
        <v>142</v>
      </c>
      <c r="D25" s="19"/>
      <c r="E25" s="19"/>
      <c r="F25" s="20" t="s">
        <v>52</v>
      </c>
      <c r="G25" s="21" t="s">
        <v>69</v>
      </c>
      <c r="H25" s="19" t="s">
        <v>54</v>
      </c>
      <c r="I25" s="20" t="s">
        <v>70</v>
      </c>
      <c r="J25" s="20"/>
      <c r="K25" s="19" t="s">
        <v>56</v>
      </c>
      <c r="L25" s="19" t="s">
        <v>57</v>
      </c>
      <c r="M25" s="19" t="s">
        <v>58</v>
      </c>
      <c r="N25" s="22">
        <v>4287000</v>
      </c>
      <c r="O25" s="20" t="s">
        <v>59</v>
      </c>
      <c r="P25" s="23">
        <v>44167</v>
      </c>
      <c r="Q25" s="24">
        <v>1</v>
      </c>
      <c r="R25" s="25"/>
      <c r="S25" s="20" t="s">
        <v>60</v>
      </c>
      <c r="T25" s="25">
        <v>107.89</v>
      </c>
      <c r="U25" s="25"/>
      <c r="V25" s="19" t="s">
        <v>61</v>
      </c>
      <c r="W25" s="24"/>
      <c r="X25" s="20"/>
      <c r="Y25" s="19" t="s">
        <v>65</v>
      </c>
      <c r="Z25" s="19" t="s">
        <v>137</v>
      </c>
      <c r="AA25" s="19" t="s">
        <v>143</v>
      </c>
      <c r="AB25" s="20"/>
      <c r="AC25" s="19" t="s">
        <v>56</v>
      </c>
      <c r="AD25" s="20"/>
      <c r="AE25" s="20" t="s">
        <v>82</v>
      </c>
      <c r="AF25" s="14"/>
      <c r="AG25" s="14"/>
      <c r="AH25" s="14">
        <v>0</v>
      </c>
      <c r="AI25" s="14"/>
      <c r="AJ25" s="9">
        <v>2019</v>
      </c>
      <c r="AL25" s="16"/>
      <c r="AM25" s="16">
        <v>4.7E-2</v>
      </c>
      <c r="AN25" s="16">
        <v>4.8187099999999997E-2</v>
      </c>
      <c r="AO25" s="16">
        <v>4.791285E-2</v>
      </c>
      <c r="AQ25" s="18"/>
      <c r="AR25" s="9" t="s">
        <v>65</v>
      </c>
    </row>
    <row r="26" spans="2:44" x14ac:dyDescent="0.45">
      <c r="B26" s="19" t="s">
        <v>144</v>
      </c>
      <c r="C26" s="19" t="s">
        <v>142</v>
      </c>
      <c r="D26" s="19" t="s">
        <v>68</v>
      </c>
      <c r="E26" s="19" t="s">
        <v>51</v>
      </c>
      <c r="F26" s="20" t="s">
        <v>52</v>
      </c>
      <c r="G26" s="21" t="s">
        <v>69</v>
      </c>
      <c r="H26" s="19" t="s">
        <v>54</v>
      </c>
      <c r="I26" s="20" t="s">
        <v>70</v>
      </c>
      <c r="J26" s="20"/>
      <c r="K26" s="19" t="s">
        <v>56</v>
      </c>
      <c r="L26" s="19" t="s">
        <v>57</v>
      </c>
      <c r="M26" s="19" t="s">
        <v>58</v>
      </c>
      <c r="N26" s="22">
        <v>1066000</v>
      </c>
      <c r="O26" s="20" t="s">
        <v>59</v>
      </c>
      <c r="P26" s="23">
        <v>44167</v>
      </c>
      <c r="Q26" s="24">
        <v>1</v>
      </c>
      <c r="R26" s="25">
        <v>132.81</v>
      </c>
      <c r="S26" s="20" t="s">
        <v>60</v>
      </c>
      <c r="T26" s="25">
        <v>124.58</v>
      </c>
      <c r="U26" s="26"/>
      <c r="V26" s="19" t="s">
        <v>61</v>
      </c>
      <c r="W26" s="24"/>
      <c r="X26" s="20"/>
      <c r="Y26" s="19" t="s">
        <v>65</v>
      </c>
      <c r="Z26" s="19" t="s">
        <v>137</v>
      </c>
      <c r="AA26" s="19" t="s">
        <v>143</v>
      </c>
      <c r="AB26" s="20"/>
      <c r="AC26" s="19" t="s">
        <v>56</v>
      </c>
      <c r="AD26" s="20"/>
      <c r="AE26" s="20" t="s">
        <v>82</v>
      </c>
      <c r="AF26" s="14"/>
      <c r="AG26" s="14"/>
      <c r="AH26" s="14">
        <v>0</v>
      </c>
      <c r="AI26" s="14"/>
      <c r="AJ26" s="9">
        <v>2019</v>
      </c>
      <c r="AL26" s="16"/>
      <c r="AM26" s="16">
        <v>4.7E-2</v>
      </c>
      <c r="AN26" s="16">
        <v>4.8187099999999997E-2</v>
      </c>
      <c r="AO26" s="16">
        <v>4.791285E-2</v>
      </c>
      <c r="AQ26" s="18"/>
      <c r="AR26" s="9" t="s">
        <v>65</v>
      </c>
    </row>
    <row r="27" spans="2:44" x14ac:dyDescent="0.45">
      <c r="B27" s="9" t="s">
        <v>145</v>
      </c>
      <c r="C27" s="9" t="s">
        <v>146</v>
      </c>
      <c r="D27" s="9" t="s">
        <v>104</v>
      </c>
      <c r="E27" s="9" t="s">
        <v>51</v>
      </c>
      <c r="F27" s="12" t="s">
        <v>52</v>
      </c>
      <c r="G27" s="13" t="s">
        <v>105</v>
      </c>
      <c r="H27" s="9" t="s">
        <v>54</v>
      </c>
      <c r="I27" s="12" t="s">
        <v>70</v>
      </c>
      <c r="J27" s="12"/>
      <c r="K27" s="9" t="s">
        <v>56</v>
      </c>
      <c r="L27" s="9" t="s">
        <v>57</v>
      </c>
      <c r="M27" s="9" t="s">
        <v>58</v>
      </c>
      <c r="N27" s="14">
        <v>331000</v>
      </c>
      <c r="O27" s="12" t="s">
        <v>59</v>
      </c>
      <c r="P27" s="15">
        <v>44152</v>
      </c>
      <c r="Q27" s="16">
        <v>1</v>
      </c>
      <c r="R27" s="17">
        <v>46</v>
      </c>
      <c r="S27" s="12" t="s">
        <v>60</v>
      </c>
      <c r="T27" s="17">
        <v>138.97</v>
      </c>
      <c r="U27" s="11"/>
      <c r="V27" s="9" t="s">
        <v>61</v>
      </c>
      <c r="W27" s="16">
        <v>4.0670449999999997E-2</v>
      </c>
      <c r="X27" s="12" t="s">
        <v>62</v>
      </c>
      <c r="Y27" s="9" t="s">
        <v>56</v>
      </c>
      <c r="Z27" s="9" t="s">
        <v>147</v>
      </c>
      <c r="AB27" s="12"/>
      <c r="AC27" s="9" t="s">
        <v>56</v>
      </c>
      <c r="AD27" s="12" t="s">
        <v>82</v>
      </c>
      <c r="AE27" s="12"/>
      <c r="AF27" s="14">
        <v>8.99</v>
      </c>
      <c r="AG27" s="14"/>
      <c r="AH27" s="14">
        <v>0</v>
      </c>
      <c r="AI27" s="14">
        <v>1</v>
      </c>
      <c r="AL27" s="16"/>
      <c r="AM27" s="16">
        <v>4.7E-2</v>
      </c>
      <c r="AN27" s="16">
        <v>4.8187099999999997E-2</v>
      </c>
      <c r="AO27" s="16">
        <v>4.791285E-2</v>
      </c>
      <c r="AQ27" s="18"/>
      <c r="AR27" s="9" t="s">
        <v>65</v>
      </c>
    </row>
    <row r="28" spans="2:44" x14ac:dyDescent="0.45">
      <c r="B28" s="9" t="s">
        <v>148</v>
      </c>
      <c r="C28" s="9" t="s">
        <v>149</v>
      </c>
      <c r="D28" s="9" t="s">
        <v>2</v>
      </c>
      <c r="E28" s="9" t="s">
        <v>51</v>
      </c>
      <c r="F28" s="12" t="s">
        <v>52</v>
      </c>
      <c r="G28" s="13" t="s">
        <v>124</v>
      </c>
      <c r="H28" s="9" t="s">
        <v>54</v>
      </c>
      <c r="I28" s="12" t="s">
        <v>70</v>
      </c>
      <c r="J28" s="12"/>
      <c r="K28" s="9" t="s">
        <v>56</v>
      </c>
      <c r="L28" s="9" t="s">
        <v>57</v>
      </c>
      <c r="M28" s="9" t="s">
        <v>58</v>
      </c>
      <c r="N28" s="14">
        <v>118000</v>
      </c>
      <c r="O28" s="12" t="s">
        <v>59</v>
      </c>
      <c r="P28" s="15">
        <v>43899</v>
      </c>
      <c r="Q28" s="16">
        <v>1</v>
      </c>
      <c r="R28" s="17">
        <v>10.5</v>
      </c>
      <c r="S28" s="12" t="s">
        <v>60</v>
      </c>
      <c r="T28" s="17">
        <v>88.98</v>
      </c>
      <c r="U28" s="11"/>
      <c r="V28" s="9" t="s">
        <v>61</v>
      </c>
      <c r="W28" s="16">
        <v>3.9120729999999999E-2</v>
      </c>
      <c r="X28" s="12" t="s">
        <v>62</v>
      </c>
      <c r="Y28" s="9" t="s">
        <v>56</v>
      </c>
      <c r="Z28" s="9" t="s">
        <v>126</v>
      </c>
      <c r="AA28" s="9" t="s">
        <v>150</v>
      </c>
      <c r="AB28" s="12"/>
      <c r="AC28" s="9" t="s">
        <v>56</v>
      </c>
      <c r="AD28" s="12"/>
      <c r="AE28" s="12" t="s">
        <v>120</v>
      </c>
      <c r="AF28" s="14"/>
      <c r="AG28" s="14"/>
      <c r="AH28" s="14">
        <v>0</v>
      </c>
      <c r="AI28" s="14"/>
      <c r="AL28" s="16"/>
      <c r="AM28" s="16">
        <v>4.7E-2</v>
      </c>
      <c r="AN28" s="16">
        <v>4.8187099999999997E-2</v>
      </c>
      <c r="AO28" s="16">
        <v>4.791285E-2</v>
      </c>
      <c r="AQ28" s="18"/>
      <c r="AR28" s="9" t="s">
        <v>65</v>
      </c>
    </row>
    <row r="29" spans="2:44" x14ac:dyDescent="0.45">
      <c r="B29" s="9" t="s">
        <v>92</v>
      </c>
      <c r="C29" s="9" t="s">
        <v>93</v>
      </c>
      <c r="D29" s="9" t="s">
        <v>2</v>
      </c>
      <c r="E29" s="9" t="s">
        <v>51</v>
      </c>
      <c r="F29" s="12" t="s">
        <v>52</v>
      </c>
      <c r="G29" s="13" t="s">
        <v>53</v>
      </c>
      <c r="H29" s="9" t="s">
        <v>54</v>
      </c>
      <c r="I29" s="12" t="s">
        <v>70</v>
      </c>
      <c r="J29" s="12"/>
      <c r="K29" s="9" t="s">
        <v>56</v>
      </c>
      <c r="L29" s="9" t="s">
        <v>57</v>
      </c>
      <c r="M29" s="9" t="s">
        <v>58</v>
      </c>
      <c r="N29" s="14">
        <v>193000</v>
      </c>
      <c r="O29" s="12" t="s">
        <v>59</v>
      </c>
      <c r="P29" s="15">
        <v>43861</v>
      </c>
      <c r="Q29" s="16">
        <v>1</v>
      </c>
      <c r="R29" s="17">
        <v>11.5</v>
      </c>
      <c r="S29" s="12" t="s">
        <v>60</v>
      </c>
      <c r="T29" s="17">
        <v>59.59</v>
      </c>
      <c r="U29" s="11"/>
      <c r="V29" s="9" t="s">
        <v>61</v>
      </c>
      <c r="W29" s="16">
        <v>3.9120729999999999E-2</v>
      </c>
      <c r="X29" s="12" t="s">
        <v>62</v>
      </c>
      <c r="Y29" s="9" t="s">
        <v>56</v>
      </c>
      <c r="AA29" s="9" t="s">
        <v>151</v>
      </c>
      <c r="AB29" s="12"/>
      <c r="AC29" s="9" t="s">
        <v>56</v>
      </c>
      <c r="AD29" s="12"/>
      <c r="AE29" s="12" t="s">
        <v>97</v>
      </c>
      <c r="AF29" s="14"/>
      <c r="AG29" s="14"/>
      <c r="AH29" s="14">
        <v>0</v>
      </c>
      <c r="AI29" s="14"/>
      <c r="AL29" s="16"/>
      <c r="AM29" s="16">
        <v>4.7E-2</v>
      </c>
      <c r="AN29" s="16">
        <v>4.8187099999999997E-2</v>
      </c>
      <c r="AO29" s="16">
        <v>4.791285E-2</v>
      </c>
      <c r="AQ29" s="18"/>
      <c r="AR29" s="9" t="s">
        <v>65</v>
      </c>
    </row>
    <row r="30" spans="2:44" x14ac:dyDescent="0.45">
      <c r="B30" s="9" t="s">
        <v>152</v>
      </c>
      <c r="C30" s="9" t="s">
        <v>153</v>
      </c>
      <c r="D30" s="9" t="s">
        <v>2</v>
      </c>
      <c r="E30" s="9" t="s">
        <v>51</v>
      </c>
      <c r="F30" s="12" t="s">
        <v>52</v>
      </c>
      <c r="G30" s="13" t="s">
        <v>124</v>
      </c>
      <c r="H30" s="9" t="s">
        <v>54</v>
      </c>
      <c r="I30" s="12" t="s">
        <v>70</v>
      </c>
      <c r="J30" s="12"/>
      <c r="K30" s="9" t="s">
        <v>56</v>
      </c>
      <c r="L30" s="9" t="s">
        <v>57</v>
      </c>
      <c r="M30" s="9" t="s">
        <v>58</v>
      </c>
      <c r="N30" s="14">
        <v>328000</v>
      </c>
      <c r="O30" s="12" t="s">
        <v>59</v>
      </c>
      <c r="P30" s="15">
        <v>43830</v>
      </c>
      <c r="Q30" s="16">
        <v>1</v>
      </c>
      <c r="R30" s="17">
        <v>39.700000000000003</v>
      </c>
      <c r="S30" s="12" t="s">
        <v>60</v>
      </c>
      <c r="T30" s="17">
        <v>121.04</v>
      </c>
      <c r="U30" s="11"/>
      <c r="V30" s="9" t="s">
        <v>61</v>
      </c>
      <c r="W30" s="16">
        <v>4.0620730000000001E-2</v>
      </c>
      <c r="X30" s="12" t="s">
        <v>62</v>
      </c>
      <c r="Y30" s="9" t="s">
        <v>56</v>
      </c>
      <c r="Z30" s="9" t="s">
        <v>154</v>
      </c>
      <c r="AA30" s="9" t="s">
        <v>155</v>
      </c>
      <c r="AB30" s="12"/>
      <c r="AC30" s="9" t="s">
        <v>56</v>
      </c>
      <c r="AD30" s="12"/>
      <c r="AE30" s="12" t="s">
        <v>120</v>
      </c>
      <c r="AF30" s="14">
        <v>15.368</v>
      </c>
      <c r="AG30" s="14"/>
      <c r="AH30" s="14">
        <v>0</v>
      </c>
      <c r="AI30" s="14">
        <v>1</v>
      </c>
      <c r="AL30" s="16"/>
      <c r="AM30" s="16">
        <v>4.7E-2</v>
      </c>
      <c r="AN30" s="16">
        <v>4.8187099999999997E-2</v>
      </c>
      <c r="AO30" s="16">
        <v>4.791285E-2</v>
      </c>
      <c r="AQ30" s="18"/>
      <c r="AR30" s="9" t="s">
        <v>65</v>
      </c>
    </row>
    <row r="31" spans="2:44" x14ac:dyDescent="0.45">
      <c r="B31" s="19" t="s">
        <v>156</v>
      </c>
      <c r="C31" s="19" t="s">
        <v>157</v>
      </c>
      <c r="D31" s="19" t="s">
        <v>2</v>
      </c>
      <c r="E31" s="19" t="s">
        <v>51</v>
      </c>
      <c r="F31" s="20" t="s">
        <v>52</v>
      </c>
      <c r="G31" s="21"/>
      <c r="H31" s="19" t="s">
        <v>54</v>
      </c>
      <c r="I31" s="20" t="s">
        <v>70</v>
      </c>
      <c r="J31" s="20" t="s">
        <v>158</v>
      </c>
      <c r="K31" s="19" t="s">
        <v>56</v>
      </c>
      <c r="L31" s="19" t="s">
        <v>159</v>
      </c>
      <c r="M31" s="19"/>
      <c r="N31" s="22">
        <v>257000</v>
      </c>
      <c r="O31" s="20" t="s">
        <v>59</v>
      </c>
      <c r="P31" s="23">
        <v>43818</v>
      </c>
      <c r="Q31" s="24">
        <v>1</v>
      </c>
      <c r="R31" s="25">
        <v>24.8</v>
      </c>
      <c r="S31" s="20" t="s">
        <v>60</v>
      </c>
      <c r="T31" s="25">
        <v>96.5</v>
      </c>
      <c r="U31" s="26"/>
      <c r="V31" s="19"/>
      <c r="W31" s="24"/>
      <c r="X31" s="20"/>
      <c r="Y31" s="19" t="s">
        <v>65</v>
      </c>
      <c r="Z31" s="19"/>
      <c r="AA31" s="19"/>
      <c r="AB31" s="20"/>
      <c r="AC31" s="19" t="s">
        <v>56</v>
      </c>
      <c r="AD31" s="20"/>
      <c r="AE31" s="20" t="s">
        <v>82</v>
      </c>
      <c r="AF31" s="14"/>
      <c r="AG31" s="14"/>
      <c r="AH31" s="14">
        <v>0</v>
      </c>
      <c r="AI31" s="14"/>
      <c r="AL31" s="16"/>
      <c r="AM31" s="16"/>
      <c r="AN31" s="16"/>
      <c r="AO31" s="16"/>
      <c r="AQ31" s="18"/>
      <c r="AR31" s="9" t="s">
        <v>65</v>
      </c>
    </row>
    <row r="32" spans="2:44" x14ac:dyDescent="0.45">
      <c r="B32" s="9" t="s">
        <v>160</v>
      </c>
      <c r="C32" s="9" t="s">
        <v>161</v>
      </c>
      <c r="D32" s="9" t="s">
        <v>68</v>
      </c>
      <c r="E32" s="9" t="s">
        <v>51</v>
      </c>
      <c r="F32" s="12" t="s">
        <v>52</v>
      </c>
      <c r="G32" s="13" t="s">
        <v>69</v>
      </c>
      <c r="H32" s="9" t="s">
        <v>54</v>
      </c>
      <c r="I32" s="12" t="s">
        <v>70</v>
      </c>
      <c r="J32" s="12"/>
      <c r="K32" s="9" t="s">
        <v>56</v>
      </c>
      <c r="L32" s="9" t="s">
        <v>57</v>
      </c>
      <c r="M32" s="9" t="s">
        <v>58</v>
      </c>
      <c r="N32" s="14">
        <v>344000</v>
      </c>
      <c r="O32" s="12" t="s">
        <v>59</v>
      </c>
      <c r="P32" s="15">
        <v>43663</v>
      </c>
      <c r="Q32" s="16">
        <v>1</v>
      </c>
      <c r="R32" s="17">
        <v>43.1</v>
      </c>
      <c r="S32" s="12" t="s">
        <v>60</v>
      </c>
      <c r="T32" s="17">
        <v>125.29</v>
      </c>
      <c r="U32" s="11"/>
      <c r="V32" s="9" t="s">
        <v>61</v>
      </c>
      <c r="W32" s="16">
        <v>4.3170449999999999E-2</v>
      </c>
      <c r="X32" s="12" t="s">
        <v>62</v>
      </c>
      <c r="Y32" s="9" t="s">
        <v>56</v>
      </c>
      <c r="Z32" s="9" t="s">
        <v>162</v>
      </c>
      <c r="AA32" s="9" t="s">
        <v>163</v>
      </c>
      <c r="AB32" s="12"/>
      <c r="AC32" s="9" t="s">
        <v>56</v>
      </c>
      <c r="AD32" s="12"/>
      <c r="AE32" s="12" t="s">
        <v>120</v>
      </c>
      <c r="AF32" s="14">
        <v>14.885999999999999</v>
      </c>
      <c r="AG32" s="14"/>
      <c r="AH32" s="14">
        <v>0</v>
      </c>
      <c r="AI32" s="14">
        <v>1</v>
      </c>
      <c r="AL32" s="16"/>
      <c r="AM32" s="16">
        <v>4.7E-2</v>
      </c>
      <c r="AN32" s="16">
        <v>4.8187099999999997E-2</v>
      </c>
      <c r="AO32" s="16">
        <v>4.791285E-2</v>
      </c>
      <c r="AQ32" s="18"/>
      <c r="AR32" s="9" t="s">
        <v>65</v>
      </c>
    </row>
    <row r="33" spans="2:44" x14ac:dyDescent="0.45">
      <c r="B33" s="9" t="s">
        <v>164</v>
      </c>
      <c r="C33" s="9" t="s">
        <v>165</v>
      </c>
      <c r="D33" s="9" t="s">
        <v>2</v>
      </c>
      <c r="E33" s="9" t="s">
        <v>51</v>
      </c>
      <c r="F33" s="12" t="s">
        <v>52</v>
      </c>
      <c r="G33" s="13" t="s">
        <v>124</v>
      </c>
      <c r="H33" s="9" t="s">
        <v>54</v>
      </c>
      <c r="I33" s="12" t="s">
        <v>70</v>
      </c>
      <c r="J33" s="12"/>
      <c r="K33" s="9" t="s">
        <v>56</v>
      </c>
      <c r="L33" s="9" t="s">
        <v>57</v>
      </c>
      <c r="M33" s="9" t="s">
        <v>58</v>
      </c>
      <c r="N33" s="14">
        <v>290000</v>
      </c>
      <c r="O33" s="12" t="s">
        <v>59</v>
      </c>
      <c r="P33" s="15">
        <v>43508</v>
      </c>
      <c r="Q33" s="16">
        <v>1</v>
      </c>
      <c r="R33" s="17">
        <v>31.29</v>
      </c>
      <c r="S33" s="12" t="s">
        <v>60</v>
      </c>
      <c r="T33" s="17">
        <v>107.88</v>
      </c>
      <c r="U33" s="11"/>
      <c r="V33" s="9" t="s">
        <v>61</v>
      </c>
      <c r="W33" s="16">
        <v>4.2120730000000002E-2</v>
      </c>
      <c r="X33" s="12" t="s">
        <v>62</v>
      </c>
      <c r="Y33" s="9" t="s">
        <v>56</v>
      </c>
      <c r="Z33" s="9" t="s">
        <v>166</v>
      </c>
      <c r="AB33" s="12"/>
      <c r="AC33" s="9" t="s">
        <v>56</v>
      </c>
      <c r="AD33" s="12"/>
      <c r="AE33" s="12" t="s">
        <v>82</v>
      </c>
      <c r="AF33" s="14">
        <v>16</v>
      </c>
      <c r="AG33" s="14"/>
      <c r="AH33" s="14">
        <v>0</v>
      </c>
      <c r="AI33" s="14">
        <v>1</v>
      </c>
      <c r="AL33" s="16"/>
      <c r="AM33" s="16">
        <v>4.7E-2</v>
      </c>
      <c r="AN33" s="16">
        <v>4.8187099999999997E-2</v>
      </c>
      <c r="AO33" s="16">
        <v>4.791285E-2</v>
      </c>
      <c r="AQ33" s="18"/>
      <c r="AR33" s="9" t="s">
        <v>65</v>
      </c>
    </row>
    <row r="34" spans="2:44" x14ac:dyDescent="0.45">
      <c r="B34" s="19" t="s">
        <v>167</v>
      </c>
      <c r="C34" s="19" t="s">
        <v>168</v>
      </c>
      <c r="D34" s="19"/>
      <c r="E34" s="19"/>
      <c r="F34" s="20" t="s">
        <v>52</v>
      </c>
      <c r="G34" s="21" t="s">
        <v>69</v>
      </c>
      <c r="H34" s="19" t="s">
        <v>54</v>
      </c>
      <c r="I34" s="20" t="s">
        <v>70</v>
      </c>
      <c r="J34" s="20"/>
      <c r="K34" s="19" t="s">
        <v>56</v>
      </c>
      <c r="L34" s="19" t="s">
        <v>57</v>
      </c>
      <c r="M34" s="19" t="s">
        <v>58</v>
      </c>
      <c r="N34" s="22">
        <v>21719000</v>
      </c>
      <c r="O34" s="20" t="s">
        <v>59</v>
      </c>
      <c r="P34" s="23">
        <v>43172</v>
      </c>
      <c r="Q34" s="24">
        <v>1</v>
      </c>
      <c r="R34" s="25"/>
      <c r="S34" s="20" t="s">
        <v>60</v>
      </c>
      <c r="T34" s="25">
        <v>83.11</v>
      </c>
      <c r="U34" s="25"/>
      <c r="V34" s="19" t="s">
        <v>61</v>
      </c>
      <c r="W34" s="24"/>
      <c r="X34" s="20"/>
      <c r="Y34" s="19" t="s">
        <v>65</v>
      </c>
      <c r="Z34" s="19" t="s">
        <v>169</v>
      </c>
      <c r="AA34" s="19" t="s">
        <v>170</v>
      </c>
      <c r="AB34" s="20"/>
      <c r="AC34" s="19" t="s">
        <v>56</v>
      </c>
      <c r="AD34" s="20"/>
      <c r="AE34" s="20" t="s">
        <v>131</v>
      </c>
      <c r="AF34" s="14"/>
      <c r="AG34" s="14"/>
      <c r="AH34" s="14">
        <v>0</v>
      </c>
      <c r="AI34" s="14"/>
      <c r="AL34" s="16"/>
      <c r="AM34" s="16">
        <v>4.7E-2</v>
      </c>
      <c r="AN34" s="16">
        <v>4.8187099999999997E-2</v>
      </c>
      <c r="AO34" s="16">
        <v>4.791285E-2</v>
      </c>
      <c r="AQ34" s="18"/>
      <c r="AR34" s="9" t="s">
        <v>65</v>
      </c>
    </row>
    <row r="35" spans="2:44" x14ac:dyDescent="0.45">
      <c r="B35" s="19" t="s">
        <v>171</v>
      </c>
      <c r="C35" s="19" t="s">
        <v>168</v>
      </c>
      <c r="D35" s="19" t="s">
        <v>68</v>
      </c>
      <c r="E35" s="19" t="s">
        <v>51</v>
      </c>
      <c r="F35" s="20" t="s">
        <v>52</v>
      </c>
      <c r="G35" s="21" t="s">
        <v>69</v>
      </c>
      <c r="H35" s="19" t="s">
        <v>54</v>
      </c>
      <c r="I35" s="20" t="s">
        <v>70</v>
      </c>
      <c r="J35" s="20"/>
      <c r="K35" s="19" t="s">
        <v>56</v>
      </c>
      <c r="L35" s="19" t="s">
        <v>57</v>
      </c>
      <c r="M35" s="19" t="s">
        <v>58</v>
      </c>
      <c r="N35" s="22">
        <v>44000</v>
      </c>
      <c r="O35" s="20" t="s">
        <v>59</v>
      </c>
      <c r="P35" s="23">
        <v>43172</v>
      </c>
      <c r="Q35" s="24">
        <v>1</v>
      </c>
      <c r="R35" s="25"/>
      <c r="S35" s="20"/>
      <c r="T35" s="25"/>
      <c r="U35" s="26"/>
      <c r="V35" s="19" t="s">
        <v>61</v>
      </c>
      <c r="W35" s="24"/>
      <c r="X35" s="20"/>
      <c r="Y35" s="19" t="s">
        <v>65</v>
      </c>
      <c r="Z35" s="19" t="s">
        <v>169</v>
      </c>
      <c r="AA35" s="19" t="s">
        <v>170</v>
      </c>
      <c r="AB35" s="20"/>
      <c r="AC35" s="19" t="s">
        <v>56</v>
      </c>
      <c r="AD35" s="20"/>
      <c r="AE35" s="20" t="s">
        <v>131</v>
      </c>
      <c r="AF35" s="14"/>
      <c r="AG35" s="14"/>
      <c r="AH35" s="14">
        <v>0</v>
      </c>
      <c r="AI35" s="14"/>
      <c r="AL35" s="16"/>
      <c r="AM35" s="16">
        <v>4.7E-2</v>
      </c>
      <c r="AN35" s="16">
        <v>4.8187099999999997E-2</v>
      </c>
      <c r="AO35" s="16">
        <v>4.791285E-2</v>
      </c>
      <c r="AQ35" s="18"/>
      <c r="AR35" s="9" t="s">
        <v>65</v>
      </c>
    </row>
    <row r="36" spans="2:44" x14ac:dyDescent="0.45">
      <c r="B36" s="19" t="s">
        <v>172</v>
      </c>
      <c r="C36" s="19" t="s">
        <v>173</v>
      </c>
      <c r="D36" s="19" t="s">
        <v>68</v>
      </c>
      <c r="E36" s="19" t="s">
        <v>51</v>
      </c>
      <c r="F36" s="20" t="s">
        <v>52</v>
      </c>
      <c r="G36" s="21" t="s">
        <v>69</v>
      </c>
      <c r="H36" s="19" t="s">
        <v>54</v>
      </c>
      <c r="I36" s="20" t="s">
        <v>70</v>
      </c>
      <c r="J36" s="20"/>
      <c r="K36" s="19" t="s">
        <v>56</v>
      </c>
      <c r="L36" s="19" t="s">
        <v>57</v>
      </c>
      <c r="M36" s="19" t="s">
        <v>58</v>
      </c>
      <c r="N36" s="22">
        <v>40000</v>
      </c>
      <c r="O36" s="20" t="s">
        <v>59</v>
      </c>
      <c r="P36" s="23">
        <v>43172</v>
      </c>
      <c r="Q36" s="24">
        <v>1</v>
      </c>
      <c r="R36" s="25"/>
      <c r="S36" s="20"/>
      <c r="T36" s="25"/>
      <c r="U36" s="26"/>
      <c r="V36" s="19" t="s">
        <v>61</v>
      </c>
      <c r="W36" s="24"/>
      <c r="X36" s="20"/>
      <c r="Y36" s="19" t="s">
        <v>65</v>
      </c>
      <c r="Z36" s="19" t="s">
        <v>169</v>
      </c>
      <c r="AA36" s="19" t="s">
        <v>170</v>
      </c>
      <c r="AB36" s="20"/>
      <c r="AC36" s="19" t="s">
        <v>56</v>
      </c>
      <c r="AD36" s="20"/>
      <c r="AE36" s="20" t="s">
        <v>131</v>
      </c>
      <c r="AF36" s="14"/>
      <c r="AG36" s="14"/>
      <c r="AH36" s="14">
        <v>0</v>
      </c>
      <c r="AI36" s="14"/>
      <c r="AL36" s="16"/>
      <c r="AM36" s="16">
        <v>4.7E-2</v>
      </c>
      <c r="AN36" s="16">
        <v>4.8187099999999997E-2</v>
      </c>
      <c r="AO36" s="16">
        <v>4.791285E-2</v>
      </c>
      <c r="AQ36" s="18"/>
      <c r="AR36" s="9" t="s">
        <v>65</v>
      </c>
    </row>
    <row r="37" spans="2:44" x14ac:dyDescent="0.45">
      <c r="B37" s="19" t="s">
        <v>174</v>
      </c>
      <c r="C37" s="19" t="s">
        <v>175</v>
      </c>
      <c r="D37" s="19" t="s">
        <v>68</v>
      </c>
      <c r="E37" s="19" t="s">
        <v>51</v>
      </c>
      <c r="F37" s="20" t="s">
        <v>52</v>
      </c>
      <c r="G37" s="21" t="s">
        <v>69</v>
      </c>
      <c r="H37" s="19" t="s">
        <v>54</v>
      </c>
      <c r="I37" s="20" t="s">
        <v>70</v>
      </c>
      <c r="J37" s="20"/>
      <c r="K37" s="19" t="s">
        <v>56</v>
      </c>
      <c r="L37" s="19" t="s">
        <v>57</v>
      </c>
      <c r="M37" s="19" t="s">
        <v>58</v>
      </c>
      <c r="N37" s="22">
        <v>60000</v>
      </c>
      <c r="O37" s="20" t="s">
        <v>59</v>
      </c>
      <c r="P37" s="23">
        <v>43172</v>
      </c>
      <c r="Q37" s="24">
        <v>1</v>
      </c>
      <c r="R37" s="25"/>
      <c r="S37" s="20"/>
      <c r="T37" s="25"/>
      <c r="U37" s="26"/>
      <c r="V37" s="19" t="s">
        <v>61</v>
      </c>
      <c r="W37" s="24"/>
      <c r="X37" s="20"/>
      <c r="Y37" s="19" t="s">
        <v>65</v>
      </c>
      <c r="Z37" s="19" t="s">
        <v>169</v>
      </c>
      <c r="AA37" s="19" t="s">
        <v>170</v>
      </c>
      <c r="AB37" s="20"/>
      <c r="AC37" s="19" t="s">
        <v>56</v>
      </c>
      <c r="AD37" s="20"/>
      <c r="AE37" s="20" t="s">
        <v>131</v>
      </c>
      <c r="AF37" s="14"/>
      <c r="AG37" s="14"/>
      <c r="AH37" s="14">
        <v>0</v>
      </c>
      <c r="AI37" s="14"/>
      <c r="AL37" s="16"/>
      <c r="AM37" s="16">
        <v>4.7E-2</v>
      </c>
      <c r="AN37" s="16">
        <v>4.8187099999999997E-2</v>
      </c>
      <c r="AO37" s="16">
        <v>4.791285E-2</v>
      </c>
      <c r="AQ37" s="18"/>
      <c r="AR37" s="9" t="s">
        <v>65</v>
      </c>
    </row>
    <row r="38" spans="2:44" x14ac:dyDescent="0.45">
      <c r="B38" s="19" t="s">
        <v>176</v>
      </c>
      <c r="C38" s="19" t="s">
        <v>177</v>
      </c>
      <c r="D38" s="19" t="s">
        <v>68</v>
      </c>
      <c r="E38" s="19" t="s">
        <v>51</v>
      </c>
      <c r="F38" s="20" t="s">
        <v>52</v>
      </c>
      <c r="G38" s="21" t="s">
        <v>69</v>
      </c>
      <c r="H38" s="19" t="s">
        <v>54</v>
      </c>
      <c r="I38" s="20" t="s">
        <v>70</v>
      </c>
      <c r="J38" s="20"/>
      <c r="K38" s="19" t="s">
        <v>56</v>
      </c>
      <c r="L38" s="19" t="s">
        <v>57</v>
      </c>
      <c r="M38" s="19" t="s">
        <v>58</v>
      </c>
      <c r="N38" s="22">
        <v>117000</v>
      </c>
      <c r="O38" s="20" t="s">
        <v>59</v>
      </c>
      <c r="P38" s="23">
        <v>43172</v>
      </c>
      <c r="Q38" s="24">
        <v>1</v>
      </c>
      <c r="R38" s="25"/>
      <c r="S38" s="20"/>
      <c r="T38" s="25"/>
      <c r="U38" s="26"/>
      <c r="V38" s="19" t="s">
        <v>61</v>
      </c>
      <c r="W38" s="24"/>
      <c r="X38" s="20"/>
      <c r="Y38" s="19" t="s">
        <v>65</v>
      </c>
      <c r="Z38" s="19" t="s">
        <v>169</v>
      </c>
      <c r="AA38" s="19" t="s">
        <v>170</v>
      </c>
      <c r="AB38" s="20"/>
      <c r="AC38" s="19" t="s">
        <v>56</v>
      </c>
      <c r="AD38" s="20"/>
      <c r="AE38" s="20" t="s">
        <v>131</v>
      </c>
      <c r="AF38" s="14"/>
      <c r="AG38" s="14"/>
      <c r="AH38" s="14">
        <v>0</v>
      </c>
      <c r="AI38" s="14"/>
      <c r="AL38" s="16"/>
      <c r="AM38" s="16">
        <v>4.7E-2</v>
      </c>
      <c r="AN38" s="16">
        <v>4.8187099999999997E-2</v>
      </c>
      <c r="AO38" s="16">
        <v>4.791285E-2</v>
      </c>
      <c r="AQ38" s="18"/>
      <c r="AR38" s="9" t="s">
        <v>65</v>
      </c>
    </row>
    <row r="39" spans="2:44" x14ac:dyDescent="0.45">
      <c r="B39" s="9" t="s">
        <v>178</v>
      </c>
      <c r="C39" s="9" t="s">
        <v>179</v>
      </c>
      <c r="D39" s="9" t="s">
        <v>2</v>
      </c>
      <c r="E39" s="9" t="s">
        <v>51</v>
      </c>
      <c r="F39" s="12" t="s">
        <v>52</v>
      </c>
      <c r="G39" s="13" t="s">
        <v>124</v>
      </c>
      <c r="H39" s="9" t="s">
        <v>54</v>
      </c>
      <c r="I39" s="12" t="s">
        <v>70</v>
      </c>
      <c r="J39" s="12"/>
      <c r="K39" s="9" t="s">
        <v>56</v>
      </c>
      <c r="L39" s="9" t="s">
        <v>57</v>
      </c>
      <c r="M39" s="9" t="s">
        <v>58</v>
      </c>
      <c r="N39" s="14">
        <v>928000</v>
      </c>
      <c r="O39" s="12" t="s">
        <v>59</v>
      </c>
      <c r="P39" s="15">
        <v>43158</v>
      </c>
      <c r="Q39" s="16">
        <v>1</v>
      </c>
      <c r="R39" s="17">
        <v>100.5</v>
      </c>
      <c r="S39" s="12" t="s">
        <v>60</v>
      </c>
      <c r="T39" s="17">
        <v>108.3</v>
      </c>
      <c r="U39" s="11"/>
      <c r="V39" s="9" t="s">
        <v>61</v>
      </c>
      <c r="W39" s="16">
        <v>4.3620730000000003E-2</v>
      </c>
      <c r="X39" s="12" t="s">
        <v>62</v>
      </c>
      <c r="Y39" s="9" t="s">
        <v>56</v>
      </c>
      <c r="Z39" s="9" t="s">
        <v>180</v>
      </c>
      <c r="AA39" s="9" t="s">
        <v>111</v>
      </c>
      <c r="AB39" s="12"/>
      <c r="AC39" s="9" t="s">
        <v>56</v>
      </c>
      <c r="AD39" s="12"/>
      <c r="AE39" s="12" t="s">
        <v>82</v>
      </c>
      <c r="AF39" s="14"/>
      <c r="AG39" s="14"/>
      <c r="AH39" s="14">
        <v>0</v>
      </c>
      <c r="AI39" s="14"/>
      <c r="AL39" s="16"/>
      <c r="AM39" s="16">
        <v>4.7E-2</v>
      </c>
      <c r="AN39" s="16">
        <v>4.8187099999999997E-2</v>
      </c>
      <c r="AO39" s="16">
        <v>4.791285E-2</v>
      </c>
      <c r="AQ39" s="18"/>
      <c r="AR39" s="9" t="s">
        <v>65</v>
      </c>
    </row>
    <row r="40" spans="2:44" x14ac:dyDescent="0.45">
      <c r="B40" s="19" t="s">
        <v>181</v>
      </c>
      <c r="C40" s="19" t="s">
        <v>182</v>
      </c>
      <c r="D40" s="19"/>
      <c r="E40" s="19"/>
      <c r="F40" s="20" t="s">
        <v>52</v>
      </c>
      <c r="G40" s="21" t="s">
        <v>69</v>
      </c>
      <c r="H40" s="19" t="s">
        <v>54</v>
      </c>
      <c r="I40" s="20" t="s">
        <v>70</v>
      </c>
      <c r="J40" s="20"/>
      <c r="K40" s="19" t="s">
        <v>56</v>
      </c>
      <c r="L40" s="19" t="s">
        <v>57</v>
      </c>
      <c r="M40" s="19" t="s">
        <v>58</v>
      </c>
      <c r="N40" s="22">
        <v>9116000</v>
      </c>
      <c r="O40" s="20" t="s">
        <v>59</v>
      </c>
      <c r="P40" s="23">
        <v>42723</v>
      </c>
      <c r="Q40" s="24">
        <v>1</v>
      </c>
      <c r="R40" s="25"/>
      <c r="S40" s="20" t="s">
        <v>60</v>
      </c>
      <c r="T40" s="25">
        <v>73.680000000000007</v>
      </c>
      <c r="U40" s="25"/>
      <c r="V40" s="19" t="s">
        <v>61</v>
      </c>
      <c r="W40" s="24"/>
      <c r="X40" s="20"/>
      <c r="Y40" s="19" t="s">
        <v>65</v>
      </c>
      <c r="Z40" s="19" t="s">
        <v>183</v>
      </c>
      <c r="AA40" s="19" t="s">
        <v>143</v>
      </c>
      <c r="AB40" s="20"/>
      <c r="AC40" s="19" t="s">
        <v>56</v>
      </c>
      <c r="AD40" s="20"/>
      <c r="AE40" s="20" t="s">
        <v>131</v>
      </c>
      <c r="AF40" s="14"/>
      <c r="AG40" s="14"/>
      <c r="AH40" s="14">
        <v>0</v>
      </c>
      <c r="AI40" s="14"/>
      <c r="AL40" s="16"/>
      <c r="AM40" s="16">
        <v>4.7E-2</v>
      </c>
      <c r="AN40" s="16">
        <v>4.8187099999999997E-2</v>
      </c>
      <c r="AO40" s="16">
        <v>4.791285E-2</v>
      </c>
      <c r="AQ40" s="18"/>
      <c r="AR40" s="9" t="s">
        <v>65</v>
      </c>
    </row>
    <row r="41" spans="2:44" x14ac:dyDescent="0.45">
      <c r="B41" s="19" t="s">
        <v>184</v>
      </c>
      <c r="C41" s="19" t="s">
        <v>182</v>
      </c>
      <c r="D41" s="19" t="s">
        <v>68</v>
      </c>
      <c r="E41" s="19" t="s">
        <v>51</v>
      </c>
      <c r="F41" s="20" t="s">
        <v>52</v>
      </c>
      <c r="G41" s="21" t="s">
        <v>69</v>
      </c>
      <c r="H41" s="19" t="s">
        <v>54</v>
      </c>
      <c r="I41" s="20" t="s">
        <v>70</v>
      </c>
      <c r="J41" s="20"/>
      <c r="K41" s="19" t="s">
        <v>56</v>
      </c>
      <c r="L41" s="19" t="s">
        <v>57</v>
      </c>
      <c r="M41" s="19" t="s">
        <v>58</v>
      </c>
      <c r="N41" s="22">
        <v>1103000</v>
      </c>
      <c r="O41" s="20" t="s">
        <v>59</v>
      </c>
      <c r="P41" s="23">
        <v>42723</v>
      </c>
      <c r="Q41" s="24">
        <v>1</v>
      </c>
      <c r="R41" s="25">
        <v>98.9</v>
      </c>
      <c r="S41" s="20" t="s">
        <v>60</v>
      </c>
      <c r="T41" s="25">
        <v>89.66</v>
      </c>
      <c r="U41" s="26"/>
      <c r="V41" s="19" t="s">
        <v>61</v>
      </c>
      <c r="W41" s="24"/>
      <c r="X41" s="20"/>
      <c r="Y41" s="19" t="s">
        <v>65</v>
      </c>
      <c r="Z41" s="19" t="s">
        <v>183</v>
      </c>
      <c r="AA41" s="19" t="s">
        <v>143</v>
      </c>
      <c r="AB41" s="20"/>
      <c r="AC41" s="19" t="s">
        <v>56</v>
      </c>
      <c r="AD41" s="20"/>
      <c r="AE41" s="20" t="s">
        <v>131</v>
      </c>
      <c r="AF41" s="14"/>
      <c r="AG41" s="14"/>
      <c r="AH41" s="14">
        <v>0</v>
      </c>
      <c r="AI41" s="14"/>
      <c r="AL41" s="16"/>
      <c r="AM41" s="16">
        <v>4.7E-2</v>
      </c>
      <c r="AN41" s="16">
        <v>4.8187099999999997E-2</v>
      </c>
      <c r="AO41" s="16">
        <v>4.791285E-2</v>
      </c>
      <c r="AQ41" s="18"/>
      <c r="AR41" s="9" t="s">
        <v>65</v>
      </c>
    </row>
    <row r="42" spans="2:44" x14ac:dyDescent="0.45">
      <c r="B42" s="19" t="s">
        <v>185</v>
      </c>
      <c r="C42" s="19" t="s">
        <v>186</v>
      </c>
      <c r="D42" s="19"/>
      <c r="E42" s="19"/>
      <c r="F42" s="20" t="s">
        <v>52</v>
      </c>
      <c r="G42" s="21" t="s">
        <v>124</v>
      </c>
      <c r="H42" s="19" t="s">
        <v>54</v>
      </c>
      <c r="I42" s="20" t="s">
        <v>70</v>
      </c>
      <c r="J42" s="20"/>
      <c r="K42" s="19" t="s">
        <v>56</v>
      </c>
      <c r="L42" s="19" t="s">
        <v>57</v>
      </c>
      <c r="M42" s="19" t="s">
        <v>58</v>
      </c>
      <c r="N42" s="22">
        <v>2858000</v>
      </c>
      <c r="O42" s="20" t="s">
        <v>59</v>
      </c>
      <c r="P42" s="23">
        <v>42528</v>
      </c>
      <c r="Q42" s="24">
        <v>1</v>
      </c>
      <c r="R42" s="25"/>
      <c r="S42" s="20" t="s">
        <v>60</v>
      </c>
      <c r="T42" s="25">
        <v>65.61</v>
      </c>
      <c r="U42" s="25"/>
      <c r="V42" s="19" t="s">
        <v>61</v>
      </c>
      <c r="W42" s="24"/>
      <c r="X42" s="20"/>
      <c r="Y42" s="19" t="s">
        <v>65</v>
      </c>
      <c r="Z42" s="19" t="s">
        <v>187</v>
      </c>
      <c r="AA42" s="19" t="s">
        <v>188</v>
      </c>
      <c r="AB42" s="20"/>
      <c r="AC42" s="19" t="s">
        <v>56</v>
      </c>
      <c r="AD42" s="20"/>
      <c r="AE42" s="20"/>
      <c r="AF42" s="14"/>
      <c r="AG42" s="14"/>
      <c r="AH42" s="14">
        <v>0</v>
      </c>
      <c r="AI42" s="14">
        <v>1</v>
      </c>
      <c r="AL42" s="16"/>
      <c r="AM42" s="16">
        <v>4.7E-2</v>
      </c>
      <c r="AN42" s="16">
        <v>4.8187099999999997E-2</v>
      </c>
      <c r="AO42" s="16">
        <v>4.791285E-2</v>
      </c>
      <c r="AQ42" s="18"/>
      <c r="AR42" s="9" t="s">
        <v>65</v>
      </c>
    </row>
    <row r="43" spans="2:44" x14ac:dyDescent="0.45">
      <c r="B43" s="19" t="s">
        <v>189</v>
      </c>
      <c r="C43" s="19" t="s">
        <v>186</v>
      </c>
      <c r="D43" s="19" t="s">
        <v>2</v>
      </c>
      <c r="E43" s="19" t="s">
        <v>51</v>
      </c>
      <c r="F43" s="20" t="s">
        <v>52</v>
      </c>
      <c r="G43" s="21" t="s">
        <v>124</v>
      </c>
      <c r="H43" s="19" t="s">
        <v>54</v>
      </c>
      <c r="I43" s="20" t="s">
        <v>70</v>
      </c>
      <c r="J43" s="20"/>
      <c r="K43" s="19" t="s">
        <v>56</v>
      </c>
      <c r="L43" s="19" t="s">
        <v>57</v>
      </c>
      <c r="M43" s="19" t="s">
        <v>58</v>
      </c>
      <c r="N43" s="22">
        <v>425000</v>
      </c>
      <c r="O43" s="20" t="s">
        <v>59</v>
      </c>
      <c r="P43" s="23">
        <v>42528</v>
      </c>
      <c r="Q43" s="24">
        <v>1</v>
      </c>
      <c r="R43" s="25">
        <v>37.5</v>
      </c>
      <c r="S43" s="20" t="s">
        <v>60</v>
      </c>
      <c r="T43" s="25">
        <v>88.24</v>
      </c>
      <c r="U43" s="26"/>
      <c r="V43" s="19" t="s">
        <v>61</v>
      </c>
      <c r="W43" s="24"/>
      <c r="X43" s="20"/>
      <c r="Y43" s="19" t="s">
        <v>65</v>
      </c>
      <c r="Z43" s="19" t="s">
        <v>187</v>
      </c>
      <c r="AA43" s="19" t="s">
        <v>188</v>
      </c>
      <c r="AB43" s="20"/>
      <c r="AC43" s="19" t="s">
        <v>56</v>
      </c>
      <c r="AD43" s="20"/>
      <c r="AE43" s="20"/>
      <c r="AF43" s="14">
        <v>24</v>
      </c>
      <c r="AG43" s="14"/>
      <c r="AH43" s="14">
        <v>0</v>
      </c>
      <c r="AI43" s="14">
        <v>1</v>
      </c>
      <c r="AL43" s="16"/>
      <c r="AM43" s="16">
        <v>4.7E-2</v>
      </c>
      <c r="AN43" s="16">
        <v>4.8187099999999997E-2</v>
      </c>
      <c r="AO43" s="16">
        <v>4.791285E-2</v>
      </c>
      <c r="AQ43" s="18"/>
      <c r="AR43" s="9" t="s">
        <v>65</v>
      </c>
    </row>
    <row r="44" spans="2:44" x14ac:dyDescent="0.45">
      <c r="B44" s="19" t="s">
        <v>190</v>
      </c>
      <c r="C44" s="19" t="s">
        <v>191</v>
      </c>
      <c r="D44" s="19"/>
      <c r="E44" s="19" t="s">
        <v>51</v>
      </c>
      <c r="F44" s="20" t="s">
        <v>52</v>
      </c>
      <c r="G44" s="21" t="s">
        <v>69</v>
      </c>
      <c r="H44" s="19" t="s">
        <v>54</v>
      </c>
      <c r="I44" s="20" t="s">
        <v>70</v>
      </c>
      <c r="J44" s="20"/>
      <c r="K44" s="19" t="s">
        <v>56</v>
      </c>
      <c r="L44" s="19" t="s">
        <v>57</v>
      </c>
      <c r="M44" s="19" t="s">
        <v>58</v>
      </c>
      <c r="N44" s="22">
        <v>1427000</v>
      </c>
      <c r="O44" s="20" t="s">
        <v>59</v>
      </c>
      <c r="P44" s="23">
        <v>42479</v>
      </c>
      <c r="Q44" s="24">
        <v>1</v>
      </c>
      <c r="R44" s="25"/>
      <c r="S44" s="20" t="s">
        <v>60</v>
      </c>
      <c r="T44" s="25">
        <v>143.1</v>
      </c>
      <c r="U44" s="25"/>
      <c r="V44" s="19" t="s">
        <v>61</v>
      </c>
      <c r="W44" s="24"/>
      <c r="X44" s="20"/>
      <c r="Y44" s="19" t="s">
        <v>65</v>
      </c>
      <c r="Z44" s="19" t="s">
        <v>192</v>
      </c>
      <c r="AA44" s="19" t="s">
        <v>193</v>
      </c>
      <c r="AB44" s="20"/>
      <c r="AC44" s="19" t="s">
        <v>56</v>
      </c>
      <c r="AD44" s="20"/>
      <c r="AE44" s="20" t="s">
        <v>131</v>
      </c>
      <c r="AF44" s="14"/>
      <c r="AG44" s="14"/>
      <c r="AH44" s="14">
        <v>0</v>
      </c>
      <c r="AI44" s="14"/>
      <c r="AL44" s="16"/>
      <c r="AM44" s="16">
        <v>4.7E-2</v>
      </c>
      <c r="AN44" s="16">
        <v>4.8187099999999997E-2</v>
      </c>
      <c r="AO44" s="16">
        <v>4.791285E-2</v>
      </c>
      <c r="AQ44" s="18"/>
      <c r="AR44" s="9" t="s">
        <v>65</v>
      </c>
    </row>
    <row r="45" spans="2:44" x14ac:dyDescent="0.45">
      <c r="B45" s="19" t="s">
        <v>194</v>
      </c>
      <c r="C45" s="19" t="s">
        <v>191</v>
      </c>
      <c r="D45" s="19" t="s">
        <v>68</v>
      </c>
      <c r="E45" s="19" t="s">
        <v>51</v>
      </c>
      <c r="F45" s="20" t="s">
        <v>52</v>
      </c>
      <c r="G45" s="21" t="s">
        <v>69</v>
      </c>
      <c r="H45" s="19" t="s">
        <v>54</v>
      </c>
      <c r="I45" s="20" t="s">
        <v>70</v>
      </c>
      <c r="J45" s="20"/>
      <c r="K45" s="19" t="s">
        <v>56</v>
      </c>
      <c r="L45" s="19" t="s">
        <v>57</v>
      </c>
      <c r="M45" s="19" t="s">
        <v>58</v>
      </c>
      <c r="N45" s="22">
        <v>225000</v>
      </c>
      <c r="O45" s="20" t="s">
        <v>59</v>
      </c>
      <c r="P45" s="23">
        <v>42479</v>
      </c>
      <c r="Q45" s="24">
        <v>1</v>
      </c>
      <c r="R45" s="25">
        <v>13.1</v>
      </c>
      <c r="S45" s="20" t="s">
        <v>60</v>
      </c>
      <c r="T45" s="25">
        <v>58.22</v>
      </c>
      <c r="U45" s="26"/>
      <c r="V45" s="19" t="s">
        <v>61</v>
      </c>
      <c r="W45" s="24"/>
      <c r="X45" s="20"/>
      <c r="Y45" s="19" t="s">
        <v>65</v>
      </c>
      <c r="Z45" s="19" t="s">
        <v>192</v>
      </c>
      <c r="AA45" s="19" t="s">
        <v>193</v>
      </c>
      <c r="AB45" s="20"/>
      <c r="AC45" s="19" t="s">
        <v>56</v>
      </c>
      <c r="AD45" s="20"/>
      <c r="AE45" s="20" t="s">
        <v>131</v>
      </c>
      <c r="AF45" s="14">
        <v>19</v>
      </c>
      <c r="AG45" s="14"/>
      <c r="AH45" s="14">
        <v>0</v>
      </c>
      <c r="AI45" s="14"/>
      <c r="AL45" s="16"/>
      <c r="AM45" s="16">
        <v>4.7E-2</v>
      </c>
      <c r="AN45" s="16">
        <v>4.8187099999999997E-2</v>
      </c>
      <c r="AO45" s="16">
        <v>4.791285E-2</v>
      </c>
      <c r="AQ45" s="18"/>
      <c r="AR45" s="9" t="s">
        <v>65</v>
      </c>
    </row>
    <row r="46" spans="2:44" x14ac:dyDescent="0.45">
      <c r="B46" s="9" t="s">
        <v>195</v>
      </c>
      <c r="C46" s="9" t="s">
        <v>196</v>
      </c>
      <c r="D46" s="9" t="s">
        <v>2</v>
      </c>
      <c r="E46" s="9" t="s">
        <v>51</v>
      </c>
      <c r="F46" s="12" t="s">
        <v>52</v>
      </c>
      <c r="G46" s="13" t="s">
        <v>124</v>
      </c>
      <c r="H46" s="9" t="s">
        <v>54</v>
      </c>
      <c r="I46" s="12" t="s">
        <v>70</v>
      </c>
      <c r="J46" s="12"/>
      <c r="K46" s="9" t="s">
        <v>56</v>
      </c>
      <c r="L46" s="9" t="s">
        <v>57</v>
      </c>
      <c r="M46" s="9" t="s">
        <v>58</v>
      </c>
      <c r="N46" s="14">
        <v>527000</v>
      </c>
      <c r="O46" s="12" t="s">
        <v>59</v>
      </c>
      <c r="P46" s="15">
        <v>42361</v>
      </c>
      <c r="Q46" s="16">
        <v>1</v>
      </c>
      <c r="R46" s="17">
        <v>46.2</v>
      </c>
      <c r="S46" s="12" t="s">
        <v>60</v>
      </c>
      <c r="T46" s="17">
        <v>87.67</v>
      </c>
      <c r="U46" s="11"/>
      <c r="V46" s="9" t="s">
        <v>61</v>
      </c>
      <c r="W46" s="16">
        <v>4.6620729999999999E-2</v>
      </c>
      <c r="X46" s="12" t="s">
        <v>62</v>
      </c>
      <c r="Y46" s="9" t="s">
        <v>56</v>
      </c>
      <c r="Z46" s="9" t="s">
        <v>197</v>
      </c>
      <c r="AA46" s="9" t="s">
        <v>198</v>
      </c>
      <c r="AB46" s="12"/>
      <c r="AC46" s="9" t="s">
        <v>56</v>
      </c>
      <c r="AD46" s="12"/>
      <c r="AE46" s="12" t="s">
        <v>82</v>
      </c>
      <c r="AF46" s="14"/>
      <c r="AG46" s="14"/>
      <c r="AH46" s="14">
        <v>0</v>
      </c>
      <c r="AI46" s="14"/>
      <c r="AL46" s="16"/>
      <c r="AM46" s="16">
        <v>4.7E-2</v>
      </c>
      <c r="AN46" s="16">
        <v>4.8187099999999997E-2</v>
      </c>
      <c r="AO46" s="16">
        <v>4.791285E-2</v>
      </c>
      <c r="AQ46" s="18"/>
      <c r="AR46" s="9" t="s">
        <v>65</v>
      </c>
    </row>
    <row r="47" spans="2:44" x14ac:dyDescent="0.45">
      <c r="B47" s="9" t="s">
        <v>199</v>
      </c>
      <c r="C47" s="9" t="s">
        <v>200</v>
      </c>
      <c r="D47" s="9" t="s">
        <v>2</v>
      </c>
      <c r="E47" s="9" t="s">
        <v>51</v>
      </c>
      <c r="F47" s="12" t="s">
        <v>52</v>
      </c>
      <c r="G47" s="13" t="s">
        <v>124</v>
      </c>
      <c r="H47" s="9" t="s">
        <v>54</v>
      </c>
      <c r="I47" s="12" t="s">
        <v>70</v>
      </c>
      <c r="J47" s="12"/>
      <c r="K47" s="9" t="s">
        <v>56</v>
      </c>
      <c r="L47" s="9" t="s">
        <v>57</v>
      </c>
      <c r="M47" s="9" t="s">
        <v>58</v>
      </c>
      <c r="N47" s="14">
        <v>412000</v>
      </c>
      <c r="O47" s="12" t="s">
        <v>59</v>
      </c>
      <c r="P47" s="15">
        <v>42353</v>
      </c>
      <c r="Q47" s="16">
        <v>1</v>
      </c>
      <c r="R47" s="17">
        <v>33.299999999999997</v>
      </c>
      <c r="S47" s="12" t="s">
        <v>60</v>
      </c>
      <c r="T47" s="17">
        <v>80.83</v>
      </c>
      <c r="U47" s="11"/>
      <c r="V47" s="9" t="s">
        <v>61</v>
      </c>
      <c r="W47" s="16">
        <v>4.6620729999999999E-2</v>
      </c>
      <c r="X47" s="12" t="s">
        <v>62</v>
      </c>
      <c r="Y47" s="9" t="s">
        <v>56</v>
      </c>
      <c r="Z47" s="9" t="s">
        <v>201</v>
      </c>
      <c r="AA47" s="9" t="s">
        <v>202</v>
      </c>
      <c r="AB47" s="12"/>
      <c r="AC47" s="9" t="s">
        <v>56</v>
      </c>
      <c r="AD47" s="12"/>
      <c r="AE47" s="12" t="s">
        <v>203</v>
      </c>
      <c r="AF47" s="14">
        <v>21</v>
      </c>
      <c r="AG47" s="14"/>
      <c r="AH47" s="14">
        <v>0</v>
      </c>
      <c r="AI47" s="14">
        <v>1</v>
      </c>
      <c r="AL47" s="16"/>
      <c r="AM47" s="16">
        <v>4.7E-2</v>
      </c>
      <c r="AN47" s="16">
        <v>4.8187099999999997E-2</v>
      </c>
      <c r="AO47" s="16">
        <v>4.791285E-2</v>
      </c>
      <c r="AQ47" s="18"/>
      <c r="AR47" s="9" t="s">
        <v>65</v>
      </c>
    </row>
    <row r="48" spans="2:44" x14ac:dyDescent="0.45">
      <c r="B48" s="19" t="s">
        <v>204</v>
      </c>
      <c r="C48" s="19" t="s">
        <v>205</v>
      </c>
      <c r="D48" s="19"/>
      <c r="E48" s="19"/>
      <c r="F48" s="20" t="s">
        <v>52</v>
      </c>
      <c r="G48" s="21" t="s">
        <v>69</v>
      </c>
      <c r="H48" s="19" t="s">
        <v>54</v>
      </c>
      <c r="I48" s="20" t="s">
        <v>70</v>
      </c>
      <c r="J48" s="20"/>
      <c r="K48" s="19" t="s">
        <v>56</v>
      </c>
      <c r="L48" s="19" t="s">
        <v>57</v>
      </c>
      <c r="M48" s="19" t="s">
        <v>58</v>
      </c>
      <c r="N48" s="22">
        <v>5933000</v>
      </c>
      <c r="O48" s="20" t="s">
        <v>59</v>
      </c>
      <c r="P48" s="23">
        <v>41981</v>
      </c>
      <c r="Q48" s="24">
        <v>1</v>
      </c>
      <c r="R48" s="25"/>
      <c r="S48" s="20" t="s">
        <v>60</v>
      </c>
      <c r="T48" s="25">
        <v>56.35</v>
      </c>
      <c r="U48" s="25"/>
      <c r="V48" s="19" t="s">
        <v>61</v>
      </c>
      <c r="W48" s="24"/>
      <c r="X48" s="20"/>
      <c r="Y48" s="19" t="s">
        <v>65</v>
      </c>
      <c r="Z48" s="19" t="s">
        <v>201</v>
      </c>
      <c r="AA48" s="19" t="s">
        <v>206</v>
      </c>
      <c r="AB48" s="20"/>
      <c r="AC48" s="19" t="s">
        <v>56</v>
      </c>
      <c r="AD48" s="20"/>
      <c r="AE48" s="20" t="s">
        <v>82</v>
      </c>
      <c r="AF48" s="14"/>
      <c r="AG48" s="14"/>
      <c r="AH48" s="14">
        <v>0</v>
      </c>
      <c r="AI48" s="14"/>
      <c r="AL48" s="16"/>
      <c r="AM48" s="16">
        <v>4.7E-2</v>
      </c>
      <c r="AN48" s="16">
        <v>4.8187099999999997E-2</v>
      </c>
      <c r="AO48" s="16">
        <v>4.791285E-2</v>
      </c>
      <c r="AQ48" s="18"/>
      <c r="AR48" s="9" t="s">
        <v>65</v>
      </c>
    </row>
    <row r="49" spans="2:44" x14ac:dyDescent="0.45">
      <c r="B49" s="19" t="s">
        <v>207</v>
      </c>
      <c r="C49" s="19" t="s">
        <v>205</v>
      </c>
      <c r="D49" s="19" t="s">
        <v>68</v>
      </c>
      <c r="E49" s="19" t="s">
        <v>51</v>
      </c>
      <c r="F49" s="20" t="s">
        <v>52</v>
      </c>
      <c r="G49" s="21" t="s">
        <v>69</v>
      </c>
      <c r="H49" s="19" t="s">
        <v>54</v>
      </c>
      <c r="I49" s="20" t="s">
        <v>70</v>
      </c>
      <c r="J49" s="20"/>
      <c r="K49" s="19" t="s">
        <v>56</v>
      </c>
      <c r="L49" s="19" t="s">
        <v>57</v>
      </c>
      <c r="M49" s="19" t="s">
        <v>58</v>
      </c>
      <c r="N49" s="22">
        <v>346000</v>
      </c>
      <c r="O49" s="20" t="s">
        <v>59</v>
      </c>
      <c r="P49" s="23">
        <v>41981</v>
      </c>
      <c r="Q49" s="24">
        <v>1</v>
      </c>
      <c r="R49" s="25"/>
      <c r="S49" s="20"/>
      <c r="T49" s="25"/>
      <c r="U49" s="26"/>
      <c r="V49" s="19" t="s">
        <v>61</v>
      </c>
      <c r="W49" s="24"/>
      <c r="X49" s="20"/>
      <c r="Y49" s="19" t="s">
        <v>65</v>
      </c>
      <c r="Z49" s="19" t="s">
        <v>201</v>
      </c>
      <c r="AA49" s="19" t="s">
        <v>206</v>
      </c>
      <c r="AB49" s="20"/>
      <c r="AC49" s="19" t="s">
        <v>56</v>
      </c>
      <c r="AD49" s="20"/>
      <c r="AE49" s="20" t="s">
        <v>82</v>
      </c>
      <c r="AF49" s="14"/>
      <c r="AG49" s="14"/>
      <c r="AH49" s="14">
        <v>0</v>
      </c>
      <c r="AI49" s="14"/>
      <c r="AL49" s="16"/>
      <c r="AM49" s="16">
        <v>4.7E-2</v>
      </c>
      <c r="AN49" s="16">
        <v>4.8187099999999997E-2</v>
      </c>
      <c r="AO49" s="16">
        <v>4.791285E-2</v>
      </c>
      <c r="AQ49" s="18"/>
      <c r="AR49" s="9" t="s">
        <v>65</v>
      </c>
    </row>
    <row r="50" spans="2:44" x14ac:dyDescent="0.45">
      <c r="B50" s="9" t="s">
        <v>208</v>
      </c>
      <c r="C50" s="9" t="s">
        <v>149</v>
      </c>
      <c r="D50" s="9" t="s">
        <v>2</v>
      </c>
      <c r="E50" s="9" t="s">
        <v>51</v>
      </c>
      <c r="F50" s="12" t="s">
        <v>52</v>
      </c>
      <c r="G50" s="13" t="s">
        <v>124</v>
      </c>
      <c r="H50" s="9" t="s">
        <v>54</v>
      </c>
      <c r="I50" s="12" t="s">
        <v>70</v>
      </c>
      <c r="J50" s="12"/>
      <c r="K50" s="9" t="s">
        <v>56</v>
      </c>
      <c r="L50" s="9" t="s">
        <v>57</v>
      </c>
      <c r="M50" s="9" t="s">
        <v>58</v>
      </c>
      <c r="N50" s="14">
        <v>404000</v>
      </c>
      <c r="O50" s="12" t="s">
        <v>59</v>
      </c>
      <c r="P50" s="15">
        <v>41884</v>
      </c>
      <c r="Q50" s="16">
        <v>1</v>
      </c>
      <c r="R50" s="17">
        <v>27.5</v>
      </c>
      <c r="S50" s="12" t="s">
        <v>60</v>
      </c>
      <c r="T50" s="17">
        <v>68.069999999999993</v>
      </c>
      <c r="U50" s="11"/>
      <c r="V50" s="9" t="s">
        <v>61</v>
      </c>
      <c r="W50" s="16">
        <v>4.812073E-2</v>
      </c>
      <c r="X50" s="12" t="s">
        <v>62</v>
      </c>
      <c r="Y50" s="9" t="s">
        <v>56</v>
      </c>
      <c r="Z50" s="9" t="s">
        <v>137</v>
      </c>
      <c r="AA50" s="9" t="s">
        <v>209</v>
      </c>
      <c r="AB50" s="12"/>
      <c r="AC50" s="9" t="s">
        <v>56</v>
      </c>
      <c r="AD50" s="12"/>
      <c r="AE50" s="12" t="s">
        <v>82</v>
      </c>
      <c r="AF50" s="14"/>
      <c r="AG50" s="14"/>
      <c r="AH50" s="14">
        <v>0</v>
      </c>
      <c r="AI50" s="14"/>
      <c r="AL50" s="16"/>
      <c r="AM50" s="16">
        <v>4.7E-2</v>
      </c>
      <c r="AN50" s="16">
        <v>4.8187099999999997E-2</v>
      </c>
      <c r="AO50" s="16">
        <v>4.791285E-2</v>
      </c>
      <c r="AQ50" s="18"/>
      <c r="AR50" s="9" t="s">
        <v>65</v>
      </c>
    </row>
    <row r="51" spans="2:44" x14ac:dyDescent="0.45">
      <c r="B51" s="9" t="s">
        <v>210</v>
      </c>
      <c r="C51" s="9" t="s">
        <v>211</v>
      </c>
      <c r="D51" s="9" t="s">
        <v>2</v>
      </c>
      <c r="E51" s="9" t="s">
        <v>51</v>
      </c>
      <c r="F51" s="12" t="s">
        <v>52</v>
      </c>
      <c r="G51" s="13" t="s">
        <v>69</v>
      </c>
      <c r="H51" s="9" t="s">
        <v>54</v>
      </c>
      <c r="I51" s="12" t="s">
        <v>70</v>
      </c>
      <c r="J51" s="12"/>
      <c r="K51" s="9" t="s">
        <v>56</v>
      </c>
      <c r="L51" s="9" t="s">
        <v>57</v>
      </c>
      <c r="M51" s="9" t="s">
        <v>58</v>
      </c>
      <c r="N51" s="14">
        <v>586000</v>
      </c>
      <c r="O51" s="12" t="s">
        <v>59</v>
      </c>
      <c r="P51" s="15">
        <v>41613</v>
      </c>
      <c r="Q51" s="16">
        <v>1</v>
      </c>
      <c r="R51" s="17">
        <v>39.299999999999997</v>
      </c>
      <c r="S51" s="12" t="s">
        <v>60</v>
      </c>
      <c r="T51" s="17">
        <v>67.06</v>
      </c>
      <c r="U51" s="11"/>
      <c r="V51" s="9" t="s">
        <v>61</v>
      </c>
      <c r="W51" s="16">
        <v>5.2365059999999998E-2</v>
      </c>
      <c r="X51" s="12" t="s">
        <v>62</v>
      </c>
      <c r="Y51" s="9" t="s">
        <v>56</v>
      </c>
      <c r="AA51" s="9" t="s">
        <v>212</v>
      </c>
      <c r="AB51" s="12"/>
      <c r="AC51" s="9" t="s">
        <v>56</v>
      </c>
      <c r="AD51" s="12"/>
      <c r="AE51" s="12" t="s">
        <v>127</v>
      </c>
      <c r="AF51" s="14"/>
      <c r="AG51" s="14"/>
      <c r="AH51" s="14">
        <v>0</v>
      </c>
      <c r="AI51" s="14"/>
      <c r="AL51" s="16"/>
      <c r="AM51" s="16">
        <v>4.7E-2</v>
      </c>
      <c r="AN51" s="16">
        <v>4.8187099999999997E-2</v>
      </c>
      <c r="AO51" s="16">
        <v>4.791285E-2</v>
      </c>
      <c r="AQ51" s="18"/>
      <c r="AR51" s="9" t="s">
        <v>65</v>
      </c>
    </row>
    <row r="52" spans="2:44" x14ac:dyDescent="0.45">
      <c r="B52" s="19" t="s">
        <v>213</v>
      </c>
      <c r="C52" s="19" t="s">
        <v>214</v>
      </c>
      <c r="D52" s="19"/>
      <c r="E52" s="19"/>
      <c r="F52" s="20" t="s">
        <v>52</v>
      </c>
      <c r="G52" s="21" t="s">
        <v>124</v>
      </c>
      <c r="H52" s="19" t="s">
        <v>54</v>
      </c>
      <c r="I52" s="20" t="s">
        <v>70</v>
      </c>
      <c r="J52" s="20"/>
      <c r="K52" s="19" t="s">
        <v>56</v>
      </c>
      <c r="L52" s="19" t="s">
        <v>57</v>
      </c>
      <c r="M52" s="19" t="s">
        <v>58</v>
      </c>
      <c r="N52" s="22">
        <v>4839000</v>
      </c>
      <c r="O52" s="20" t="s">
        <v>59</v>
      </c>
      <c r="P52" s="23">
        <v>41443</v>
      </c>
      <c r="Q52" s="24">
        <v>1</v>
      </c>
      <c r="R52" s="25"/>
      <c r="S52" s="20" t="s">
        <v>60</v>
      </c>
      <c r="T52" s="25">
        <v>64.27</v>
      </c>
      <c r="U52" s="25"/>
      <c r="V52" s="19" t="s">
        <v>61</v>
      </c>
      <c r="W52" s="24"/>
      <c r="X52" s="20"/>
      <c r="Y52" s="19" t="s">
        <v>65</v>
      </c>
      <c r="Z52" s="19" t="s">
        <v>215</v>
      </c>
      <c r="AA52" s="19" t="s">
        <v>216</v>
      </c>
      <c r="AB52" s="20"/>
      <c r="AC52" s="19" t="s">
        <v>56</v>
      </c>
      <c r="AD52" s="20"/>
      <c r="AE52" s="20" t="s">
        <v>82</v>
      </c>
      <c r="AF52" s="14"/>
      <c r="AG52" s="14"/>
      <c r="AH52" s="14">
        <v>0</v>
      </c>
      <c r="AI52" s="14">
        <v>1</v>
      </c>
      <c r="AL52" s="16"/>
      <c r="AM52" s="16">
        <v>4.7E-2</v>
      </c>
      <c r="AN52" s="16">
        <v>4.8187099999999997E-2</v>
      </c>
      <c r="AO52" s="16">
        <v>4.791285E-2</v>
      </c>
      <c r="AQ52" s="18"/>
      <c r="AR52" s="9" t="s">
        <v>65</v>
      </c>
    </row>
    <row r="53" spans="2:44" x14ac:dyDescent="0.45">
      <c r="B53" s="19" t="s">
        <v>217</v>
      </c>
      <c r="C53" s="19" t="s">
        <v>214</v>
      </c>
      <c r="D53" s="19" t="s">
        <v>2</v>
      </c>
      <c r="E53" s="19" t="s">
        <v>51</v>
      </c>
      <c r="F53" s="20" t="s">
        <v>52</v>
      </c>
      <c r="G53" s="21" t="s">
        <v>124</v>
      </c>
      <c r="H53" s="19" t="s">
        <v>54</v>
      </c>
      <c r="I53" s="20" t="s">
        <v>70</v>
      </c>
      <c r="J53" s="20"/>
      <c r="K53" s="19" t="s">
        <v>56</v>
      </c>
      <c r="L53" s="19" t="s">
        <v>57</v>
      </c>
      <c r="M53" s="19" t="s">
        <v>58</v>
      </c>
      <c r="N53" s="22">
        <v>575000</v>
      </c>
      <c r="O53" s="20" t="s">
        <v>59</v>
      </c>
      <c r="P53" s="23">
        <v>41443</v>
      </c>
      <c r="Q53" s="24">
        <v>1</v>
      </c>
      <c r="R53" s="25"/>
      <c r="S53" s="20"/>
      <c r="T53" s="25"/>
      <c r="U53" s="26"/>
      <c r="V53" s="19" t="s">
        <v>61</v>
      </c>
      <c r="W53" s="24"/>
      <c r="X53" s="20"/>
      <c r="Y53" s="19" t="s">
        <v>65</v>
      </c>
      <c r="Z53" s="19" t="s">
        <v>215</v>
      </c>
      <c r="AA53" s="19" t="s">
        <v>216</v>
      </c>
      <c r="AB53" s="20"/>
      <c r="AC53" s="19" t="s">
        <v>56</v>
      </c>
      <c r="AD53" s="20"/>
      <c r="AE53" s="20" t="s">
        <v>82</v>
      </c>
      <c r="AF53" s="14">
        <v>36.893999999999998</v>
      </c>
      <c r="AG53" s="14"/>
      <c r="AH53" s="14">
        <v>0</v>
      </c>
      <c r="AI53" s="14">
        <v>1</v>
      </c>
      <c r="AL53" s="16"/>
      <c r="AM53" s="16">
        <v>4.7E-2</v>
      </c>
      <c r="AN53" s="16">
        <v>4.8187099999999997E-2</v>
      </c>
      <c r="AO53" s="16">
        <v>4.791285E-2</v>
      </c>
      <c r="AQ53" s="18"/>
      <c r="AR53" s="9" t="s">
        <v>65</v>
      </c>
    </row>
    <row r="54" spans="2:44" x14ac:dyDescent="0.45">
      <c r="B54" s="9" t="s">
        <v>218</v>
      </c>
      <c r="C54" s="9" t="s">
        <v>219</v>
      </c>
      <c r="D54" s="9" t="s">
        <v>104</v>
      </c>
      <c r="E54" s="9" t="s">
        <v>51</v>
      </c>
      <c r="F54" s="12" t="s">
        <v>52</v>
      </c>
      <c r="G54" s="13" t="s">
        <v>105</v>
      </c>
      <c r="H54" s="9" t="s">
        <v>54</v>
      </c>
      <c r="I54" s="12" t="s">
        <v>70</v>
      </c>
      <c r="J54" s="12"/>
      <c r="K54" s="9" t="s">
        <v>56</v>
      </c>
      <c r="L54" s="9" t="s">
        <v>57</v>
      </c>
      <c r="M54" s="9" t="s">
        <v>58</v>
      </c>
      <c r="N54" s="14">
        <v>439000</v>
      </c>
      <c r="O54" s="12" t="s">
        <v>59</v>
      </c>
      <c r="P54" s="15">
        <v>39455</v>
      </c>
      <c r="Q54" s="16">
        <v>1</v>
      </c>
      <c r="R54" s="17">
        <v>25</v>
      </c>
      <c r="S54" s="12" t="s">
        <v>60</v>
      </c>
      <c r="T54" s="17">
        <v>56.95</v>
      </c>
      <c r="U54" s="11"/>
      <c r="V54" s="9" t="s">
        <v>61</v>
      </c>
      <c r="W54" s="16">
        <v>5.5911910000000002E-2</v>
      </c>
      <c r="X54" s="12" t="s">
        <v>62</v>
      </c>
      <c r="Y54" s="9" t="s">
        <v>56</v>
      </c>
      <c r="Z54" s="9" t="s">
        <v>220</v>
      </c>
      <c r="AB54" s="12"/>
      <c r="AC54" s="9" t="s">
        <v>56</v>
      </c>
      <c r="AD54" s="12"/>
      <c r="AE54" s="12" t="s">
        <v>82</v>
      </c>
      <c r="AF54" s="14"/>
      <c r="AG54" s="14"/>
      <c r="AH54" s="14">
        <v>0</v>
      </c>
      <c r="AI54" s="14"/>
      <c r="AL54" s="16"/>
      <c r="AM54" s="16">
        <v>4.7E-2</v>
      </c>
      <c r="AN54" s="16">
        <v>4.8187099999999997E-2</v>
      </c>
      <c r="AO54" s="16">
        <v>4.791285E-2</v>
      </c>
      <c r="AQ54" s="18"/>
      <c r="AR54" s="9" t="s">
        <v>65</v>
      </c>
    </row>
    <row r="55" spans="2:44" x14ac:dyDescent="0.45">
      <c r="B55" s="19" t="s">
        <v>221</v>
      </c>
      <c r="C55" s="19" t="s">
        <v>222</v>
      </c>
      <c r="D55" s="19" t="s">
        <v>223</v>
      </c>
      <c r="E55" s="19" t="s">
        <v>51</v>
      </c>
      <c r="F55" s="20" t="s">
        <v>52</v>
      </c>
      <c r="G55" s="21" t="s">
        <v>124</v>
      </c>
      <c r="H55" s="19" t="s">
        <v>135</v>
      </c>
      <c r="I55" s="20" t="s">
        <v>70</v>
      </c>
      <c r="J55" s="20"/>
      <c r="K55" s="19" t="s">
        <v>56</v>
      </c>
      <c r="L55" s="19" t="s">
        <v>57</v>
      </c>
      <c r="M55" s="19" t="s">
        <v>58</v>
      </c>
      <c r="N55" s="22">
        <v>2444000</v>
      </c>
      <c r="O55" s="20" t="s">
        <v>59</v>
      </c>
      <c r="P55" s="23">
        <v>39322</v>
      </c>
      <c r="Q55" s="24">
        <v>1</v>
      </c>
      <c r="R55" s="25"/>
      <c r="S55" s="20" t="s">
        <v>60</v>
      </c>
      <c r="T55" s="25">
        <v>161.66</v>
      </c>
      <c r="U55" s="25"/>
      <c r="V55" s="19" t="s">
        <v>61</v>
      </c>
      <c r="W55" s="24"/>
      <c r="X55" s="20"/>
      <c r="Y55" s="19" t="s">
        <v>65</v>
      </c>
      <c r="Z55" s="19" t="s">
        <v>224</v>
      </c>
      <c r="AA55" s="19" t="s">
        <v>225</v>
      </c>
      <c r="AB55" s="20"/>
      <c r="AC55" s="19" t="s">
        <v>56</v>
      </c>
      <c r="AD55" s="20"/>
      <c r="AE55" s="20" t="s">
        <v>82</v>
      </c>
      <c r="AF55" s="14"/>
      <c r="AG55" s="14"/>
      <c r="AH55" s="14">
        <v>0</v>
      </c>
      <c r="AI55" s="14"/>
      <c r="AL55" s="16"/>
      <c r="AM55" s="16">
        <v>4.7E-2</v>
      </c>
      <c r="AN55" s="16">
        <v>4.8187099999999997E-2</v>
      </c>
      <c r="AO55" s="16">
        <v>4.791285E-2</v>
      </c>
      <c r="AQ55" s="18"/>
      <c r="AR55" s="9" t="s">
        <v>65</v>
      </c>
    </row>
    <row r="56" spans="2:44" x14ac:dyDescent="0.45">
      <c r="B56" s="19" t="s">
        <v>226</v>
      </c>
      <c r="C56" s="19" t="s">
        <v>222</v>
      </c>
      <c r="D56" s="19" t="s">
        <v>2</v>
      </c>
      <c r="E56" s="19" t="s">
        <v>51</v>
      </c>
      <c r="F56" s="20" t="s">
        <v>52</v>
      </c>
      <c r="G56" s="21" t="s">
        <v>124</v>
      </c>
      <c r="H56" s="19" t="s">
        <v>54</v>
      </c>
      <c r="I56" s="20" t="s">
        <v>70</v>
      </c>
      <c r="J56" s="20"/>
      <c r="K56" s="19" t="s">
        <v>56</v>
      </c>
      <c r="L56" s="19" t="s">
        <v>57</v>
      </c>
      <c r="M56" s="19" t="s">
        <v>58</v>
      </c>
      <c r="N56" s="22">
        <v>400000</v>
      </c>
      <c r="O56" s="20" t="s">
        <v>59</v>
      </c>
      <c r="P56" s="23">
        <v>39322</v>
      </c>
      <c r="Q56" s="24">
        <v>1</v>
      </c>
      <c r="R56" s="25"/>
      <c r="S56" s="20"/>
      <c r="T56" s="25"/>
      <c r="U56" s="26"/>
      <c r="V56" s="19" t="s">
        <v>61</v>
      </c>
      <c r="W56" s="24"/>
      <c r="X56" s="20"/>
      <c r="Y56" s="19" t="s">
        <v>65</v>
      </c>
      <c r="Z56" s="19" t="s">
        <v>224</v>
      </c>
      <c r="AA56" s="19" t="s">
        <v>225</v>
      </c>
      <c r="AB56" s="20"/>
      <c r="AC56" s="19" t="s">
        <v>56</v>
      </c>
      <c r="AD56" s="20"/>
      <c r="AE56" s="20" t="s">
        <v>82</v>
      </c>
      <c r="AF56" s="14"/>
      <c r="AG56" s="14"/>
      <c r="AH56" s="14">
        <v>0</v>
      </c>
      <c r="AI56" s="14"/>
      <c r="AL56" s="16"/>
      <c r="AM56" s="16">
        <v>4.7E-2</v>
      </c>
      <c r="AN56" s="16">
        <v>4.8187099999999997E-2</v>
      </c>
      <c r="AO56" s="16">
        <v>4.791285E-2</v>
      </c>
      <c r="AQ56" s="18"/>
      <c r="AR56" s="9" t="s">
        <v>65</v>
      </c>
    </row>
    <row r="57" spans="2:44" x14ac:dyDescent="0.45">
      <c r="B57" s="9" t="s">
        <v>227</v>
      </c>
      <c r="C57" s="9" t="s">
        <v>228</v>
      </c>
      <c r="D57" s="9" t="s">
        <v>2</v>
      </c>
      <c r="E57" s="9" t="s">
        <v>51</v>
      </c>
      <c r="F57" s="12" t="s">
        <v>52</v>
      </c>
      <c r="G57" s="13" t="s">
        <v>124</v>
      </c>
      <c r="H57" s="9" t="s">
        <v>54</v>
      </c>
      <c r="I57" s="12" t="s">
        <v>70</v>
      </c>
      <c r="J57" s="12"/>
      <c r="K57" s="9" t="s">
        <v>56</v>
      </c>
      <c r="L57" s="9" t="s">
        <v>57</v>
      </c>
      <c r="M57" s="9" t="s">
        <v>58</v>
      </c>
      <c r="N57" s="14">
        <v>784000</v>
      </c>
      <c r="O57" s="12" t="s">
        <v>59</v>
      </c>
      <c r="P57" s="15">
        <v>39079</v>
      </c>
      <c r="Q57" s="16">
        <v>1</v>
      </c>
      <c r="R57" s="17">
        <v>54</v>
      </c>
      <c r="S57" s="12" t="s">
        <v>60</v>
      </c>
      <c r="T57" s="17">
        <v>68.88</v>
      </c>
      <c r="U57" s="11"/>
      <c r="V57" s="9" t="s">
        <v>61</v>
      </c>
      <c r="W57" s="16">
        <v>5.571152E-2</v>
      </c>
      <c r="X57" s="12" t="s">
        <v>62</v>
      </c>
      <c r="Y57" s="9" t="s">
        <v>56</v>
      </c>
      <c r="Z57" s="9" t="s">
        <v>229</v>
      </c>
      <c r="AA57" s="9" t="s">
        <v>230</v>
      </c>
      <c r="AB57" s="12"/>
      <c r="AC57" s="9" t="s">
        <v>56</v>
      </c>
      <c r="AD57" s="12"/>
      <c r="AE57" s="12" t="s">
        <v>82</v>
      </c>
      <c r="AF57" s="14"/>
      <c r="AG57" s="14"/>
      <c r="AH57" s="14">
        <v>0</v>
      </c>
      <c r="AI57" s="14"/>
      <c r="AL57" s="16"/>
      <c r="AM57" s="16">
        <v>4.7E-2</v>
      </c>
      <c r="AN57" s="16">
        <v>4.8187099999999997E-2</v>
      </c>
      <c r="AO57" s="16">
        <v>4.791285E-2</v>
      </c>
      <c r="AQ57" s="18"/>
      <c r="AR57" s="9" t="s">
        <v>65</v>
      </c>
    </row>
    <row r="58" spans="2:44" x14ac:dyDescent="0.45">
      <c r="B58" s="9" t="s">
        <v>210</v>
      </c>
      <c r="C58" s="9" t="s">
        <v>231</v>
      </c>
      <c r="D58" s="9" t="s">
        <v>2</v>
      </c>
      <c r="E58" s="9" t="s">
        <v>51</v>
      </c>
      <c r="F58" s="12" t="s">
        <v>52</v>
      </c>
      <c r="G58" s="13" t="s">
        <v>124</v>
      </c>
      <c r="H58" s="9" t="s">
        <v>54</v>
      </c>
      <c r="I58" s="12" t="s">
        <v>70</v>
      </c>
      <c r="J58" s="12"/>
      <c r="K58" s="9" t="s">
        <v>56</v>
      </c>
      <c r="L58" s="9" t="s">
        <v>57</v>
      </c>
      <c r="M58" s="9" t="s">
        <v>58</v>
      </c>
      <c r="N58" s="14">
        <v>584000</v>
      </c>
      <c r="O58" s="12" t="s">
        <v>59</v>
      </c>
      <c r="P58" s="15">
        <v>39022</v>
      </c>
      <c r="Q58" s="16">
        <v>1</v>
      </c>
      <c r="R58" s="17">
        <v>39.5</v>
      </c>
      <c r="S58" s="12" t="s">
        <v>60</v>
      </c>
      <c r="T58" s="17">
        <v>67.64</v>
      </c>
      <c r="U58" s="11"/>
      <c r="V58" s="9" t="s">
        <v>61</v>
      </c>
      <c r="W58" s="16">
        <v>5.571152E-2</v>
      </c>
      <c r="X58" s="12" t="s">
        <v>62</v>
      </c>
      <c r="Y58" s="9" t="s">
        <v>56</v>
      </c>
      <c r="Z58" s="9" t="s">
        <v>232</v>
      </c>
      <c r="AA58" s="9" t="s">
        <v>233</v>
      </c>
      <c r="AB58" s="12"/>
      <c r="AC58" s="9" t="s">
        <v>56</v>
      </c>
      <c r="AD58" s="12"/>
      <c r="AE58" s="12" t="s">
        <v>82</v>
      </c>
      <c r="AF58" s="14"/>
      <c r="AG58" s="14"/>
      <c r="AH58" s="14">
        <v>0</v>
      </c>
      <c r="AI58" s="14"/>
      <c r="AL58" s="16"/>
      <c r="AM58" s="16">
        <v>4.7E-2</v>
      </c>
      <c r="AN58" s="16">
        <v>4.8187099999999997E-2</v>
      </c>
      <c r="AO58" s="16">
        <v>4.791285E-2</v>
      </c>
      <c r="AQ58" s="18"/>
      <c r="AR58" s="9" t="s">
        <v>65</v>
      </c>
    </row>
    <row r="59" spans="2:44" x14ac:dyDescent="0.45">
      <c r="B59" s="9" t="s">
        <v>217</v>
      </c>
      <c r="C59" s="9" t="s">
        <v>214</v>
      </c>
      <c r="D59" s="9" t="s">
        <v>2</v>
      </c>
      <c r="E59" s="9" t="s">
        <v>51</v>
      </c>
      <c r="F59" s="12" t="s">
        <v>52</v>
      </c>
      <c r="G59" s="13" t="s">
        <v>124</v>
      </c>
      <c r="H59" s="9" t="s">
        <v>54</v>
      </c>
      <c r="I59" s="12" t="s">
        <v>70</v>
      </c>
      <c r="J59" s="12"/>
      <c r="K59" s="9" t="s">
        <v>56</v>
      </c>
      <c r="L59" s="9" t="s">
        <v>57</v>
      </c>
      <c r="M59" s="9" t="s">
        <v>58</v>
      </c>
      <c r="N59" s="14">
        <v>575000</v>
      </c>
      <c r="O59" s="12" t="s">
        <v>59</v>
      </c>
      <c r="P59" s="15">
        <v>38508</v>
      </c>
      <c r="Q59" s="16">
        <v>1</v>
      </c>
      <c r="R59" s="17">
        <v>48.6</v>
      </c>
      <c r="S59" s="12" t="s">
        <v>60</v>
      </c>
      <c r="T59" s="17">
        <v>84.52</v>
      </c>
      <c r="U59" s="11"/>
      <c r="V59" s="9" t="s">
        <v>61</v>
      </c>
      <c r="W59" s="16">
        <v>6.2362790000000001E-2</v>
      </c>
      <c r="X59" s="12" t="s">
        <v>62</v>
      </c>
      <c r="Y59" s="9" t="s">
        <v>56</v>
      </c>
      <c r="Z59" s="9" t="s">
        <v>234</v>
      </c>
      <c r="AA59" s="9" t="s">
        <v>216</v>
      </c>
      <c r="AB59" s="12"/>
      <c r="AC59" s="9" t="s">
        <v>56</v>
      </c>
      <c r="AD59" s="12"/>
      <c r="AE59" s="12" t="s">
        <v>82</v>
      </c>
      <c r="AF59" s="14"/>
      <c r="AG59" s="14"/>
      <c r="AH59" s="14">
        <v>0</v>
      </c>
      <c r="AI59" s="14"/>
      <c r="AL59" s="16"/>
      <c r="AM59" s="16">
        <v>4.7E-2</v>
      </c>
      <c r="AN59" s="16">
        <v>4.8187099999999997E-2</v>
      </c>
      <c r="AO59" s="16">
        <v>4.791285E-2</v>
      </c>
      <c r="AQ59" s="18"/>
      <c r="AR59" s="9" t="s">
        <v>65</v>
      </c>
    </row>
    <row r="60" spans="2:44" x14ac:dyDescent="0.45">
      <c r="B60" s="27" t="s">
        <v>235</v>
      </c>
      <c r="C60" s="27" t="s">
        <v>236</v>
      </c>
      <c r="D60" s="27" t="s">
        <v>7</v>
      </c>
      <c r="E60" s="27" t="s">
        <v>51</v>
      </c>
      <c r="F60" s="28" t="s">
        <v>52</v>
      </c>
      <c r="G60" s="29" t="s">
        <v>237</v>
      </c>
      <c r="H60" s="27" t="s">
        <v>54</v>
      </c>
      <c r="I60" s="28" t="s">
        <v>70</v>
      </c>
      <c r="J60" s="28" t="s">
        <v>71</v>
      </c>
      <c r="K60" s="27" t="s">
        <v>56</v>
      </c>
      <c r="L60" s="27" t="s">
        <v>238</v>
      </c>
      <c r="M60" s="27" t="s">
        <v>239</v>
      </c>
      <c r="N60" s="30">
        <v>29158</v>
      </c>
      <c r="O60" s="28" t="s">
        <v>59</v>
      </c>
      <c r="P60" s="31">
        <v>45545</v>
      </c>
      <c r="Q60" s="32">
        <v>1</v>
      </c>
      <c r="R60" s="33">
        <v>12.85</v>
      </c>
      <c r="S60" s="28" t="s">
        <v>60</v>
      </c>
      <c r="T60" s="33">
        <v>440.7</v>
      </c>
      <c r="U60" s="34"/>
      <c r="V60" s="27" t="s">
        <v>240</v>
      </c>
      <c r="W60" s="32">
        <v>4.0429140000000002E-2</v>
      </c>
      <c r="X60" s="28" t="s">
        <v>62</v>
      </c>
      <c r="Y60" s="27" t="s">
        <v>56</v>
      </c>
      <c r="Z60" s="27" t="s">
        <v>241</v>
      </c>
      <c r="AA60" s="27"/>
      <c r="AB60" s="28"/>
      <c r="AC60" s="27" t="s">
        <v>56</v>
      </c>
      <c r="AD60" s="28"/>
      <c r="AE60" s="28"/>
      <c r="AF60" s="30">
        <v>1.48</v>
      </c>
      <c r="AG60" s="30">
        <v>1</v>
      </c>
      <c r="AH60" s="30"/>
      <c r="AI60" s="30">
        <v>1</v>
      </c>
      <c r="AJ60" s="27">
        <v>1978</v>
      </c>
      <c r="AK60" s="27"/>
      <c r="AL60" s="32"/>
      <c r="AM60" s="32">
        <v>4.2000000000000003E-2</v>
      </c>
      <c r="AN60" s="32">
        <v>4.1553270000000003E-2</v>
      </c>
      <c r="AO60" s="32">
        <v>4.1235069999999999E-2</v>
      </c>
      <c r="AP60" s="27"/>
      <c r="AQ60" s="35"/>
      <c r="AR60" s="27" t="s">
        <v>65</v>
      </c>
    </row>
    <row r="61" spans="2:44" x14ac:dyDescent="0.45">
      <c r="B61" s="36" t="s">
        <v>242</v>
      </c>
      <c r="C61" s="36" t="s">
        <v>243</v>
      </c>
      <c r="D61" s="36" t="s">
        <v>244</v>
      </c>
      <c r="E61" s="36" t="s">
        <v>51</v>
      </c>
      <c r="F61" s="37" t="s">
        <v>52</v>
      </c>
      <c r="G61" s="38" t="s">
        <v>245</v>
      </c>
      <c r="H61" s="36" t="s">
        <v>54</v>
      </c>
      <c r="I61" s="37" t="s">
        <v>70</v>
      </c>
      <c r="J61" s="37" t="s">
        <v>71</v>
      </c>
      <c r="K61" s="36" t="s">
        <v>56</v>
      </c>
      <c r="L61" s="36" t="s">
        <v>238</v>
      </c>
      <c r="M61" s="36" t="s">
        <v>239</v>
      </c>
      <c r="N61" s="39">
        <v>71407.899999999994</v>
      </c>
      <c r="O61" s="37" t="s">
        <v>59</v>
      </c>
      <c r="P61" s="40">
        <v>45478</v>
      </c>
      <c r="Q61" s="41">
        <v>1</v>
      </c>
      <c r="R61" s="42">
        <v>19.71</v>
      </c>
      <c r="S61" s="37" t="s">
        <v>60</v>
      </c>
      <c r="T61" s="42">
        <v>276.02999999999997</v>
      </c>
      <c r="U61" s="43"/>
      <c r="V61" s="36" t="s">
        <v>240</v>
      </c>
      <c r="W61" s="41">
        <v>4.1116850000000003E-2</v>
      </c>
      <c r="X61" s="37" t="s">
        <v>62</v>
      </c>
      <c r="Y61" s="36" t="s">
        <v>56</v>
      </c>
      <c r="Z61" s="36" t="s">
        <v>246</v>
      </c>
      <c r="AA61" s="36" t="s">
        <v>247</v>
      </c>
      <c r="AB61" s="37"/>
      <c r="AC61" s="36" t="s">
        <v>56</v>
      </c>
      <c r="AD61" s="37"/>
      <c r="AE61" s="37"/>
      <c r="AF61" s="39">
        <v>2.6981999999999999</v>
      </c>
      <c r="AG61" s="39">
        <v>1</v>
      </c>
      <c r="AH61" s="39"/>
      <c r="AI61" s="39">
        <v>1</v>
      </c>
      <c r="AJ61" s="36">
        <v>1959</v>
      </c>
      <c r="AK61" s="36"/>
      <c r="AL61" s="41"/>
      <c r="AM61" s="41">
        <v>4.2000000000000003E-2</v>
      </c>
      <c r="AN61" s="41">
        <v>4.1553270000000003E-2</v>
      </c>
      <c r="AO61" s="41">
        <v>4.1235069999999999E-2</v>
      </c>
      <c r="AP61" s="36"/>
      <c r="AQ61" s="44"/>
      <c r="AR61" s="36" t="s">
        <v>65</v>
      </c>
    </row>
    <row r="62" spans="2:44" x14ac:dyDescent="0.45">
      <c r="B62" s="36" t="s">
        <v>248</v>
      </c>
      <c r="C62" s="36" t="s">
        <v>249</v>
      </c>
      <c r="D62" s="36" t="s">
        <v>244</v>
      </c>
      <c r="E62" s="36" t="s">
        <v>51</v>
      </c>
      <c r="F62" s="37" t="s">
        <v>52</v>
      </c>
      <c r="G62" s="38" t="s">
        <v>245</v>
      </c>
      <c r="H62" s="36" t="s">
        <v>54</v>
      </c>
      <c r="I62" s="37" t="s">
        <v>70</v>
      </c>
      <c r="J62" s="37" t="s">
        <v>158</v>
      </c>
      <c r="K62" s="36" t="s">
        <v>56</v>
      </c>
      <c r="L62" s="36" t="s">
        <v>238</v>
      </c>
      <c r="M62" s="36" t="s">
        <v>239</v>
      </c>
      <c r="N62" s="39">
        <v>126015</v>
      </c>
      <c r="O62" s="37" t="s">
        <v>59</v>
      </c>
      <c r="P62" s="40">
        <v>45251</v>
      </c>
      <c r="Q62" s="41">
        <v>1</v>
      </c>
      <c r="R62" s="42">
        <v>55</v>
      </c>
      <c r="S62" s="37" t="s">
        <v>60</v>
      </c>
      <c r="T62" s="42">
        <v>436.46</v>
      </c>
      <c r="U62" s="43"/>
      <c r="V62" s="36" t="s">
        <v>240</v>
      </c>
      <c r="W62" s="41">
        <v>3.9614620000000003E-2</v>
      </c>
      <c r="X62" s="37" t="s">
        <v>62</v>
      </c>
      <c r="Y62" s="36" t="s">
        <v>56</v>
      </c>
      <c r="Z62" s="36" t="s">
        <v>250</v>
      </c>
      <c r="AA62" s="36" t="s">
        <v>251</v>
      </c>
      <c r="AB62" s="37"/>
      <c r="AC62" s="36" t="s">
        <v>56</v>
      </c>
      <c r="AD62" s="37"/>
      <c r="AE62" s="37" t="s">
        <v>82</v>
      </c>
      <c r="AF62" s="39">
        <v>7.5</v>
      </c>
      <c r="AG62" s="39">
        <v>1</v>
      </c>
      <c r="AH62" s="39"/>
      <c r="AI62" s="39">
        <v>4</v>
      </c>
      <c r="AJ62" s="36">
        <v>1969</v>
      </c>
      <c r="AK62" s="36">
        <v>1974</v>
      </c>
      <c r="AL62" s="41"/>
      <c r="AM62" s="41">
        <v>4.2000000000000003E-2</v>
      </c>
      <c r="AN62" s="41">
        <v>4.1553270000000003E-2</v>
      </c>
      <c r="AO62" s="41">
        <v>4.1235069999999999E-2</v>
      </c>
      <c r="AP62" s="36"/>
      <c r="AQ62" s="44"/>
      <c r="AR62" s="36" t="s">
        <v>65</v>
      </c>
    </row>
    <row r="63" spans="2:44" x14ac:dyDescent="0.45">
      <c r="B63" s="36" t="s">
        <v>252</v>
      </c>
      <c r="C63" s="36" t="s">
        <v>253</v>
      </c>
      <c r="D63" s="36" t="s">
        <v>7</v>
      </c>
      <c r="E63" s="36" t="s">
        <v>51</v>
      </c>
      <c r="F63" s="37" t="s">
        <v>52</v>
      </c>
      <c r="G63" s="38" t="s">
        <v>254</v>
      </c>
      <c r="H63" s="36" t="s">
        <v>54</v>
      </c>
      <c r="I63" s="37" t="s">
        <v>70</v>
      </c>
      <c r="J63" s="37" t="s">
        <v>71</v>
      </c>
      <c r="K63" s="36" t="s">
        <v>56</v>
      </c>
      <c r="L63" s="36" t="s">
        <v>238</v>
      </c>
      <c r="M63" s="36" t="s">
        <v>239</v>
      </c>
      <c r="N63" s="39">
        <v>100254</v>
      </c>
      <c r="O63" s="37" t="s">
        <v>59</v>
      </c>
      <c r="P63" s="40">
        <v>45245</v>
      </c>
      <c r="Q63" s="41">
        <v>1</v>
      </c>
      <c r="R63" s="42">
        <v>12.02</v>
      </c>
      <c r="S63" s="37" t="s">
        <v>60</v>
      </c>
      <c r="T63" s="42">
        <v>119.92</v>
      </c>
      <c r="U63" s="43"/>
      <c r="V63" s="36" t="s">
        <v>240</v>
      </c>
      <c r="W63" s="41">
        <v>3.9614620000000003E-2</v>
      </c>
      <c r="X63" s="37" t="s">
        <v>62</v>
      </c>
      <c r="Y63" s="36" t="s">
        <v>56</v>
      </c>
      <c r="Z63" s="36"/>
      <c r="AA63" s="36" t="s">
        <v>255</v>
      </c>
      <c r="AB63" s="37"/>
      <c r="AC63" s="36" t="s">
        <v>56</v>
      </c>
      <c r="AD63" s="37"/>
      <c r="AE63" s="37" t="s">
        <v>203</v>
      </c>
      <c r="AF63" s="39">
        <v>2.3003</v>
      </c>
      <c r="AG63" s="39">
        <v>1</v>
      </c>
      <c r="AH63" s="39"/>
      <c r="AI63" s="39"/>
      <c r="AJ63" s="36">
        <v>1953</v>
      </c>
      <c r="AK63" s="36"/>
      <c r="AL63" s="41"/>
      <c r="AM63" s="41">
        <v>4.2000000000000003E-2</v>
      </c>
      <c r="AN63" s="41">
        <v>4.1553270000000003E-2</v>
      </c>
      <c r="AO63" s="41">
        <v>4.1235069999999999E-2</v>
      </c>
      <c r="AP63" s="36"/>
      <c r="AQ63" s="44"/>
      <c r="AR63" s="36" t="s">
        <v>65</v>
      </c>
    </row>
    <row r="64" spans="2:44" x14ac:dyDescent="0.45">
      <c r="B64" s="36" t="s">
        <v>256</v>
      </c>
      <c r="C64" s="36" t="s">
        <v>257</v>
      </c>
      <c r="D64" s="36" t="s">
        <v>258</v>
      </c>
      <c r="E64" s="36" t="s">
        <v>51</v>
      </c>
      <c r="F64" s="37" t="s">
        <v>52</v>
      </c>
      <c r="G64" s="38" t="s">
        <v>259</v>
      </c>
      <c r="H64" s="36" t="s">
        <v>54</v>
      </c>
      <c r="I64" s="37" t="s">
        <v>70</v>
      </c>
      <c r="J64" s="37" t="s">
        <v>71</v>
      </c>
      <c r="K64" s="36" t="s">
        <v>56</v>
      </c>
      <c r="L64" s="36" t="s">
        <v>238</v>
      </c>
      <c r="M64" s="36" t="s">
        <v>239</v>
      </c>
      <c r="N64" s="39">
        <v>27388</v>
      </c>
      <c r="O64" s="37" t="s">
        <v>59</v>
      </c>
      <c r="P64" s="40">
        <v>45230</v>
      </c>
      <c r="Q64" s="41">
        <v>1</v>
      </c>
      <c r="R64" s="42">
        <v>11.55</v>
      </c>
      <c r="S64" s="37" t="s">
        <v>60</v>
      </c>
      <c r="T64" s="42">
        <v>421.72</v>
      </c>
      <c r="U64" s="43"/>
      <c r="V64" s="36" t="s">
        <v>240</v>
      </c>
      <c r="W64" s="41">
        <v>3.8264640000000003E-2</v>
      </c>
      <c r="X64" s="37" t="s">
        <v>62</v>
      </c>
      <c r="Y64" s="36" t="s">
        <v>56</v>
      </c>
      <c r="Z64" s="36"/>
      <c r="AA64" s="36" t="s">
        <v>260</v>
      </c>
      <c r="AB64" s="37"/>
      <c r="AC64" s="36" t="s">
        <v>56</v>
      </c>
      <c r="AD64" s="37"/>
      <c r="AE64" s="37"/>
      <c r="AF64" s="39">
        <v>0.85489999999999999</v>
      </c>
      <c r="AG64" s="39">
        <v>2</v>
      </c>
      <c r="AH64" s="39"/>
      <c r="AI64" s="39">
        <v>1</v>
      </c>
      <c r="AJ64" s="36">
        <v>2002</v>
      </c>
      <c r="AK64" s="36"/>
      <c r="AL64" s="41"/>
      <c r="AM64" s="41">
        <v>4.2000000000000003E-2</v>
      </c>
      <c r="AN64" s="41">
        <v>4.1553270000000003E-2</v>
      </c>
      <c r="AO64" s="41">
        <v>4.1235069999999999E-2</v>
      </c>
      <c r="AP64" s="36"/>
      <c r="AQ64" s="44"/>
      <c r="AR64" s="36" t="s">
        <v>65</v>
      </c>
    </row>
    <row r="65" spans="2:44" x14ac:dyDescent="0.45">
      <c r="B65" s="36" t="s">
        <v>261</v>
      </c>
      <c r="C65" s="36" t="s">
        <v>262</v>
      </c>
      <c r="D65" s="36" t="s">
        <v>244</v>
      </c>
      <c r="E65" s="36" t="s">
        <v>51</v>
      </c>
      <c r="F65" s="37" t="s">
        <v>52</v>
      </c>
      <c r="G65" s="38" t="s">
        <v>245</v>
      </c>
      <c r="H65" s="36" t="s">
        <v>54</v>
      </c>
      <c r="I65" s="37" t="s">
        <v>70</v>
      </c>
      <c r="J65" s="37" t="s">
        <v>71</v>
      </c>
      <c r="K65" s="36" t="s">
        <v>56</v>
      </c>
      <c r="L65" s="36" t="s">
        <v>238</v>
      </c>
      <c r="M65" s="36" t="s">
        <v>239</v>
      </c>
      <c r="N65" s="39">
        <v>53978</v>
      </c>
      <c r="O65" s="37" t="s">
        <v>59</v>
      </c>
      <c r="P65" s="40">
        <v>45208</v>
      </c>
      <c r="Q65" s="41">
        <v>1</v>
      </c>
      <c r="R65" s="42">
        <v>20</v>
      </c>
      <c r="S65" s="37" t="s">
        <v>60</v>
      </c>
      <c r="T65" s="42">
        <v>370.52</v>
      </c>
      <c r="U65" s="43"/>
      <c r="V65" s="36" t="s">
        <v>240</v>
      </c>
      <c r="W65" s="41">
        <v>3.8264640000000003E-2</v>
      </c>
      <c r="X65" s="37" t="s">
        <v>62</v>
      </c>
      <c r="Y65" s="36" t="s">
        <v>56</v>
      </c>
      <c r="Z65" s="36" t="s">
        <v>263</v>
      </c>
      <c r="AA65" s="36" t="s">
        <v>264</v>
      </c>
      <c r="AB65" s="37"/>
      <c r="AC65" s="36" t="s">
        <v>56</v>
      </c>
      <c r="AD65" s="37" t="s">
        <v>265</v>
      </c>
      <c r="AE65" s="37" t="s">
        <v>266</v>
      </c>
      <c r="AF65" s="39">
        <v>2.4700000000000002</v>
      </c>
      <c r="AG65" s="39">
        <v>1</v>
      </c>
      <c r="AH65" s="39"/>
      <c r="AI65" s="39">
        <v>1</v>
      </c>
      <c r="AJ65" s="36">
        <v>2002</v>
      </c>
      <c r="AK65" s="36">
        <v>2020</v>
      </c>
      <c r="AL65" s="41"/>
      <c r="AM65" s="41">
        <v>4.2000000000000003E-2</v>
      </c>
      <c r="AN65" s="41">
        <v>4.1553270000000003E-2</v>
      </c>
      <c r="AO65" s="41">
        <v>4.1235069999999999E-2</v>
      </c>
      <c r="AP65" s="36"/>
      <c r="AQ65" s="44"/>
      <c r="AR65" s="36" t="s">
        <v>65</v>
      </c>
    </row>
    <row r="66" spans="2:44" x14ac:dyDescent="0.45">
      <c r="B66" s="36" t="s">
        <v>267</v>
      </c>
      <c r="C66" s="36" t="s">
        <v>268</v>
      </c>
      <c r="D66" s="36" t="s">
        <v>7</v>
      </c>
      <c r="E66" s="36" t="s">
        <v>51</v>
      </c>
      <c r="F66" s="37" t="s">
        <v>52</v>
      </c>
      <c r="G66" s="38" t="s">
        <v>237</v>
      </c>
      <c r="H66" s="36" t="s">
        <v>54</v>
      </c>
      <c r="I66" s="37" t="s">
        <v>70</v>
      </c>
      <c r="J66" s="37" t="s">
        <v>71</v>
      </c>
      <c r="K66" s="36" t="s">
        <v>56</v>
      </c>
      <c r="L66" s="36" t="s">
        <v>238</v>
      </c>
      <c r="M66" s="36" t="s">
        <v>239</v>
      </c>
      <c r="N66" s="39">
        <v>116433</v>
      </c>
      <c r="O66" s="37" t="s">
        <v>59</v>
      </c>
      <c r="P66" s="40">
        <v>45147</v>
      </c>
      <c r="Q66" s="41">
        <v>1</v>
      </c>
      <c r="R66" s="42">
        <v>88</v>
      </c>
      <c r="S66" s="37" t="s">
        <v>60</v>
      </c>
      <c r="T66" s="42">
        <v>755.8</v>
      </c>
      <c r="U66" s="43"/>
      <c r="V66" s="36" t="s">
        <v>240</v>
      </c>
      <c r="W66" s="41">
        <v>2.8437919999999998E-2</v>
      </c>
      <c r="X66" s="37" t="s">
        <v>62</v>
      </c>
      <c r="Y66" s="36" t="s">
        <v>56</v>
      </c>
      <c r="Z66" s="36" t="s">
        <v>269</v>
      </c>
      <c r="AA66" s="36" t="s">
        <v>270</v>
      </c>
      <c r="AB66" s="37"/>
      <c r="AC66" s="36" t="s">
        <v>56</v>
      </c>
      <c r="AD66" s="37"/>
      <c r="AE66" s="37"/>
      <c r="AF66" s="39">
        <v>8.1351999999999993</v>
      </c>
      <c r="AG66" s="39">
        <v>2</v>
      </c>
      <c r="AH66" s="39"/>
      <c r="AI66" s="39"/>
      <c r="AJ66" s="36">
        <v>2000</v>
      </c>
      <c r="AK66" s="36"/>
      <c r="AL66" s="41"/>
      <c r="AM66" s="41">
        <v>4.2000000000000003E-2</v>
      </c>
      <c r="AN66" s="41">
        <v>4.1553270000000003E-2</v>
      </c>
      <c r="AO66" s="41">
        <v>4.1235069999999999E-2</v>
      </c>
      <c r="AP66" s="36"/>
      <c r="AQ66" s="44"/>
      <c r="AR66" s="36" t="s">
        <v>65</v>
      </c>
    </row>
    <row r="67" spans="2:44" x14ac:dyDescent="0.45">
      <c r="B67" s="36" t="s">
        <v>271</v>
      </c>
      <c r="C67" s="36" t="s">
        <v>272</v>
      </c>
      <c r="D67" s="36" t="s">
        <v>244</v>
      </c>
      <c r="E67" s="36" t="s">
        <v>51</v>
      </c>
      <c r="F67" s="37" t="s">
        <v>52</v>
      </c>
      <c r="G67" s="38" t="s">
        <v>245</v>
      </c>
      <c r="H67" s="36" t="s">
        <v>54</v>
      </c>
      <c r="I67" s="37" t="s">
        <v>55</v>
      </c>
      <c r="J67" s="37" t="s">
        <v>158</v>
      </c>
      <c r="K67" s="36" t="s">
        <v>56</v>
      </c>
      <c r="L67" s="36" t="s">
        <v>238</v>
      </c>
      <c r="M67" s="36" t="s">
        <v>239</v>
      </c>
      <c r="N67" s="39">
        <v>11746</v>
      </c>
      <c r="O67" s="37" t="s">
        <v>59</v>
      </c>
      <c r="P67" s="40">
        <v>45009</v>
      </c>
      <c r="Q67" s="41">
        <v>1</v>
      </c>
      <c r="R67" s="42">
        <v>5.5</v>
      </c>
      <c r="S67" s="37" t="s">
        <v>60</v>
      </c>
      <c r="T67" s="42">
        <v>468.24</v>
      </c>
      <c r="U67" s="43"/>
      <c r="V67" s="36" t="s">
        <v>240</v>
      </c>
      <c r="W67" s="41">
        <v>6.2E-2</v>
      </c>
      <c r="X67" s="37" t="s">
        <v>79</v>
      </c>
      <c r="Y67" s="36" t="s">
        <v>56</v>
      </c>
      <c r="Z67" s="36"/>
      <c r="AA67" s="36" t="s">
        <v>273</v>
      </c>
      <c r="AB67" s="37"/>
      <c r="AC67" s="36" t="s">
        <v>56</v>
      </c>
      <c r="AD67" s="37"/>
      <c r="AE67" s="37" t="s">
        <v>82</v>
      </c>
      <c r="AF67" s="39">
        <v>0.41830000000000001</v>
      </c>
      <c r="AG67" s="39">
        <v>2</v>
      </c>
      <c r="AH67" s="39"/>
      <c r="AI67" s="39">
        <v>2</v>
      </c>
      <c r="AJ67" s="36">
        <v>1982</v>
      </c>
      <c r="AK67" s="36"/>
      <c r="AL67" s="41"/>
      <c r="AM67" s="41">
        <v>4.2000000000000003E-2</v>
      </c>
      <c r="AN67" s="41">
        <v>4.1553270000000003E-2</v>
      </c>
      <c r="AO67" s="41">
        <v>4.1235069999999999E-2</v>
      </c>
      <c r="AP67" s="36"/>
      <c r="AQ67" s="44"/>
      <c r="AR67" s="36" t="s">
        <v>65</v>
      </c>
    </row>
    <row r="68" spans="2:44" x14ac:dyDescent="0.45">
      <c r="B68" s="36" t="s">
        <v>274</v>
      </c>
      <c r="C68" s="36" t="s">
        <v>275</v>
      </c>
      <c r="D68" s="36" t="s">
        <v>244</v>
      </c>
      <c r="E68" s="36" t="s">
        <v>51</v>
      </c>
      <c r="F68" s="37" t="s">
        <v>52</v>
      </c>
      <c r="G68" s="38" t="s">
        <v>245</v>
      </c>
      <c r="H68" s="36" t="s">
        <v>54</v>
      </c>
      <c r="I68" s="37" t="s">
        <v>70</v>
      </c>
      <c r="J68" s="37" t="s">
        <v>71</v>
      </c>
      <c r="K68" s="36" t="s">
        <v>56</v>
      </c>
      <c r="L68" s="36" t="s">
        <v>238</v>
      </c>
      <c r="M68" s="36" t="s">
        <v>239</v>
      </c>
      <c r="N68" s="39">
        <v>34900</v>
      </c>
      <c r="O68" s="37" t="s">
        <v>59</v>
      </c>
      <c r="P68" s="40">
        <v>45008</v>
      </c>
      <c r="Q68" s="41">
        <v>1</v>
      </c>
      <c r="R68" s="42">
        <v>18.3</v>
      </c>
      <c r="S68" s="37" t="s">
        <v>60</v>
      </c>
      <c r="T68" s="42">
        <v>524.36</v>
      </c>
      <c r="U68" s="43"/>
      <c r="V68" s="36" t="s">
        <v>240</v>
      </c>
      <c r="W68" s="41">
        <v>2.9437919999999999E-2</v>
      </c>
      <c r="X68" s="37" t="s">
        <v>62</v>
      </c>
      <c r="Y68" s="36" t="s">
        <v>56</v>
      </c>
      <c r="Z68" s="36" t="s">
        <v>276</v>
      </c>
      <c r="AA68" s="36" t="s">
        <v>277</v>
      </c>
      <c r="AB68" s="37"/>
      <c r="AC68" s="36" t="s">
        <v>56</v>
      </c>
      <c r="AD68" s="37"/>
      <c r="AE68" s="37"/>
      <c r="AF68" s="39">
        <v>2.4900000000000002</v>
      </c>
      <c r="AG68" s="39"/>
      <c r="AH68" s="39"/>
      <c r="AI68" s="39"/>
      <c r="AJ68" s="36">
        <v>1959</v>
      </c>
      <c r="AK68" s="36"/>
      <c r="AL68" s="41"/>
      <c r="AM68" s="41">
        <v>4.2000000000000003E-2</v>
      </c>
      <c r="AN68" s="41">
        <v>4.1553270000000003E-2</v>
      </c>
      <c r="AO68" s="41">
        <v>4.1235069999999999E-2</v>
      </c>
      <c r="AP68" s="36"/>
      <c r="AQ68" s="44"/>
      <c r="AR68" s="36" t="s">
        <v>65</v>
      </c>
    </row>
    <row r="69" spans="2:44" x14ac:dyDescent="0.45">
      <c r="B69" s="36" t="s">
        <v>278</v>
      </c>
      <c r="C69" s="36" t="s">
        <v>279</v>
      </c>
      <c r="D69" s="36" t="s">
        <v>7</v>
      </c>
      <c r="E69" s="36" t="s">
        <v>51</v>
      </c>
      <c r="F69" s="37" t="s">
        <v>52</v>
      </c>
      <c r="G69" s="38" t="s">
        <v>254</v>
      </c>
      <c r="H69" s="36" t="s">
        <v>54</v>
      </c>
      <c r="I69" s="37" t="s">
        <v>70</v>
      </c>
      <c r="J69" s="37" t="s">
        <v>71</v>
      </c>
      <c r="K69" s="36" t="s">
        <v>56</v>
      </c>
      <c r="L69" s="36" t="s">
        <v>238</v>
      </c>
      <c r="M69" s="36" t="s">
        <v>239</v>
      </c>
      <c r="N69" s="39">
        <v>12000</v>
      </c>
      <c r="O69" s="37" t="s">
        <v>59</v>
      </c>
      <c r="P69" s="40">
        <v>44958</v>
      </c>
      <c r="Q69" s="41">
        <v>1</v>
      </c>
      <c r="R69" s="42">
        <v>5.65</v>
      </c>
      <c r="S69" s="37" t="s">
        <v>60</v>
      </c>
      <c r="T69" s="42">
        <v>471</v>
      </c>
      <c r="U69" s="43"/>
      <c r="V69" s="36" t="s">
        <v>240</v>
      </c>
      <c r="W69" s="41">
        <v>2.9437919999999999E-2</v>
      </c>
      <c r="X69" s="37" t="s">
        <v>62</v>
      </c>
      <c r="Y69" s="36" t="s">
        <v>56</v>
      </c>
      <c r="Z69" s="36" t="s">
        <v>280</v>
      </c>
      <c r="AA69" s="36" t="s">
        <v>281</v>
      </c>
      <c r="AB69" s="37"/>
      <c r="AC69" s="36" t="s">
        <v>56</v>
      </c>
      <c r="AD69" s="37"/>
      <c r="AE69" s="37"/>
      <c r="AF69" s="39">
        <v>0.68100000000000005</v>
      </c>
      <c r="AG69" s="39">
        <v>1</v>
      </c>
      <c r="AH69" s="39"/>
      <c r="AI69" s="39">
        <v>1</v>
      </c>
      <c r="AJ69" s="36">
        <v>1973</v>
      </c>
      <c r="AK69" s="36"/>
      <c r="AL69" s="41"/>
      <c r="AM69" s="41">
        <v>4.2000000000000003E-2</v>
      </c>
      <c r="AN69" s="41">
        <v>4.1553270000000003E-2</v>
      </c>
      <c r="AO69" s="41">
        <v>4.1235069999999999E-2</v>
      </c>
      <c r="AP69" s="36"/>
      <c r="AQ69" s="44"/>
      <c r="AR69" s="36" t="s">
        <v>65</v>
      </c>
    </row>
    <row r="70" spans="2:44" x14ac:dyDescent="0.45">
      <c r="B70" s="36" t="s">
        <v>282</v>
      </c>
      <c r="C70" s="36" t="s">
        <v>283</v>
      </c>
      <c r="D70" s="36" t="s">
        <v>244</v>
      </c>
      <c r="E70" s="36" t="s">
        <v>51</v>
      </c>
      <c r="F70" s="37" t="s">
        <v>52</v>
      </c>
      <c r="G70" s="38" t="s">
        <v>245</v>
      </c>
      <c r="H70" s="36" t="s">
        <v>54</v>
      </c>
      <c r="I70" s="37" t="s">
        <v>70</v>
      </c>
      <c r="J70" s="37" t="s">
        <v>158</v>
      </c>
      <c r="K70" s="36" t="s">
        <v>56</v>
      </c>
      <c r="L70" s="36" t="s">
        <v>238</v>
      </c>
      <c r="M70" s="36" t="s">
        <v>239</v>
      </c>
      <c r="N70" s="39">
        <v>92640</v>
      </c>
      <c r="O70" s="37" t="s">
        <v>59</v>
      </c>
      <c r="P70" s="40">
        <v>44949</v>
      </c>
      <c r="Q70" s="41">
        <v>1</v>
      </c>
      <c r="R70" s="42">
        <v>22.7</v>
      </c>
      <c r="S70" s="37" t="s">
        <v>60</v>
      </c>
      <c r="T70" s="42">
        <v>245.03</v>
      </c>
      <c r="U70" s="43"/>
      <c r="V70" s="36" t="s">
        <v>240</v>
      </c>
      <c r="W70" s="41">
        <v>4.2799999999999998E-2</v>
      </c>
      <c r="X70" s="37" t="s">
        <v>79</v>
      </c>
      <c r="Y70" s="36" t="s">
        <v>56</v>
      </c>
      <c r="Z70" s="36" t="s">
        <v>284</v>
      </c>
      <c r="AA70" s="36" t="s">
        <v>285</v>
      </c>
      <c r="AB70" s="37"/>
      <c r="AC70" s="36" t="s">
        <v>56</v>
      </c>
      <c r="AD70" s="37" t="s">
        <v>286</v>
      </c>
      <c r="AE70" s="37"/>
      <c r="AF70" s="39">
        <v>3.7</v>
      </c>
      <c r="AG70" s="39">
        <v>1</v>
      </c>
      <c r="AH70" s="39"/>
      <c r="AI70" s="39">
        <v>2</v>
      </c>
      <c r="AJ70" s="36">
        <v>1971</v>
      </c>
      <c r="AK70" s="36"/>
      <c r="AL70" s="41"/>
      <c r="AM70" s="41">
        <v>4.2000000000000003E-2</v>
      </c>
      <c r="AN70" s="41">
        <v>4.1553270000000003E-2</v>
      </c>
      <c r="AO70" s="41">
        <v>4.1235069999999999E-2</v>
      </c>
      <c r="AP70" s="36" t="s">
        <v>287</v>
      </c>
      <c r="AQ70" s="44">
        <v>10000000</v>
      </c>
      <c r="AR70" s="36" t="s">
        <v>65</v>
      </c>
    </row>
    <row r="71" spans="2:44" x14ac:dyDescent="0.45">
      <c r="B71" s="19" t="s">
        <v>288</v>
      </c>
      <c r="C71" s="19" t="s">
        <v>289</v>
      </c>
      <c r="D71" s="19"/>
      <c r="E71" s="19" t="s">
        <v>51</v>
      </c>
      <c r="F71" s="20" t="s">
        <v>52</v>
      </c>
      <c r="G71" s="21" t="s">
        <v>237</v>
      </c>
      <c r="H71" s="19" t="s">
        <v>54</v>
      </c>
      <c r="I71" s="20" t="s">
        <v>70</v>
      </c>
      <c r="J71" s="20" t="s">
        <v>290</v>
      </c>
      <c r="K71" s="19" t="s">
        <v>56</v>
      </c>
      <c r="L71" s="19" t="s">
        <v>238</v>
      </c>
      <c r="M71" s="19" t="s">
        <v>239</v>
      </c>
      <c r="N71" s="22">
        <v>511379</v>
      </c>
      <c r="O71" s="20" t="s">
        <v>59</v>
      </c>
      <c r="P71" s="23">
        <v>44922</v>
      </c>
      <c r="Q71" s="24">
        <v>1</v>
      </c>
      <c r="R71" s="25"/>
      <c r="S71" s="20" t="s">
        <v>60</v>
      </c>
      <c r="T71" s="25">
        <v>387.29</v>
      </c>
      <c r="U71" s="25"/>
      <c r="V71" s="19" t="s">
        <v>240</v>
      </c>
      <c r="W71" s="24">
        <v>5.0999999999999997E-2</v>
      </c>
      <c r="X71" s="20" t="s">
        <v>79</v>
      </c>
      <c r="Y71" s="19" t="s">
        <v>65</v>
      </c>
      <c r="Z71" s="19" t="s">
        <v>192</v>
      </c>
      <c r="AA71" s="19" t="s">
        <v>291</v>
      </c>
      <c r="AB71" s="20"/>
      <c r="AC71" s="19" t="s">
        <v>56</v>
      </c>
      <c r="AD71" s="20"/>
      <c r="AE71" s="20" t="s">
        <v>82</v>
      </c>
      <c r="AF71" s="39"/>
      <c r="AG71" s="39"/>
      <c r="AH71" s="39"/>
      <c r="AI71" s="39"/>
      <c r="AJ71" s="36">
        <v>1982</v>
      </c>
      <c r="AK71" s="36">
        <v>1983</v>
      </c>
      <c r="AL71" s="41">
        <v>1</v>
      </c>
      <c r="AM71" s="41">
        <v>4.2000000000000003E-2</v>
      </c>
      <c r="AN71" s="41">
        <v>4.1553270000000003E-2</v>
      </c>
      <c r="AO71" s="41">
        <v>4.1235069999999999E-2</v>
      </c>
      <c r="AP71" s="36"/>
      <c r="AQ71" s="44"/>
      <c r="AR71" s="36" t="s">
        <v>65</v>
      </c>
    </row>
    <row r="72" spans="2:44" x14ac:dyDescent="0.45">
      <c r="B72" s="19" t="s">
        <v>292</v>
      </c>
      <c r="C72" s="19" t="s">
        <v>289</v>
      </c>
      <c r="D72" s="19" t="s">
        <v>7</v>
      </c>
      <c r="E72" s="19" t="s">
        <v>51</v>
      </c>
      <c r="F72" s="20" t="s">
        <v>52</v>
      </c>
      <c r="G72" s="21" t="s">
        <v>237</v>
      </c>
      <c r="H72" s="19" t="s">
        <v>54</v>
      </c>
      <c r="I72" s="20" t="s">
        <v>70</v>
      </c>
      <c r="J72" s="20" t="s">
        <v>290</v>
      </c>
      <c r="K72" s="19" t="s">
        <v>56</v>
      </c>
      <c r="L72" s="19" t="s">
        <v>238</v>
      </c>
      <c r="M72" s="19" t="s">
        <v>239</v>
      </c>
      <c r="N72" s="22">
        <v>102143</v>
      </c>
      <c r="O72" s="20" t="s">
        <v>59</v>
      </c>
      <c r="P72" s="23">
        <v>44922</v>
      </c>
      <c r="Q72" s="24">
        <v>1</v>
      </c>
      <c r="R72" s="25">
        <v>37</v>
      </c>
      <c r="S72" s="20" t="s">
        <v>60</v>
      </c>
      <c r="T72" s="25">
        <v>362.24</v>
      </c>
      <c r="U72" s="26"/>
      <c r="V72" s="19" t="s">
        <v>240</v>
      </c>
      <c r="W72" s="24">
        <v>5.0999999999999997E-2</v>
      </c>
      <c r="X72" s="20" t="s">
        <v>79</v>
      </c>
      <c r="Y72" s="19" t="s">
        <v>65</v>
      </c>
      <c r="Z72" s="19" t="s">
        <v>192</v>
      </c>
      <c r="AA72" s="19" t="s">
        <v>291</v>
      </c>
      <c r="AB72" s="20"/>
      <c r="AC72" s="19" t="s">
        <v>56</v>
      </c>
      <c r="AD72" s="20"/>
      <c r="AE72" s="20" t="s">
        <v>82</v>
      </c>
      <c r="AF72" s="39"/>
      <c r="AG72" s="39"/>
      <c r="AH72" s="39"/>
      <c r="AI72" s="39"/>
      <c r="AJ72" s="36">
        <v>1982</v>
      </c>
      <c r="AK72" s="36">
        <v>1983</v>
      </c>
      <c r="AL72" s="41">
        <v>1</v>
      </c>
      <c r="AM72" s="41">
        <v>4.2000000000000003E-2</v>
      </c>
      <c r="AN72" s="41">
        <v>4.1553270000000003E-2</v>
      </c>
      <c r="AO72" s="41">
        <v>4.1235069999999999E-2</v>
      </c>
      <c r="AP72" s="36"/>
      <c r="AQ72" s="44"/>
      <c r="AR72" s="36" t="s">
        <v>65</v>
      </c>
    </row>
    <row r="73" spans="2:44" x14ac:dyDescent="0.45">
      <c r="B73" s="36" t="s">
        <v>293</v>
      </c>
      <c r="C73" s="36" t="s">
        <v>294</v>
      </c>
      <c r="D73" s="36" t="s">
        <v>258</v>
      </c>
      <c r="E73" s="36" t="s">
        <v>51</v>
      </c>
      <c r="F73" s="37" t="s">
        <v>52</v>
      </c>
      <c r="G73" s="38" t="s">
        <v>259</v>
      </c>
      <c r="H73" s="36" t="s">
        <v>54</v>
      </c>
      <c r="I73" s="37" t="s">
        <v>70</v>
      </c>
      <c r="J73" s="37"/>
      <c r="K73" s="36" t="s">
        <v>56</v>
      </c>
      <c r="L73" s="36" t="s">
        <v>238</v>
      </c>
      <c r="M73" s="36" t="s">
        <v>239</v>
      </c>
      <c r="N73" s="39">
        <v>51185</v>
      </c>
      <c r="O73" s="37" t="s">
        <v>59</v>
      </c>
      <c r="P73" s="40">
        <v>44812</v>
      </c>
      <c r="Q73" s="41">
        <v>1</v>
      </c>
      <c r="R73" s="42">
        <v>24.2</v>
      </c>
      <c r="S73" s="37" t="s">
        <v>60</v>
      </c>
      <c r="T73" s="42">
        <v>472.79</v>
      </c>
      <c r="U73" s="43"/>
      <c r="V73" s="36" t="s">
        <v>240</v>
      </c>
      <c r="W73" s="41">
        <v>2.7437920000000001E-2</v>
      </c>
      <c r="X73" s="37" t="s">
        <v>62</v>
      </c>
      <c r="Y73" s="36" t="s">
        <v>56</v>
      </c>
      <c r="Z73" s="36" t="s">
        <v>192</v>
      </c>
      <c r="AA73" s="36" t="s">
        <v>295</v>
      </c>
      <c r="AB73" s="37"/>
      <c r="AC73" s="36" t="s">
        <v>56</v>
      </c>
      <c r="AD73" s="37"/>
      <c r="AE73" s="37"/>
      <c r="AF73" s="39"/>
      <c r="AG73" s="39"/>
      <c r="AH73" s="39"/>
      <c r="AI73" s="39"/>
      <c r="AJ73" s="36">
        <v>2002</v>
      </c>
      <c r="AK73" s="36"/>
      <c r="AL73" s="41"/>
      <c r="AM73" s="41">
        <v>4.2000000000000003E-2</v>
      </c>
      <c r="AN73" s="41">
        <v>4.1553270000000003E-2</v>
      </c>
      <c r="AO73" s="41">
        <v>4.1235069999999999E-2</v>
      </c>
      <c r="AP73" s="36"/>
      <c r="AQ73" s="44"/>
      <c r="AR73" s="36" t="s">
        <v>65</v>
      </c>
    </row>
    <row r="74" spans="2:44" x14ac:dyDescent="0.45">
      <c r="B74" s="36" t="s">
        <v>296</v>
      </c>
      <c r="C74" s="36" t="s">
        <v>297</v>
      </c>
      <c r="D74" s="36" t="s">
        <v>7</v>
      </c>
      <c r="E74" s="36" t="s">
        <v>51</v>
      </c>
      <c r="F74" s="37" t="s">
        <v>52</v>
      </c>
      <c r="G74" s="38" t="s">
        <v>254</v>
      </c>
      <c r="H74" s="36" t="s">
        <v>54</v>
      </c>
      <c r="I74" s="37" t="s">
        <v>70</v>
      </c>
      <c r="J74" s="37"/>
      <c r="K74" s="36" t="s">
        <v>56</v>
      </c>
      <c r="L74" s="36" t="s">
        <v>238</v>
      </c>
      <c r="M74" s="36" t="s">
        <v>239</v>
      </c>
      <c r="N74" s="39">
        <v>74038</v>
      </c>
      <c r="O74" s="37" t="s">
        <v>59</v>
      </c>
      <c r="P74" s="40">
        <v>44714</v>
      </c>
      <c r="Q74" s="41">
        <v>1</v>
      </c>
      <c r="R74" s="42">
        <v>39.979999999999997</v>
      </c>
      <c r="S74" s="37" t="s">
        <v>60</v>
      </c>
      <c r="T74" s="42">
        <v>539.99</v>
      </c>
      <c r="U74" s="43"/>
      <c r="V74" s="36" t="s">
        <v>240</v>
      </c>
      <c r="W74" s="41">
        <v>2.8437919999999998E-2</v>
      </c>
      <c r="X74" s="37" t="s">
        <v>62</v>
      </c>
      <c r="Y74" s="36" t="s">
        <v>56</v>
      </c>
      <c r="Z74" s="36" t="s">
        <v>192</v>
      </c>
      <c r="AA74" s="36" t="s">
        <v>298</v>
      </c>
      <c r="AB74" s="37"/>
      <c r="AC74" s="36" t="s">
        <v>56</v>
      </c>
      <c r="AD74" s="37"/>
      <c r="AE74" s="37" t="s">
        <v>299</v>
      </c>
      <c r="AF74" s="39"/>
      <c r="AG74" s="39"/>
      <c r="AH74" s="39">
        <v>0</v>
      </c>
      <c r="AI74" s="39"/>
      <c r="AJ74" s="36">
        <v>2001</v>
      </c>
      <c r="AK74" s="36"/>
      <c r="AL74" s="41">
        <v>1</v>
      </c>
      <c r="AM74" s="41">
        <v>4.2000000000000003E-2</v>
      </c>
      <c r="AN74" s="41">
        <v>4.1553270000000003E-2</v>
      </c>
      <c r="AO74" s="41">
        <v>4.1235069999999999E-2</v>
      </c>
      <c r="AP74" s="36"/>
      <c r="AQ74" s="44"/>
      <c r="AR74" s="36" t="s">
        <v>65</v>
      </c>
    </row>
    <row r="75" spans="2:44" x14ac:dyDescent="0.45">
      <c r="B75" s="36" t="s">
        <v>300</v>
      </c>
      <c r="C75" s="36" t="s">
        <v>301</v>
      </c>
      <c r="D75" s="36" t="s">
        <v>7</v>
      </c>
      <c r="E75" s="36" t="s">
        <v>51</v>
      </c>
      <c r="F75" s="37" t="s">
        <v>52</v>
      </c>
      <c r="G75" s="38" t="s">
        <v>237</v>
      </c>
      <c r="H75" s="36" t="s">
        <v>54</v>
      </c>
      <c r="I75" s="37" t="s">
        <v>70</v>
      </c>
      <c r="J75" s="37"/>
      <c r="K75" s="36" t="s">
        <v>56</v>
      </c>
      <c r="L75" s="36" t="s">
        <v>238</v>
      </c>
      <c r="M75" s="36" t="s">
        <v>239</v>
      </c>
      <c r="N75" s="39">
        <v>47712</v>
      </c>
      <c r="O75" s="37" t="s">
        <v>59</v>
      </c>
      <c r="P75" s="40">
        <v>44601</v>
      </c>
      <c r="Q75" s="41">
        <v>1</v>
      </c>
      <c r="R75" s="42">
        <v>11.3</v>
      </c>
      <c r="S75" s="37" t="s">
        <v>60</v>
      </c>
      <c r="T75" s="42">
        <v>236.84</v>
      </c>
      <c r="U75" s="43"/>
      <c r="V75" s="36" t="s">
        <v>240</v>
      </c>
      <c r="W75" s="41">
        <v>2.593792E-2</v>
      </c>
      <c r="X75" s="37" t="s">
        <v>62</v>
      </c>
      <c r="Y75" s="36" t="s">
        <v>56</v>
      </c>
      <c r="Z75" s="36" t="s">
        <v>192</v>
      </c>
      <c r="AA75" s="36"/>
      <c r="AB75" s="37"/>
      <c r="AC75" s="36" t="s">
        <v>56</v>
      </c>
      <c r="AD75" s="37"/>
      <c r="AE75" s="37"/>
      <c r="AF75" s="39"/>
      <c r="AG75" s="39"/>
      <c r="AH75" s="39">
        <v>0</v>
      </c>
      <c r="AI75" s="39"/>
      <c r="AJ75" s="36">
        <v>1982</v>
      </c>
      <c r="AK75" s="36"/>
      <c r="AL75" s="41"/>
      <c r="AM75" s="41">
        <v>4.2000000000000003E-2</v>
      </c>
      <c r="AN75" s="41">
        <v>4.1553270000000003E-2</v>
      </c>
      <c r="AO75" s="41">
        <v>4.1235069999999999E-2</v>
      </c>
      <c r="AP75" s="36"/>
      <c r="AQ75" s="44"/>
      <c r="AR75" s="36" t="s">
        <v>65</v>
      </c>
    </row>
    <row r="76" spans="2:44" x14ac:dyDescent="0.45">
      <c r="B76" s="36" t="s">
        <v>302</v>
      </c>
      <c r="C76" s="36" t="s">
        <v>303</v>
      </c>
      <c r="D76" s="36" t="s">
        <v>7</v>
      </c>
      <c r="E76" s="36" t="s">
        <v>51</v>
      </c>
      <c r="F76" s="37" t="s">
        <v>52</v>
      </c>
      <c r="G76" s="38" t="s">
        <v>254</v>
      </c>
      <c r="H76" s="36" t="s">
        <v>54</v>
      </c>
      <c r="I76" s="37" t="s">
        <v>70</v>
      </c>
      <c r="J76" s="37"/>
      <c r="K76" s="36" t="s">
        <v>56</v>
      </c>
      <c r="L76" s="36" t="s">
        <v>238</v>
      </c>
      <c r="M76" s="36" t="s">
        <v>239</v>
      </c>
      <c r="N76" s="39">
        <v>65998</v>
      </c>
      <c r="O76" s="37" t="s">
        <v>59</v>
      </c>
      <c r="P76" s="40">
        <v>44537</v>
      </c>
      <c r="Q76" s="41">
        <v>1</v>
      </c>
      <c r="R76" s="42">
        <v>51.53</v>
      </c>
      <c r="S76" s="37" t="s">
        <v>60</v>
      </c>
      <c r="T76" s="42">
        <v>780.71</v>
      </c>
      <c r="U76" s="43"/>
      <c r="V76" s="36" t="s">
        <v>240</v>
      </c>
      <c r="W76" s="41">
        <v>2.4937919999999999E-2</v>
      </c>
      <c r="X76" s="37" t="s">
        <v>62</v>
      </c>
      <c r="Y76" s="36" t="s">
        <v>56</v>
      </c>
      <c r="Z76" s="36" t="s">
        <v>304</v>
      </c>
      <c r="AA76" s="36"/>
      <c r="AB76" s="37"/>
      <c r="AC76" s="36" t="s">
        <v>56</v>
      </c>
      <c r="AD76" s="37"/>
      <c r="AE76" s="37"/>
      <c r="AF76" s="39"/>
      <c r="AG76" s="39"/>
      <c r="AH76" s="39">
        <v>0</v>
      </c>
      <c r="AI76" s="39"/>
      <c r="AJ76" s="36">
        <v>1990</v>
      </c>
      <c r="AK76" s="36"/>
      <c r="AL76" s="41"/>
      <c r="AM76" s="41">
        <v>4.2000000000000003E-2</v>
      </c>
      <c r="AN76" s="41">
        <v>4.1553270000000003E-2</v>
      </c>
      <c r="AO76" s="41">
        <v>4.1235069999999999E-2</v>
      </c>
      <c r="AP76" s="36"/>
      <c r="AQ76" s="44"/>
      <c r="AR76" s="36" t="s">
        <v>65</v>
      </c>
    </row>
    <row r="77" spans="2:44" x14ac:dyDescent="0.45">
      <c r="B77" s="36" t="s">
        <v>305</v>
      </c>
      <c r="C77" s="36" t="s">
        <v>306</v>
      </c>
      <c r="D77" s="36" t="s">
        <v>7</v>
      </c>
      <c r="E77" s="36" t="s">
        <v>51</v>
      </c>
      <c r="F77" s="37" t="s">
        <v>52</v>
      </c>
      <c r="G77" s="38" t="s">
        <v>237</v>
      </c>
      <c r="H77" s="36" t="s">
        <v>54</v>
      </c>
      <c r="I77" s="37" t="s">
        <v>70</v>
      </c>
      <c r="J77" s="37"/>
      <c r="K77" s="36" t="s">
        <v>56</v>
      </c>
      <c r="L77" s="36" t="s">
        <v>238</v>
      </c>
      <c r="M77" s="36" t="s">
        <v>239</v>
      </c>
      <c r="N77" s="39">
        <v>20000</v>
      </c>
      <c r="O77" s="37" t="s">
        <v>59</v>
      </c>
      <c r="P77" s="40">
        <v>44433</v>
      </c>
      <c r="Q77" s="41">
        <v>1</v>
      </c>
      <c r="R77" s="42">
        <v>5.93</v>
      </c>
      <c r="S77" s="37" t="s">
        <v>60</v>
      </c>
      <c r="T77" s="42">
        <v>296.56</v>
      </c>
      <c r="U77" s="43"/>
      <c r="V77" s="36" t="s">
        <v>240</v>
      </c>
      <c r="W77" s="41">
        <v>2.593792E-2</v>
      </c>
      <c r="X77" s="37" t="s">
        <v>62</v>
      </c>
      <c r="Y77" s="36" t="s">
        <v>56</v>
      </c>
      <c r="Z77" s="36"/>
      <c r="AA77" s="36"/>
      <c r="AB77" s="37"/>
      <c r="AC77" s="36" t="s">
        <v>56</v>
      </c>
      <c r="AD77" s="37" t="s">
        <v>299</v>
      </c>
      <c r="AE77" s="37" t="s">
        <v>299</v>
      </c>
      <c r="AF77" s="39"/>
      <c r="AG77" s="39"/>
      <c r="AH77" s="39">
        <v>0</v>
      </c>
      <c r="AI77" s="39"/>
      <c r="AJ77" s="36"/>
      <c r="AK77" s="36"/>
      <c r="AL77" s="41"/>
      <c r="AM77" s="41">
        <v>4.2000000000000003E-2</v>
      </c>
      <c r="AN77" s="41">
        <v>4.1553270000000003E-2</v>
      </c>
      <c r="AO77" s="41">
        <v>4.1235069999999999E-2</v>
      </c>
      <c r="AP77" s="36"/>
      <c r="AQ77" s="44"/>
      <c r="AR77" s="36" t="s">
        <v>65</v>
      </c>
    </row>
    <row r="78" spans="2:44" x14ac:dyDescent="0.45">
      <c r="B78" s="36" t="s">
        <v>307</v>
      </c>
      <c r="C78" s="36" t="s">
        <v>308</v>
      </c>
      <c r="D78" s="36" t="s">
        <v>7</v>
      </c>
      <c r="E78" s="36" t="s">
        <v>51</v>
      </c>
      <c r="F78" s="37" t="s">
        <v>52</v>
      </c>
      <c r="G78" s="38" t="s">
        <v>309</v>
      </c>
      <c r="H78" s="36" t="s">
        <v>54</v>
      </c>
      <c r="I78" s="37" t="s">
        <v>70</v>
      </c>
      <c r="J78" s="37"/>
      <c r="K78" s="36" t="s">
        <v>56</v>
      </c>
      <c r="L78" s="36" t="s">
        <v>238</v>
      </c>
      <c r="M78" s="36" t="s">
        <v>239</v>
      </c>
      <c r="N78" s="39">
        <v>135000</v>
      </c>
      <c r="O78" s="37" t="s">
        <v>59</v>
      </c>
      <c r="P78" s="40">
        <v>44376</v>
      </c>
      <c r="Q78" s="41">
        <v>1</v>
      </c>
      <c r="R78" s="42">
        <v>34.5</v>
      </c>
      <c r="S78" s="37" t="s">
        <v>60</v>
      </c>
      <c r="T78" s="42">
        <v>255.56</v>
      </c>
      <c r="U78" s="43"/>
      <c r="V78" s="36" t="s">
        <v>240</v>
      </c>
      <c r="W78" s="41">
        <v>4.4999999999999998E-2</v>
      </c>
      <c r="X78" s="37" t="s">
        <v>79</v>
      </c>
      <c r="Y78" s="36" t="s">
        <v>56</v>
      </c>
      <c r="Z78" s="36" t="s">
        <v>310</v>
      </c>
      <c r="AA78" s="36" t="s">
        <v>311</v>
      </c>
      <c r="AB78" s="37"/>
      <c r="AC78" s="36" t="s">
        <v>56</v>
      </c>
      <c r="AD78" s="37"/>
      <c r="AE78" s="37" t="s">
        <v>82</v>
      </c>
      <c r="AF78" s="39"/>
      <c r="AG78" s="39"/>
      <c r="AH78" s="39">
        <v>0</v>
      </c>
      <c r="AI78" s="39"/>
      <c r="AJ78" s="36"/>
      <c r="AK78" s="36"/>
      <c r="AL78" s="41"/>
      <c r="AM78" s="41">
        <v>4.2000000000000003E-2</v>
      </c>
      <c r="AN78" s="41">
        <v>4.1553270000000003E-2</v>
      </c>
      <c r="AO78" s="41">
        <v>4.1235069999999999E-2</v>
      </c>
      <c r="AP78" s="36"/>
      <c r="AQ78" s="44"/>
      <c r="AR78" s="36" t="s">
        <v>65</v>
      </c>
    </row>
    <row r="79" spans="2:44" x14ac:dyDescent="0.45">
      <c r="B79" s="36" t="s">
        <v>312</v>
      </c>
      <c r="C79" s="36" t="s">
        <v>313</v>
      </c>
      <c r="D79" s="36" t="s">
        <v>7</v>
      </c>
      <c r="E79" s="36" t="s">
        <v>51</v>
      </c>
      <c r="F79" s="37" t="s">
        <v>52</v>
      </c>
      <c r="G79" s="38" t="s">
        <v>237</v>
      </c>
      <c r="H79" s="36" t="s">
        <v>54</v>
      </c>
      <c r="I79" s="37" t="s">
        <v>70</v>
      </c>
      <c r="J79" s="37" t="s">
        <v>71</v>
      </c>
      <c r="K79" s="36" t="s">
        <v>56</v>
      </c>
      <c r="L79" s="36" t="s">
        <v>238</v>
      </c>
      <c r="M79" s="36" t="s">
        <v>239</v>
      </c>
      <c r="N79" s="39">
        <v>16899</v>
      </c>
      <c r="O79" s="37" t="s">
        <v>59</v>
      </c>
      <c r="P79" s="40">
        <v>44328</v>
      </c>
      <c r="Q79" s="41">
        <v>1</v>
      </c>
      <c r="R79" s="42">
        <v>6.29</v>
      </c>
      <c r="S79" s="37" t="s">
        <v>60</v>
      </c>
      <c r="T79" s="42">
        <v>372.21</v>
      </c>
      <c r="U79" s="43"/>
      <c r="V79" s="36" t="s">
        <v>240</v>
      </c>
      <c r="W79" s="41">
        <v>4.7E-2</v>
      </c>
      <c r="X79" s="37" t="s">
        <v>79</v>
      </c>
      <c r="Y79" s="36" t="s">
        <v>56</v>
      </c>
      <c r="Z79" s="36" t="s">
        <v>314</v>
      </c>
      <c r="AA79" s="36"/>
      <c r="AB79" s="37"/>
      <c r="AC79" s="36" t="s">
        <v>56</v>
      </c>
      <c r="AD79" s="37"/>
      <c r="AE79" s="37" t="s">
        <v>299</v>
      </c>
      <c r="AF79" s="39">
        <v>1.21</v>
      </c>
      <c r="AG79" s="39">
        <v>2</v>
      </c>
      <c r="AH79" s="39">
        <v>0</v>
      </c>
      <c r="AI79" s="39"/>
      <c r="AJ79" s="36">
        <v>1980</v>
      </c>
      <c r="AK79" s="36"/>
      <c r="AL79" s="41"/>
      <c r="AM79" s="41">
        <v>4.2000000000000003E-2</v>
      </c>
      <c r="AN79" s="41">
        <v>4.1553270000000003E-2</v>
      </c>
      <c r="AO79" s="41">
        <v>4.1235069999999999E-2</v>
      </c>
      <c r="AP79" s="36"/>
      <c r="AQ79" s="44"/>
      <c r="AR79" s="36" t="s">
        <v>65</v>
      </c>
    </row>
    <row r="80" spans="2:44" x14ac:dyDescent="0.45">
      <c r="B80" s="19" t="s">
        <v>315</v>
      </c>
      <c r="C80" s="19" t="s">
        <v>316</v>
      </c>
      <c r="D80" s="19"/>
      <c r="E80" s="19" t="s">
        <v>51</v>
      </c>
      <c r="F80" s="20" t="s">
        <v>52</v>
      </c>
      <c r="G80" s="21" t="s">
        <v>245</v>
      </c>
      <c r="H80" s="19" t="s">
        <v>54</v>
      </c>
      <c r="I80" s="20" t="s">
        <v>70</v>
      </c>
      <c r="J80" s="20"/>
      <c r="K80" s="19" t="s">
        <v>56</v>
      </c>
      <c r="L80" s="19" t="s">
        <v>238</v>
      </c>
      <c r="M80" s="19" t="s">
        <v>239</v>
      </c>
      <c r="N80" s="22">
        <v>1335436</v>
      </c>
      <c r="O80" s="20" t="s">
        <v>59</v>
      </c>
      <c r="P80" s="23">
        <v>44119</v>
      </c>
      <c r="Q80" s="24">
        <v>0.95</v>
      </c>
      <c r="R80" s="25"/>
      <c r="S80" s="20" t="s">
        <v>60</v>
      </c>
      <c r="T80" s="25">
        <v>177.43</v>
      </c>
      <c r="U80" s="25"/>
      <c r="V80" s="19" t="s">
        <v>240</v>
      </c>
      <c r="W80" s="24"/>
      <c r="X80" s="20"/>
      <c r="Y80" s="19" t="s">
        <v>65</v>
      </c>
      <c r="Z80" s="19" t="s">
        <v>137</v>
      </c>
      <c r="AA80" s="19" t="s">
        <v>317</v>
      </c>
      <c r="AB80" s="20"/>
      <c r="AC80" s="19" t="s">
        <v>56</v>
      </c>
      <c r="AD80" s="20"/>
      <c r="AE80" s="20" t="s">
        <v>112</v>
      </c>
      <c r="AF80" s="39"/>
      <c r="AG80" s="39"/>
      <c r="AH80" s="39">
        <v>0</v>
      </c>
      <c r="AI80" s="39"/>
      <c r="AJ80" s="36"/>
      <c r="AK80" s="36"/>
      <c r="AL80" s="41"/>
      <c r="AM80" s="41">
        <v>4.2000000000000003E-2</v>
      </c>
      <c r="AN80" s="41">
        <v>4.1553270000000003E-2</v>
      </c>
      <c r="AO80" s="41">
        <v>4.1235069999999999E-2</v>
      </c>
      <c r="AP80" s="36"/>
      <c r="AQ80" s="44"/>
      <c r="AR80" s="36" t="s">
        <v>65</v>
      </c>
    </row>
    <row r="81" spans="2:44" x14ac:dyDescent="0.45">
      <c r="B81" s="19" t="s">
        <v>318</v>
      </c>
      <c r="C81" s="19" t="s">
        <v>316</v>
      </c>
      <c r="D81" s="19" t="s">
        <v>244</v>
      </c>
      <c r="E81" s="19" t="s">
        <v>51</v>
      </c>
      <c r="F81" s="20" t="s">
        <v>52</v>
      </c>
      <c r="G81" s="21" t="s">
        <v>245</v>
      </c>
      <c r="H81" s="19" t="s">
        <v>54</v>
      </c>
      <c r="I81" s="20" t="s">
        <v>70</v>
      </c>
      <c r="J81" s="20"/>
      <c r="K81" s="19" t="s">
        <v>56</v>
      </c>
      <c r="L81" s="19" t="s">
        <v>238</v>
      </c>
      <c r="M81" s="19" t="s">
        <v>239</v>
      </c>
      <c r="N81" s="22">
        <v>40000</v>
      </c>
      <c r="O81" s="20" t="s">
        <v>59</v>
      </c>
      <c r="P81" s="23">
        <v>44119</v>
      </c>
      <c r="Q81" s="24">
        <v>0.95</v>
      </c>
      <c r="R81" s="25"/>
      <c r="S81" s="20"/>
      <c r="T81" s="25"/>
      <c r="U81" s="26"/>
      <c r="V81" s="19" t="s">
        <v>240</v>
      </c>
      <c r="W81" s="24"/>
      <c r="X81" s="20"/>
      <c r="Y81" s="19" t="s">
        <v>65</v>
      </c>
      <c r="Z81" s="19" t="s">
        <v>137</v>
      </c>
      <c r="AA81" s="19" t="s">
        <v>317</v>
      </c>
      <c r="AB81" s="20"/>
      <c r="AC81" s="19" t="s">
        <v>56</v>
      </c>
      <c r="AD81" s="20"/>
      <c r="AE81" s="20" t="s">
        <v>112</v>
      </c>
      <c r="AF81" s="39"/>
      <c r="AG81" s="39"/>
      <c r="AH81" s="39">
        <v>0</v>
      </c>
      <c r="AI81" s="39"/>
      <c r="AJ81" s="36"/>
      <c r="AK81" s="36"/>
      <c r="AL81" s="41"/>
      <c r="AM81" s="41">
        <v>4.2000000000000003E-2</v>
      </c>
      <c r="AN81" s="41">
        <v>4.1553270000000003E-2</v>
      </c>
      <c r="AO81" s="41">
        <v>4.1235069999999999E-2</v>
      </c>
      <c r="AP81" s="36"/>
      <c r="AQ81" s="44"/>
      <c r="AR81" s="36" t="s">
        <v>65</v>
      </c>
    </row>
    <row r="82" spans="2:44" x14ac:dyDescent="0.45">
      <c r="B82" s="36" t="s">
        <v>319</v>
      </c>
      <c r="C82" s="36" t="s">
        <v>320</v>
      </c>
      <c r="D82" s="36" t="s">
        <v>7</v>
      </c>
      <c r="E82" s="36" t="s">
        <v>51</v>
      </c>
      <c r="F82" s="37" t="s">
        <v>52</v>
      </c>
      <c r="G82" s="38" t="s">
        <v>237</v>
      </c>
      <c r="H82" s="36" t="s">
        <v>54</v>
      </c>
      <c r="I82" s="37" t="s">
        <v>70</v>
      </c>
      <c r="J82" s="37"/>
      <c r="K82" s="36" t="s">
        <v>56</v>
      </c>
      <c r="L82" s="36" t="s">
        <v>238</v>
      </c>
      <c r="M82" s="36" t="s">
        <v>239</v>
      </c>
      <c r="N82" s="39">
        <v>153000</v>
      </c>
      <c r="O82" s="37" t="s">
        <v>59</v>
      </c>
      <c r="P82" s="40">
        <v>44042</v>
      </c>
      <c r="Q82" s="41">
        <v>1</v>
      </c>
      <c r="R82" s="42">
        <v>44.23</v>
      </c>
      <c r="S82" s="37" t="s">
        <v>60</v>
      </c>
      <c r="T82" s="42">
        <v>289.08</v>
      </c>
      <c r="U82" s="43"/>
      <c r="V82" s="36" t="s">
        <v>240</v>
      </c>
      <c r="W82" s="41">
        <v>3.4437919999999997E-2</v>
      </c>
      <c r="X82" s="37" t="s">
        <v>62</v>
      </c>
      <c r="Y82" s="36" t="s">
        <v>56</v>
      </c>
      <c r="Z82" s="36"/>
      <c r="AA82" s="36" t="s">
        <v>321</v>
      </c>
      <c r="AB82" s="37"/>
      <c r="AC82" s="36" t="s">
        <v>56</v>
      </c>
      <c r="AD82" s="37"/>
      <c r="AE82" s="37" t="s">
        <v>120</v>
      </c>
      <c r="AF82" s="39"/>
      <c r="AG82" s="39"/>
      <c r="AH82" s="39">
        <v>0</v>
      </c>
      <c r="AI82" s="39"/>
      <c r="AJ82" s="36"/>
      <c r="AK82" s="36"/>
      <c r="AL82" s="41"/>
      <c r="AM82" s="41">
        <v>4.2000000000000003E-2</v>
      </c>
      <c r="AN82" s="41">
        <v>4.1553270000000003E-2</v>
      </c>
      <c r="AO82" s="41">
        <v>4.1235069999999999E-2</v>
      </c>
      <c r="AP82" s="36"/>
      <c r="AQ82" s="44"/>
      <c r="AR82" s="36" t="s">
        <v>65</v>
      </c>
    </row>
    <row r="83" spans="2:44" x14ac:dyDescent="0.45">
      <c r="B83" s="36" t="s">
        <v>322</v>
      </c>
      <c r="C83" s="36" t="s">
        <v>323</v>
      </c>
      <c r="D83" s="36" t="s">
        <v>7</v>
      </c>
      <c r="E83" s="36" t="s">
        <v>51</v>
      </c>
      <c r="F83" s="37" t="s">
        <v>52</v>
      </c>
      <c r="G83" s="38" t="s">
        <v>309</v>
      </c>
      <c r="H83" s="36" t="s">
        <v>54</v>
      </c>
      <c r="I83" s="37" t="s">
        <v>70</v>
      </c>
      <c r="J83" s="37"/>
      <c r="K83" s="36" t="s">
        <v>56</v>
      </c>
      <c r="L83" s="36" t="s">
        <v>238</v>
      </c>
      <c r="M83" s="36" t="s">
        <v>239</v>
      </c>
      <c r="N83" s="39">
        <v>174000</v>
      </c>
      <c r="O83" s="37" t="s">
        <v>59</v>
      </c>
      <c r="P83" s="40">
        <v>43962</v>
      </c>
      <c r="Q83" s="41">
        <v>1</v>
      </c>
      <c r="R83" s="42">
        <v>49.5</v>
      </c>
      <c r="S83" s="37" t="s">
        <v>60</v>
      </c>
      <c r="T83" s="42">
        <v>284.48</v>
      </c>
      <c r="U83" s="43"/>
      <c r="V83" s="36" t="s">
        <v>240</v>
      </c>
      <c r="W83" s="41">
        <v>3.6437919999999999E-2</v>
      </c>
      <c r="X83" s="37" t="s">
        <v>62</v>
      </c>
      <c r="Y83" s="36" t="s">
        <v>56</v>
      </c>
      <c r="Z83" s="36" t="s">
        <v>154</v>
      </c>
      <c r="AA83" s="36"/>
      <c r="AB83" s="37"/>
      <c r="AC83" s="36" t="s">
        <v>56</v>
      </c>
      <c r="AD83" s="37"/>
      <c r="AE83" s="37" t="s">
        <v>324</v>
      </c>
      <c r="AF83" s="39"/>
      <c r="AG83" s="39"/>
      <c r="AH83" s="39">
        <v>0</v>
      </c>
      <c r="AI83" s="39"/>
      <c r="AJ83" s="36"/>
      <c r="AK83" s="36"/>
      <c r="AL83" s="41"/>
      <c r="AM83" s="41">
        <v>4.2000000000000003E-2</v>
      </c>
      <c r="AN83" s="41">
        <v>4.1553270000000003E-2</v>
      </c>
      <c r="AO83" s="41">
        <v>4.1235069999999999E-2</v>
      </c>
      <c r="AP83" s="36"/>
      <c r="AQ83" s="44"/>
      <c r="AR83" s="36" t="s">
        <v>65</v>
      </c>
    </row>
    <row r="84" spans="2:44" x14ac:dyDescent="0.45">
      <c r="B84" s="36" t="s">
        <v>325</v>
      </c>
      <c r="C84" s="36" t="s">
        <v>326</v>
      </c>
      <c r="D84" s="36" t="s">
        <v>7</v>
      </c>
      <c r="E84" s="36" t="s">
        <v>51</v>
      </c>
      <c r="F84" s="37" t="s">
        <v>52</v>
      </c>
      <c r="G84" s="38" t="s">
        <v>309</v>
      </c>
      <c r="H84" s="36" t="s">
        <v>54</v>
      </c>
      <c r="I84" s="37" t="s">
        <v>70</v>
      </c>
      <c r="J84" s="37"/>
      <c r="K84" s="36" t="s">
        <v>56</v>
      </c>
      <c r="L84" s="36" t="s">
        <v>238</v>
      </c>
      <c r="M84" s="36" t="s">
        <v>239</v>
      </c>
      <c r="N84" s="39">
        <v>61000</v>
      </c>
      <c r="O84" s="37" t="s">
        <v>59</v>
      </c>
      <c r="P84" s="40">
        <v>43776</v>
      </c>
      <c r="Q84" s="41">
        <v>1</v>
      </c>
      <c r="R84" s="42">
        <v>10.199999999999999</v>
      </c>
      <c r="S84" s="37" t="s">
        <v>60</v>
      </c>
      <c r="T84" s="42">
        <v>167.21</v>
      </c>
      <c r="U84" s="43"/>
      <c r="V84" s="36" t="s">
        <v>240</v>
      </c>
      <c r="W84" s="41">
        <v>3.4437919999999997E-2</v>
      </c>
      <c r="X84" s="37" t="s">
        <v>62</v>
      </c>
      <c r="Y84" s="36" t="s">
        <v>56</v>
      </c>
      <c r="Z84" s="36" t="s">
        <v>304</v>
      </c>
      <c r="AA84" s="36"/>
      <c r="AB84" s="37"/>
      <c r="AC84" s="36" t="s">
        <v>56</v>
      </c>
      <c r="AD84" s="37"/>
      <c r="AE84" s="37" t="s">
        <v>82</v>
      </c>
      <c r="AF84" s="39"/>
      <c r="AG84" s="39"/>
      <c r="AH84" s="39">
        <v>0</v>
      </c>
      <c r="AI84" s="39"/>
      <c r="AJ84" s="36">
        <v>1965</v>
      </c>
      <c r="AK84" s="36"/>
      <c r="AL84" s="41"/>
      <c r="AM84" s="41">
        <v>4.2000000000000003E-2</v>
      </c>
      <c r="AN84" s="41">
        <v>4.1553270000000003E-2</v>
      </c>
      <c r="AO84" s="41">
        <v>4.1235069999999999E-2</v>
      </c>
      <c r="AP84" s="36"/>
      <c r="AQ84" s="44"/>
      <c r="AR84" s="36" t="s">
        <v>65</v>
      </c>
    </row>
    <row r="85" spans="2:44" x14ac:dyDescent="0.45">
      <c r="B85" s="36" t="s">
        <v>327</v>
      </c>
      <c r="C85" s="36" t="s">
        <v>328</v>
      </c>
      <c r="D85" s="36" t="s">
        <v>7</v>
      </c>
      <c r="E85" s="36" t="s">
        <v>51</v>
      </c>
      <c r="F85" s="37" t="s">
        <v>52</v>
      </c>
      <c r="G85" s="38" t="s">
        <v>237</v>
      </c>
      <c r="H85" s="36" t="s">
        <v>54</v>
      </c>
      <c r="I85" s="37" t="s">
        <v>70</v>
      </c>
      <c r="J85" s="37"/>
      <c r="K85" s="36" t="s">
        <v>56</v>
      </c>
      <c r="L85" s="36" t="s">
        <v>238</v>
      </c>
      <c r="M85" s="36" t="s">
        <v>239</v>
      </c>
      <c r="N85" s="39">
        <v>31000</v>
      </c>
      <c r="O85" s="37" t="s">
        <v>59</v>
      </c>
      <c r="P85" s="40">
        <v>43709</v>
      </c>
      <c r="Q85" s="41">
        <v>1</v>
      </c>
      <c r="R85" s="42">
        <v>8.5</v>
      </c>
      <c r="S85" s="37" t="s">
        <v>60</v>
      </c>
      <c r="T85" s="42">
        <v>274.19</v>
      </c>
      <c r="U85" s="43"/>
      <c r="V85" s="36" t="s">
        <v>240</v>
      </c>
      <c r="W85" s="41">
        <v>3.5937919999999998E-2</v>
      </c>
      <c r="X85" s="37" t="s">
        <v>62</v>
      </c>
      <c r="Y85" s="36" t="s">
        <v>56</v>
      </c>
      <c r="Z85" s="36"/>
      <c r="AA85" s="36"/>
      <c r="AB85" s="37"/>
      <c r="AC85" s="36" t="s">
        <v>56</v>
      </c>
      <c r="AD85" s="37" t="s">
        <v>299</v>
      </c>
      <c r="AE85" s="37" t="s">
        <v>329</v>
      </c>
      <c r="AF85" s="39"/>
      <c r="AG85" s="39">
        <v>1</v>
      </c>
      <c r="AH85" s="39">
        <v>0</v>
      </c>
      <c r="AI85" s="39"/>
      <c r="AJ85" s="36">
        <v>1998</v>
      </c>
      <c r="AK85" s="36"/>
      <c r="AL85" s="41"/>
      <c r="AM85" s="41">
        <v>4.2000000000000003E-2</v>
      </c>
      <c r="AN85" s="41">
        <v>4.1553270000000003E-2</v>
      </c>
      <c r="AO85" s="41">
        <v>4.1235069999999999E-2</v>
      </c>
      <c r="AP85" s="36"/>
      <c r="AQ85" s="44"/>
      <c r="AR85" s="36" t="s">
        <v>65</v>
      </c>
    </row>
    <row r="86" spans="2:44" x14ac:dyDescent="0.45">
      <c r="B86" s="36" t="s">
        <v>330</v>
      </c>
      <c r="C86" s="36" t="s">
        <v>331</v>
      </c>
      <c r="D86" s="36" t="s">
        <v>7</v>
      </c>
      <c r="E86" s="36" t="s">
        <v>51</v>
      </c>
      <c r="F86" s="37" t="s">
        <v>52</v>
      </c>
      <c r="G86" s="38" t="s">
        <v>254</v>
      </c>
      <c r="H86" s="36" t="s">
        <v>54</v>
      </c>
      <c r="I86" s="37" t="s">
        <v>70</v>
      </c>
      <c r="J86" s="37"/>
      <c r="K86" s="36" t="s">
        <v>56</v>
      </c>
      <c r="L86" s="36" t="s">
        <v>238</v>
      </c>
      <c r="M86" s="36" t="s">
        <v>239</v>
      </c>
      <c r="N86" s="39">
        <v>79000</v>
      </c>
      <c r="O86" s="37" t="s">
        <v>59</v>
      </c>
      <c r="P86" s="40">
        <v>43544</v>
      </c>
      <c r="Q86" s="41">
        <v>1</v>
      </c>
      <c r="R86" s="42">
        <v>16.649999999999999</v>
      </c>
      <c r="S86" s="37" t="s">
        <v>60</v>
      </c>
      <c r="T86" s="42">
        <v>210.76</v>
      </c>
      <c r="U86" s="43"/>
      <c r="V86" s="36" t="s">
        <v>240</v>
      </c>
      <c r="W86" s="41">
        <v>3.743792E-2</v>
      </c>
      <c r="X86" s="37" t="s">
        <v>62</v>
      </c>
      <c r="Y86" s="36" t="s">
        <v>56</v>
      </c>
      <c r="Z86" s="36" t="s">
        <v>332</v>
      </c>
      <c r="AA86" s="36" t="s">
        <v>333</v>
      </c>
      <c r="AB86" s="37"/>
      <c r="AC86" s="36" t="s">
        <v>56</v>
      </c>
      <c r="AD86" s="37"/>
      <c r="AE86" s="37" t="s">
        <v>127</v>
      </c>
      <c r="AF86" s="39"/>
      <c r="AG86" s="39"/>
      <c r="AH86" s="39">
        <v>0</v>
      </c>
      <c r="AI86" s="39"/>
      <c r="AJ86" s="36"/>
      <c r="AK86" s="36"/>
      <c r="AL86" s="41"/>
      <c r="AM86" s="41">
        <v>4.2000000000000003E-2</v>
      </c>
      <c r="AN86" s="41">
        <v>4.1553270000000003E-2</v>
      </c>
      <c r="AO86" s="41">
        <v>4.1235069999999999E-2</v>
      </c>
      <c r="AP86" s="36"/>
      <c r="AQ86" s="44"/>
      <c r="AR86" s="36" t="s">
        <v>65</v>
      </c>
    </row>
    <row r="87" spans="2:44" x14ac:dyDescent="0.45">
      <c r="B87" s="36" t="s">
        <v>334</v>
      </c>
      <c r="C87" s="36" t="s">
        <v>335</v>
      </c>
      <c r="D87" s="36" t="s">
        <v>7</v>
      </c>
      <c r="E87" s="36" t="s">
        <v>51</v>
      </c>
      <c r="F87" s="37" t="s">
        <v>52</v>
      </c>
      <c r="G87" s="38" t="s">
        <v>254</v>
      </c>
      <c r="H87" s="36" t="s">
        <v>54</v>
      </c>
      <c r="I87" s="37" t="s">
        <v>70</v>
      </c>
      <c r="J87" s="37"/>
      <c r="K87" s="36" t="s">
        <v>56</v>
      </c>
      <c r="L87" s="36" t="s">
        <v>238</v>
      </c>
      <c r="M87" s="36" t="s">
        <v>239</v>
      </c>
      <c r="N87" s="39">
        <v>512000</v>
      </c>
      <c r="O87" s="37" t="s">
        <v>59</v>
      </c>
      <c r="P87" s="40">
        <v>43213</v>
      </c>
      <c r="Q87" s="41">
        <v>1</v>
      </c>
      <c r="R87" s="42">
        <v>102.5</v>
      </c>
      <c r="S87" s="37" t="s">
        <v>60</v>
      </c>
      <c r="T87" s="42">
        <v>200.2</v>
      </c>
      <c r="U87" s="43"/>
      <c r="V87" s="36" t="s">
        <v>240</v>
      </c>
      <c r="W87" s="41">
        <v>3.743792E-2</v>
      </c>
      <c r="X87" s="37" t="s">
        <v>62</v>
      </c>
      <c r="Y87" s="36" t="s">
        <v>56</v>
      </c>
      <c r="Z87" s="36" t="s">
        <v>336</v>
      </c>
      <c r="AA87" s="36" t="s">
        <v>337</v>
      </c>
      <c r="AB87" s="37"/>
      <c r="AC87" s="36" t="s">
        <v>56</v>
      </c>
      <c r="AD87" s="37"/>
      <c r="AE87" s="37" t="s">
        <v>120</v>
      </c>
      <c r="AF87" s="39"/>
      <c r="AG87" s="39"/>
      <c r="AH87" s="39">
        <v>0</v>
      </c>
      <c r="AI87" s="39"/>
      <c r="AJ87" s="36"/>
      <c r="AK87" s="36"/>
      <c r="AL87" s="41"/>
      <c r="AM87" s="41">
        <v>4.2000000000000003E-2</v>
      </c>
      <c r="AN87" s="41">
        <v>4.1553270000000003E-2</v>
      </c>
      <c r="AO87" s="41">
        <v>4.1235069999999999E-2</v>
      </c>
      <c r="AP87" s="36"/>
      <c r="AQ87" s="44"/>
      <c r="AR87" s="36" t="s">
        <v>65</v>
      </c>
    </row>
    <row r="88" spans="2:44" x14ac:dyDescent="0.45">
      <c r="B88" s="36" t="s">
        <v>338</v>
      </c>
      <c r="C88" s="36" t="s">
        <v>339</v>
      </c>
      <c r="D88" s="36" t="s">
        <v>7</v>
      </c>
      <c r="E88" s="36" t="s">
        <v>51</v>
      </c>
      <c r="F88" s="37" t="s">
        <v>52</v>
      </c>
      <c r="G88" s="38" t="s">
        <v>254</v>
      </c>
      <c r="H88" s="36" t="s">
        <v>54</v>
      </c>
      <c r="I88" s="37" t="s">
        <v>70</v>
      </c>
      <c r="J88" s="37"/>
      <c r="K88" s="36" t="s">
        <v>56</v>
      </c>
      <c r="L88" s="36" t="s">
        <v>238</v>
      </c>
      <c r="M88" s="36" t="s">
        <v>239</v>
      </c>
      <c r="N88" s="39">
        <v>98660</v>
      </c>
      <c r="O88" s="37" t="s">
        <v>59</v>
      </c>
      <c r="P88" s="40">
        <v>43131</v>
      </c>
      <c r="Q88" s="41">
        <v>1</v>
      </c>
      <c r="R88" s="42">
        <v>17.5</v>
      </c>
      <c r="S88" s="37" t="s">
        <v>60</v>
      </c>
      <c r="T88" s="42">
        <v>177.38</v>
      </c>
      <c r="U88" s="43"/>
      <c r="V88" s="36" t="s">
        <v>240</v>
      </c>
      <c r="W88" s="41">
        <v>3.8937920000000001E-2</v>
      </c>
      <c r="X88" s="37" t="s">
        <v>62</v>
      </c>
      <c r="Y88" s="36" t="s">
        <v>56</v>
      </c>
      <c r="Z88" s="36" t="s">
        <v>314</v>
      </c>
      <c r="AA88" s="36"/>
      <c r="AB88" s="37"/>
      <c r="AC88" s="36" t="s">
        <v>56</v>
      </c>
      <c r="AD88" s="37"/>
      <c r="AE88" s="37"/>
      <c r="AF88" s="39"/>
      <c r="AG88" s="39"/>
      <c r="AH88" s="39">
        <v>0</v>
      </c>
      <c r="AI88" s="39"/>
      <c r="AJ88" s="36">
        <v>1978</v>
      </c>
      <c r="AK88" s="36"/>
      <c r="AL88" s="41"/>
      <c r="AM88" s="41">
        <v>4.2000000000000003E-2</v>
      </c>
      <c r="AN88" s="41">
        <v>4.1553270000000003E-2</v>
      </c>
      <c r="AO88" s="41">
        <v>4.1235069999999999E-2</v>
      </c>
      <c r="AP88" s="36"/>
      <c r="AQ88" s="44"/>
      <c r="AR88" s="36" t="s">
        <v>65</v>
      </c>
    </row>
    <row r="89" spans="2:44" x14ac:dyDescent="0.45">
      <c r="B89" s="36" t="s">
        <v>340</v>
      </c>
      <c r="C89" s="36" t="s">
        <v>335</v>
      </c>
      <c r="D89" s="36" t="s">
        <v>7</v>
      </c>
      <c r="E89" s="36" t="s">
        <v>51</v>
      </c>
      <c r="F89" s="37" t="s">
        <v>52</v>
      </c>
      <c r="G89" s="38" t="s">
        <v>254</v>
      </c>
      <c r="H89" s="36" t="s">
        <v>54</v>
      </c>
      <c r="I89" s="37" t="s">
        <v>70</v>
      </c>
      <c r="J89" s="37"/>
      <c r="K89" s="36" t="s">
        <v>56</v>
      </c>
      <c r="L89" s="36" t="s">
        <v>238</v>
      </c>
      <c r="M89" s="36" t="s">
        <v>239</v>
      </c>
      <c r="N89" s="39">
        <v>665000</v>
      </c>
      <c r="O89" s="37" t="s">
        <v>59</v>
      </c>
      <c r="P89" s="40">
        <v>42566</v>
      </c>
      <c r="Q89" s="41">
        <v>1</v>
      </c>
      <c r="R89" s="42">
        <v>43</v>
      </c>
      <c r="S89" s="37" t="s">
        <v>60</v>
      </c>
      <c r="T89" s="42">
        <v>64.66</v>
      </c>
      <c r="U89" s="43"/>
      <c r="V89" s="36" t="s">
        <v>240</v>
      </c>
      <c r="W89" s="41">
        <v>4.1937919999999997E-2</v>
      </c>
      <c r="X89" s="37" t="s">
        <v>62</v>
      </c>
      <c r="Y89" s="36" t="s">
        <v>56</v>
      </c>
      <c r="Z89" s="36" t="s">
        <v>337</v>
      </c>
      <c r="AA89" s="36"/>
      <c r="AB89" s="37"/>
      <c r="AC89" s="36" t="s">
        <v>56</v>
      </c>
      <c r="AD89" s="37"/>
      <c r="AE89" s="37" t="s">
        <v>120</v>
      </c>
      <c r="AF89" s="39"/>
      <c r="AG89" s="39"/>
      <c r="AH89" s="39">
        <v>0</v>
      </c>
      <c r="AI89" s="39"/>
      <c r="AJ89" s="36"/>
      <c r="AK89" s="36"/>
      <c r="AL89" s="41"/>
      <c r="AM89" s="41">
        <v>4.2000000000000003E-2</v>
      </c>
      <c r="AN89" s="41">
        <v>4.1553270000000003E-2</v>
      </c>
      <c r="AO89" s="41">
        <v>4.1235069999999999E-2</v>
      </c>
      <c r="AP89" s="36"/>
      <c r="AQ89" s="44"/>
      <c r="AR89" s="36" t="s">
        <v>65</v>
      </c>
    </row>
    <row r="90" spans="2:44" x14ac:dyDescent="0.45">
      <c r="B90" s="36" t="s">
        <v>341</v>
      </c>
      <c r="C90" s="36" t="s">
        <v>342</v>
      </c>
      <c r="D90" s="36" t="s">
        <v>7</v>
      </c>
      <c r="E90" s="36" t="s">
        <v>51</v>
      </c>
      <c r="F90" s="37" t="s">
        <v>52</v>
      </c>
      <c r="G90" s="38" t="s">
        <v>309</v>
      </c>
      <c r="H90" s="36" t="s">
        <v>54</v>
      </c>
      <c r="I90" s="37" t="s">
        <v>70</v>
      </c>
      <c r="J90" s="37"/>
      <c r="K90" s="36" t="s">
        <v>56</v>
      </c>
      <c r="L90" s="36" t="s">
        <v>238</v>
      </c>
      <c r="M90" s="36" t="s">
        <v>239</v>
      </c>
      <c r="N90" s="39">
        <v>133000</v>
      </c>
      <c r="O90" s="37" t="s">
        <v>59</v>
      </c>
      <c r="P90" s="40">
        <v>41520</v>
      </c>
      <c r="Q90" s="41">
        <v>1</v>
      </c>
      <c r="R90" s="42">
        <v>33.6</v>
      </c>
      <c r="S90" s="37" t="s">
        <v>60</v>
      </c>
      <c r="T90" s="42">
        <v>252.63</v>
      </c>
      <c r="U90" s="43"/>
      <c r="V90" s="36" t="s">
        <v>240</v>
      </c>
      <c r="W90" s="41">
        <v>4.4262290000000003E-2</v>
      </c>
      <c r="X90" s="37" t="s">
        <v>62</v>
      </c>
      <c r="Y90" s="36" t="s">
        <v>56</v>
      </c>
      <c r="Z90" s="36" t="s">
        <v>343</v>
      </c>
      <c r="AA90" s="36"/>
      <c r="AB90" s="37"/>
      <c r="AC90" s="36" t="s">
        <v>56</v>
      </c>
      <c r="AD90" s="37"/>
      <c r="AE90" s="37" t="s">
        <v>82</v>
      </c>
      <c r="AF90" s="39"/>
      <c r="AG90" s="39"/>
      <c r="AH90" s="39">
        <v>0</v>
      </c>
      <c r="AI90" s="39"/>
      <c r="AJ90" s="36"/>
      <c r="AK90" s="36"/>
      <c r="AL90" s="41"/>
      <c r="AM90" s="41">
        <v>4.2000000000000003E-2</v>
      </c>
      <c r="AN90" s="41">
        <v>4.1553270000000003E-2</v>
      </c>
      <c r="AO90" s="41">
        <v>4.1235069999999999E-2</v>
      </c>
      <c r="AP90" s="36"/>
      <c r="AQ90" s="44"/>
      <c r="AR90" s="36" t="s">
        <v>65</v>
      </c>
    </row>
    <row r="91" spans="2:44" x14ac:dyDescent="0.45">
      <c r="B91" s="36" t="s">
        <v>344</v>
      </c>
      <c r="C91" s="36" t="s">
        <v>345</v>
      </c>
      <c r="D91" s="36" t="s">
        <v>7</v>
      </c>
      <c r="E91" s="36" t="s">
        <v>51</v>
      </c>
      <c r="F91" s="37" t="s">
        <v>52</v>
      </c>
      <c r="G91" s="38" t="s">
        <v>346</v>
      </c>
      <c r="H91" s="36" t="s">
        <v>54</v>
      </c>
      <c r="I91" s="37" t="s">
        <v>70</v>
      </c>
      <c r="J91" s="37"/>
      <c r="K91" s="36" t="s">
        <v>56</v>
      </c>
      <c r="L91" s="36" t="s">
        <v>238</v>
      </c>
      <c r="M91" s="36" t="s">
        <v>239</v>
      </c>
      <c r="N91" s="39">
        <v>363000</v>
      </c>
      <c r="O91" s="37" t="s">
        <v>59</v>
      </c>
      <c r="P91" s="40">
        <v>40801</v>
      </c>
      <c r="Q91" s="41">
        <v>1</v>
      </c>
      <c r="R91" s="42">
        <v>44.4</v>
      </c>
      <c r="S91" s="37" t="s">
        <v>60</v>
      </c>
      <c r="T91" s="42">
        <v>122.31</v>
      </c>
      <c r="U91" s="43"/>
      <c r="V91" s="36" t="s">
        <v>240</v>
      </c>
      <c r="W91" s="41">
        <v>5.0096189999999999E-2</v>
      </c>
      <c r="X91" s="37" t="s">
        <v>62</v>
      </c>
      <c r="Y91" s="36" t="s">
        <v>56</v>
      </c>
      <c r="Z91" s="36" t="s">
        <v>347</v>
      </c>
      <c r="AA91" s="36" t="s">
        <v>348</v>
      </c>
      <c r="AB91" s="37"/>
      <c r="AC91" s="36" t="s">
        <v>56</v>
      </c>
      <c r="AD91" s="37"/>
      <c r="AE91" s="37" t="s">
        <v>203</v>
      </c>
      <c r="AF91" s="39"/>
      <c r="AG91" s="39"/>
      <c r="AH91" s="39">
        <v>0</v>
      </c>
      <c r="AI91" s="39"/>
      <c r="AJ91" s="36"/>
      <c r="AK91" s="36"/>
      <c r="AL91" s="41"/>
      <c r="AM91" s="41">
        <v>4.2000000000000003E-2</v>
      </c>
      <c r="AN91" s="41">
        <v>4.1553270000000003E-2</v>
      </c>
      <c r="AO91" s="41">
        <v>4.1235069999999999E-2</v>
      </c>
      <c r="AP91" s="36"/>
      <c r="AQ91" s="44"/>
      <c r="AR91" s="36" t="s">
        <v>65</v>
      </c>
    </row>
    <row r="92" spans="2:44" x14ac:dyDescent="0.45">
      <c r="B92" s="36" t="s">
        <v>349</v>
      </c>
      <c r="C92" s="36" t="s">
        <v>350</v>
      </c>
      <c r="D92" s="36" t="s">
        <v>7</v>
      </c>
      <c r="E92" s="36" t="s">
        <v>51</v>
      </c>
      <c r="F92" s="37" t="s">
        <v>52</v>
      </c>
      <c r="G92" s="38" t="s">
        <v>237</v>
      </c>
      <c r="H92" s="36" t="s">
        <v>54</v>
      </c>
      <c r="I92" s="37" t="s">
        <v>70</v>
      </c>
      <c r="J92" s="37"/>
      <c r="K92" s="36" t="s">
        <v>56</v>
      </c>
      <c r="L92" s="36" t="s">
        <v>238</v>
      </c>
      <c r="M92" s="36" t="s">
        <v>239</v>
      </c>
      <c r="N92" s="39">
        <v>434000</v>
      </c>
      <c r="O92" s="37" t="s">
        <v>59</v>
      </c>
      <c r="P92" s="40">
        <v>39142</v>
      </c>
      <c r="Q92" s="41">
        <v>1</v>
      </c>
      <c r="R92" s="42">
        <v>81.819999999999993</v>
      </c>
      <c r="S92" s="37" t="s">
        <v>60</v>
      </c>
      <c r="T92" s="42">
        <v>188.52</v>
      </c>
      <c r="U92" s="43"/>
      <c r="V92" s="36" t="s">
        <v>240</v>
      </c>
      <c r="W92" s="41">
        <v>4.7737109999999999E-2</v>
      </c>
      <c r="X92" s="37" t="s">
        <v>62</v>
      </c>
      <c r="Y92" s="36" t="s">
        <v>56</v>
      </c>
      <c r="Z92" s="36" t="s">
        <v>351</v>
      </c>
      <c r="AA92" s="36" t="s">
        <v>352</v>
      </c>
      <c r="AB92" s="37"/>
      <c r="AC92" s="36" t="s">
        <v>56</v>
      </c>
      <c r="AD92" s="37"/>
      <c r="AE92" s="37"/>
      <c r="AF92" s="39"/>
      <c r="AG92" s="39"/>
      <c r="AH92" s="39">
        <v>0</v>
      </c>
      <c r="AI92" s="39"/>
      <c r="AJ92" s="36"/>
      <c r="AK92" s="36"/>
      <c r="AL92" s="41"/>
      <c r="AM92" s="41">
        <v>4.2000000000000003E-2</v>
      </c>
      <c r="AN92" s="41">
        <v>4.1553270000000003E-2</v>
      </c>
      <c r="AO92" s="41">
        <v>4.1235069999999999E-2</v>
      </c>
      <c r="AP92" s="36"/>
      <c r="AQ92" s="44"/>
      <c r="AR92" s="36" t="s">
        <v>65</v>
      </c>
    </row>
    <row r="93" spans="2:44" x14ac:dyDescent="0.45">
      <c r="B93" s="19" t="s">
        <v>353</v>
      </c>
      <c r="C93" s="19" t="s">
        <v>354</v>
      </c>
      <c r="D93" s="19" t="s">
        <v>7</v>
      </c>
      <c r="E93" s="19" t="s">
        <v>51</v>
      </c>
      <c r="F93" s="20" t="s">
        <v>52</v>
      </c>
      <c r="G93" s="21" t="s">
        <v>254</v>
      </c>
      <c r="H93" s="19" t="s">
        <v>54</v>
      </c>
      <c r="I93" s="20" t="s">
        <v>70</v>
      </c>
      <c r="J93" s="20"/>
      <c r="K93" s="19" t="s">
        <v>56</v>
      </c>
      <c r="L93" s="19" t="s">
        <v>238</v>
      </c>
      <c r="M93" s="19" t="s">
        <v>239</v>
      </c>
      <c r="N93" s="22">
        <v>4324000</v>
      </c>
      <c r="O93" s="20" t="s">
        <v>59</v>
      </c>
      <c r="P93" s="23">
        <v>38718</v>
      </c>
      <c r="Q93" s="24">
        <v>1</v>
      </c>
      <c r="R93" s="25"/>
      <c r="S93" s="20" t="s">
        <v>60</v>
      </c>
      <c r="T93" s="25">
        <v>172.92</v>
      </c>
      <c r="U93" s="25"/>
      <c r="V93" s="19" t="s">
        <v>240</v>
      </c>
      <c r="W93" s="24"/>
      <c r="X93" s="20"/>
      <c r="Y93" s="19" t="s">
        <v>65</v>
      </c>
      <c r="Z93" s="19" t="s">
        <v>355</v>
      </c>
      <c r="AA93" s="19" t="s">
        <v>356</v>
      </c>
      <c r="AB93" s="20"/>
      <c r="AC93" s="19" t="s">
        <v>56</v>
      </c>
      <c r="AD93" s="20"/>
      <c r="AE93" s="20" t="s">
        <v>357</v>
      </c>
      <c r="AF93" s="39"/>
      <c r="AG93" s="39"/>
      <c r="AH93" s="39">
        <v>0</v>
      </c>
      <c r="AI93" s="39"/>
      <c r="AJ93" s="36"/>
      <c r="AK93" s="36"/>
      <c r="AL93" s="41"/>
      <c r="AM93" s="41">
        <v>4.2000000000000003E-2</v>
      </c>
      <c r="AN93" s="41">
        <v>4.1553270000000003E-2</v>
      </c>
      <c r="AO93" s="41">
        <v>4.1235069999999999E-2</v>
      </c>
      <c r="AP93" s="36"/>
      <c r="AQ93" s="44"/>
      <c r="AR93" s="36" t="s">
        <v>65</v>
      </c>
    </row>
    <row r="94" spans="2:44" x14ac:dyDescent="0.45">
      <c r="B94" s="19" t="s">
        <v>358</v>
      </c>
      <c r="C94" s="19" t="s">
        <v>354</v>
      </c>
      <c r="D94" s="19" t="s">
        <v>7</v>
      </c>
      <c r="E94" s="19" t="s">
        <v>51</v>
      </c>
      <c r="F94" s="20" t="s">
        <v>52</v>
      </c>
      <c r="G94" s="21" t="s">
        <v>254</v>
      </c>
      <c r="H94" s="19" t="s">
        <v>54</v>
      </c>
      <c r="I94" s="20" t="s">
        <v>70</v>
      </c>
      <c r="J94" s="20"/>
      <c r="K94" s="19" t="s">
        <v>56</v>
      </c>
      <c r="L94" s="19" t="s">
        <v>238</v>
      </c>
      <c r="M94" s="19" t="s">
        <v>239</v>
      </c>
      <c r="N94" s="22">
        <v>1253000</v>
      </c>
      <c r="O94" s="20" t="s">
        <v>59</v>
      </c>
      <c r="P94" s="23">
        <v>38718</v>
      </c>
      <c r="Q94" s="24">
        <v>1</v>
      </c>
      <c r="R94" s="25"/>
      <c r="S94" s="20"/>
      <c r="T94" s="25"/>
      <c r="U94" s="26"/>
      <c r="V94" s="19" t="s">
        <v>240</v>
      </c>
      <c r="W94" s="24"/>
      <c r="X94" s="20"/>
      <c r="Y94" s="19" t="s">
        <v>65</v>
      </c>
      <c r="Z94" s="19" t="s">
        <v>355</v>
      </c>
      <c r="AA94" s="19" t="s">
        <v>356</v>
      </c>
      <c r="AB94" s="20"/>
      <c r="AC94" s="19" t="s">
        <v>56</v>
      </c>
      <c r="AD94" s="20"/>
      <c r="AE94" s="20" t="s">
        <v>357</v>
      </c>
      <c r="AF94" s="39"/>
      <c r="AG94" s="39"/>
      <c r="AH94" s="39">
        <v>0</v>
      </c>
      <c r="AI94" s="39"/>
      <c r="AJ94" s="36"/>
      <c r="AK94" s="36"/>
      <c r="AL94" s="41"/>
      <c r="AM94" s="41">
        <v>4.2000000000000003E-2</v>
      </c>
      <c r="AN94" s="41">
        <v>4.1553270000000003E-2</v>
      </c>
      <c r="AO94" s="41">
        <v>4.1235069999999999E-2</v>
      </c>
      <c r="AP94" s="36"/>
      <c r="AQ94" s="44"/>
      <c r="AR94" s="36" t="s">
        <v>65</v>
      </c>
    </row>
    <row r="95" spans="2:44" x14ac:dyDescent="0.45">
      <c r="B95" s="36" t="s">
        <v>359</v>
      </c>
      <c r="C95" s="36" t="s">
        <v>360</v>
      </c>
      <c r="D95" s="36" t="s">
        <v>7</v>
      </c>
      <c r="E95" s="36" t="s">
        <v>51</v>
      </c>
      <c r="F95" s="37" t="s">
        <v>52</v>
      </c>
      <c r="G95" s="38" t="s">
        <v>237</v>
      </c>
      <c r="H95" s="36" t="s">
        <v>54</v>
      </c>
      <c r="I95" s="37" t="s">
        <v>70</v>
      </c>
      <c r="J95" s="37"/>
      <c r="K95" s="36" t="s">
        <v>56</v>
      </c>
      <c r="L95" s="36" t="s">
        <v>238</v>
      </c>
      <c r="M95" s="36" t="s">
        <v>239</v>
      </c>
      <c r="N95" s="39">
        <v>559000</v>
      </c>
      <c r="O95" s="37" t="s">
        <v>59</v>
      </c>
      <c r="P95" s="40">
        <v>38508</v>
      </c>
      <c r="Q95" s="41">
        <v>1</v>
      </c>
      <c r="R95" s="42">
        <v>38.700000000000003</v>
      </c>
      <c r="S95" s="37" t="s">
        <v>60</v>
      </c>
      <c r="T95" s="42">
        <v>69.23</v>
      </c>
      <c r="U95" s="43"/>
      <c r="V95" s="36" t="s">
        <v>240</v>
      </c>
      <c r="W95" s="41">
        <v>5.3518339999999998E-2</v>
      </c>
      <c r="X95" s="37" t="s">
        <v>62</v>
      </c>
      <c r="Y95" s="36" t="s">
        <v>56</v>
      </c>
      <c r="Z95" s="36" t="s">
        <v>351</v>
      </c>
      <c r="AA95" s="36" t="s">
        <v>361</v>
      </c>
      <c r="AB95" s="37"/>
      <c r="AC95" s="36" t="s">
        <v>56</v>
      </c>
      <c r="AD95" s="37"/>
      <c r="AE95" s="37"/>
      <c r="AF95" s="39"/>
      <c r="AG95" s="39"/>
      <c r="AH95" s="39">
        <v>0</v>
      </c>
      <c r="AI95" s="39"/>
      <c r="AJ95" s="36"/>
      <c r="AK95" s="36"/>
      <c r="AL95" s="41"/>
      <c r="AM95" s="41">
        <v>4.2000000000000003E-2</v>
      </c>
      <c r="AN95" s="41">
        <v>4.1553270000000003E-2</v>
      </c>
      <c r="AO95" s="41">
        <v>4.1235069999999999E-2</v>
      </c>
      <c r="AP95" s="36"/>
      <c r="AQ95" s="44"/>
      <c r="AR95" s="36" t="s">
        <v>65</v>
      </c>
    </row>
    <row r="96" spans="2:44" x14ac:dyDescent="0.45">
      <c r="B96" s="45" t="s">
        <v>362</v>
      </c>
      <c r="C96" s="45" t="s">
        <v>363</v>
      </c>
      <c r="D96" s="45" t="s">
        <v>7</v>
      </c>
      <c r="E96" s="45" t="s">
        <v>51</v>
      </c>
      <c r="F96" s="46" t="s">
        <v>52</v>
      </c>
      <c r="G96" s="47" t="s">
        <v>237</v>
      </c>
      <c r="H96" s="45" t="s">
        <v>54</v>
      </c>
      <c r="I96" s="46" t="s">
        <v>70</v>
      </c>
      <c r="J96" s="46"/>
      <c r="K96" s="45" t="s">
        <v>56</v>
      </c>
      <c r="L96" s="45" t="s">
        <v>238</v>
      </c>
      <c r="M96" s="45" t="s">
        <v>239</v>
      </c>
      <c r="N96" s="48">
        <v>860000</v>
      </c>
      <c r="O96" s="46" t="s">
        <v>59</v>
      </c>
      <c r="P96" s="49">
        <v>38231</v>
      </c>
      <c r="Q96" s="50">
        <v>1</v>
      </c>
      <c r="R96" s="51">
        <v>65</v>
      </c>
      <c r="S96" s="46" t="s">
        <v>60</v>
      </c>
      <c r="T96" s="51">
        <v>75.58</v>
      </c>
      <c r="U96" s="52"/>
      <c r="V96" s="45" t="s">
        <v>240</v>
      </c>
      <c r="W96" s="50"/>
      <c r="X96" s="46"/>
      <c r="Y96" s="45" t="s">
        <v>56</v>
      </c>
      <c r="Z96" s="45" t="s">
        <v>364</v>
      </c>
      <c r="AA96" s="45" t="s">
        <v>365</v>
      </c>
      <c r="AB96" s="46"/>
      <c r="AC96" s="45" t="s">
        <v>56</v>
      </c>
      <c r="AD96" s="46"/>
      <c r="AE96" s="46" t="s">
        <v>82</v>
      </c>
      <c r="AF96" s="48"/>
      <c r="AG96" s="48"/>
      <c r="AH96" s="48">
        <v>0</v>
      </c>
      <c r="AI96" s="48"/>
      <c r="AJ96" s="45">
        <v>2000</v>
      </c>
      <c r="AK96" s="45"/>
      <c r="AL96" s="50"/>
      <c r="AM96" s="50">
        <v>4.2000000000000003E-2</v>
      </c>
      <c r="AN96" s="50">
        <v>4.1553270000000003E-2</v>
      </c>
      <c r="AO96" s="50">
        <v>4.1235069999999999E-2</v>
      </c>
      <c r="AP96" s="45"/>
      <c r="AQ96" s="53"/>
      <c r="AR96" s="45" t="s">
        <v>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Rent Table</vt:lpstr>
      <vt:lpstr>Rent Summary</vt:lpstr>
      <vt:lpstr>Sales Comp Summary</vt:lpstr>
      <vt:lpstr>Sales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Tran</dc:creator>
  <cp:lastModifiedBy>Kyle Tran</cp:lastModifiedBy>
  <dcterms:created xsi:type="dcterms:W3CDTF">2025-03-02T23:10:30Z</dcterms:created>
  <dcterms:modified xsi:type="dcterms:W3CDTF">2025-03-11T08:06:21Z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19.2.5.0</vt:lpwstr>
  </property>
</Properties>
</file>