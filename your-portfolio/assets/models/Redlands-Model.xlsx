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UniversityofSouthernCalifornia\Semesters\Spring 2025\RED 437\Case Finals\Case 3 Submission - Tran, Kyle\"/>
    </mc:Choice>
  </mc:AlternateContent>
  <xr:revisionPtr revIDLastSave="0" documentId="13_ncr:1_{132DAA55-FE3A-4B32-ABB7-462496FDEAD9}" xr6:coauthVersionLast="47" xr6:coauthVersionMax="47" xr10:uidLastSave="{00000000-0000-0000-0000-000000000000}"/>
  <bookViews>
    <workbookView xWindow="-98" yWindow="-98" windowWidth="26116" windowHeight="16381" activeTab="3" xr2:uid="{E360092B-5832-4E8E-9C05-B8C17B89A1C7}"/>
  </bookViews>
  <sheets>
    <sheet name="Annual Projections" sheetId="17" r:id="rId1"/>
    <sheet name="Redlands Pro Forma" sheetId="1" r:id="rId2"/>
    <sheet name="Redlands Inputs" sheetId="6" r:id="rId3"/>
    <sheet name="Redlands Partnership Returns" sheetId="14" r:id="rId4"/>
    <sheet name="Cap Rate Analysis" sheetId="15" r:id="rId5"/>
    <sheet name="Growth Rates" sheetId="18" r:id="rId6"/>
    <sheet name="Rent Summary" sheetId="13" r:id="rId7"/>
    <sheet name="Rent Table" sheetId="12" r:id="rId8"/>
    <sheet name="Sales Table" sheetId="10" r:id="rId9"/>
  </sheets>
  <externalReferences>
    <externalReference r:id="rId10"/>
  </externalReferences>
  <definedNames>
    <definedName name="_xlcn.WorksheetConnection_rent_comps_torrance_redlands.xlsxAppended" hidden="1">[1]!Appended[#Data]</definedName>
    <definedName name="analysis_start" localSheetId="3">#REF!</definedName>
    <definedName name="analysis_start">'Redlands Inputs'!$D$14</definedName>
    <definedName name="market_rent" localSheetId="3">#REF!</definedName>
    <definedName name="market_rent">'Redlands Inputs'!$D$25</definedName>
    <definedName name="Pal_Workbook_GUID" hidden="1">"XXE9JFB1Z8XY1XAAKHTHRBNR"</definedName>
  </definedNames>
  <calcPr calcId="191028"/>
  <pivotCaches>
    <pivotCache cacheId="1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pended-488c0056-52c8-4039-a4cc-3ebbf9893c76" name="Appended" connection="WorksheetConnection_rent_comps_torrance_redlands.xlsx!Append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4" l="1"/>
  <c r="B42" i="6"/>
  <c r="B41" i="6" s="1"/>
  <c r="B40" i="6" s="1"/>
  <c r="DR68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G10" i="14"/>
  <c r="H10" i="14"/>
  <c r="I10" i="14"/>
  <c r="J10" i="14"/>
  <c r="K10" i="14"/>
  <c r="L10" i="14"/>
  <c r="M10" i="14"/>
  <c r="N10" i="14"/>
  <c r="F10" i="14"/>
  <c r="I9" i="15"/>
  <c r="N4" i="18"/>
  <c r="F4" i="18"/>
  <c r="G4" i="18"/>
  <c r="H4" i="18"/>
  <c r="I4" i="18" s="1"/>
  <c r="J4" i="18" s="1"/>
  <c r="K4" i="18" s="1"/>
  <c r="L4" i="18" s="1"/>
  <c r="M4" i="18" s="1"/>
  <c r="E4" i="18"/>
  <c r="D8" i="17"/>
  <c r="E8" i="17" s="1"/>
  <c r="F8" i="17" s="1"/>
  <c r="G8" i="17" s="1"/>
  <c r="H8" i="17" s="1"/>
  <c r="I8" i="17" s="1"/>
  <c r="J8" i="17" s="1"/>
  <c r="K8" i="17" s="1"/>
  <c r="L8" i="17" s="1"/>
  <c r="M8" i="17" s="1"/>
  <c r="C10" i="17"/>
  <c r="B10" i="17" s="1"/>
  <c r="B8" i="17"/>
  <c r="X5" i="15"/>
  <c r="X6" i="15"/>
  <c r="X7" i="15"/>
  <c r="X8" i="15"/>
  <c r="X4" i="15"/>
  <c r="C9" i="15"/>
  <c r="B43" i="6" l="1"/>
  <c r="B44" i="6" s="1"/>
  <c r="D10" i="17"/>
  <c r="E10" i="17" s="1"/>
  <c r="F10" i="17" s="1"/>
  <c r="G10" i="17" s="1"/>
  <c r="H10" i="17" s="1"/>
  <c r="I10" i="17" s="1"/>
  <c r="J10" i="17" s="1"/>
  <c r="K10" i="17" s="1"/>
  <c r="L10" i="17" s="1"/>
  <c r="M10" i="17" s="1"/>
  <c r="L9" i="15" l="1"/>
  <c r="AA8" i="15"/>
  <c r="AA7" i="15"/>
  <c r="AA6" i="15"/>
  <c r="AA5" i="15"/>
  <c r="AA4" i="15"/>
  <c r="P4" i="15"/>
  <c r="O4" i="15"/>
  <c r="V7" i="15"/>
  <c r="Q3" i="15"/>
  <c r="W25" i="14"/>
  <c r="W24" i="14"/>
  <c r="X19" i="14"/>
  <c r="E17" i="14"/>
  <c r="E19" i="14" s="1"/>
  <c r="E10" i="14"/>
  <c r="E54" i="14" s="1"/>
  <c r="AB11" i="14" a="1"/>
  <c r="AJ16" i="14" s="1"/>
  <c r="P11" i="14"/>
  <c r="P13" i="14" s="1"/>
  <c r="AL10" i="14"/>
  <c r="AK10" i="14"/>
  <c r="AJ10" i="14"/>
  <c r="AI10" i="14"/>
  <c r="AH10" i="14"/>
  <c r="AG10" i="14"/>
  <c r="AF10" i="14"/>
  <c r="AE10" i="14"/>
  <c r="AD10" i="14"/>
  <c r="AC10" i="14"/>
  <c r="AB10" i="14"/>
  <c r="N54" i="14"/>
  <c r="M54" i="14"/>
  <c r="L54" i="14"/>
  <c r="K54" i="14"/>
  <c r="J54" i="14"/>
  <c r="I54" i="14"/>
  <c r="H54" i="14"/>
  <c r="G54" i="14"/>
  <c r="F54" i="14"/>
  <c r="G9" i="14"/>
  <c r="H9" i="14" s="1"/>
  <c r="I9" i="14" s="1"/>
  <c r="J9" i="14" s="1"/>
  <c r="K9" i="14" s="1"/>
  <c r="L9" i="14" s="1"/>
  <c r="M9" i="14" s="1"/>
  <c r="N9" i="14" s="1"/>
  <c r="O9" i="14" s="1"/>
  <c r="P9" i="14" s="1"/>
  <c r="E9" i="14"/>
  <c r="E8" i="14" a="1"/>
  <c r="E8" i="14" s="1"/>
  <c r="AK16" i="14" l="1"/>
  <c r="AF16" i="14"/>
  <c r="AG16" i="14"/>
  <c r="AC16" i="14"/>
  <c r="AI16" i="14"/>
  <c r="AB11" i="14"/>
  <c r="AE16" i="14"/>
  <c r="AA9" i="15"/>
  <c r="U5" i="15"/>
  <c r="W5" i="15" s="1"/>
  <c r="U7" i="15"/>
  <c r="W7" i="15" s="1"/>
  <c r="U8" i="15"/>
  <c r="W8" i="15" s="1"/>
  <c r="U4" i="15"/>
  <c r="W4" i="15" s="1"/>
  <c r="Q4" i="15"/>
  <c r="V5" i="15"/>
  <c r="U6" i="15"/>
  <c r="W6" i="15" s="1"/>
  <c r="V8" i="15"/>
  <c r="V6" i="15"/>
  <c r="P22" i="14"/>
  <c r="P20" i="14"/>
  <c r="P18" i="14"/>
  <c r="W26" i="14"/>
  <c r="X27" i="14" s="1"/>
  <c r="AD16" i="14"/>
  <c r="AH16" i="14"/>
  <c r="P28" i="14" l="1"/>
  <c r="P31" i="14" s="1"/>
  <c r="P34" i="14" s="1"/>
  <c r="Y6" i="15"/>
  <c r="Z6" i="15" s="1"/>
  <c r="P3" i="15"/>
  <c r="R3" i="15" s="1"/>
  <c r="R4" i="15" s="1"/>
  <c r="O3" i="15"/>
  <c r="D9" i="15"/>
  <c r="V4" i="15"/>
  <c r="AB14" i="14"/>
  <c r="AB13" i="14" s="1"/>
  <c r="AB17" i="14" s="1"/>
  <c r="AI15" i="14"/>
  <c r="AI17" i="14" s="1"/>
  <c r="L11" i="14" s="1"/>
  <c r="L13" i="14" s="1"/>
  <c r="AH15" i="14"/>
  <c r="AH17" i="14" s="1"/>
  <c r="K11" i="14" s="1"/>
  <c r="K13" i="14" s="1"/>
  <c r="AE15" i="14"/>
  <c r="AE17" i="14" s="1"/>
  <c r="H11" i="14" s="1"/>
  <c r="H13" i="14" s="1"/>
  <c r="AD15" i="14"/>
  <c r="AD17" i="14" s="1"/>
  <c r="G11" i="14" s="1"/>
  <c r="G13" i="14" s="1"/>
  <c r="AG15" i="14"/>
  <c r="AG17" i="14" s="1"/>
  <c r="J11" i="14" s="1"/>
  <c r="J13" i="14" s="1"/>
  <c r="AJ15" i="14"/>
  <c r="AJ17" i="14" s="1"/>
  <c r="M11" i="14" s="1"/>
  <c r="M13" i="14" s="1"/>
  <c r="AL16" i="14"/>
  <c r="AC15" i="14"/>
  <c r="AC17" i="14" s="1"/>
  <c r="F11" i="14" s="1"/>
  <c r="F13" i="14" s="1"/>
  <c r="AL15" i="14"/>
  <c r="AK15" i="14"/>
  <c r="AK17" i="14" s="1"/>
  <c r="N11" i="14" s="1"/>
  <c r="N13" i="14" s="1"/>
  <c r="AF15" i="14"/>
  <c r="AF17" i="14" s="1"/>
  <c r="I11" i="14" s="1"/>
  <c r="I13" i="14" s="1"/>
  <c r="P37" i="14" l="1"/>
  <c r="P43" i="14" s="1"/>
  <c r="P44" i="14" s="1"/>
  <c r="Y5" i="15"/>
  <c r="Z5" i="15" s="1"/>
  <c r="H9" i="15"/>
  <c r="I18" i="14"/>
  <c r="H18" i="14"/>
  <c r="N18" i="14"/>
  <c r="M18" i="14"/>
  <c r="K18" i="14"/>
  <c r="AL17" i="14"/>
  <c r="O11" i="14" s="1"/>
  <c r="J18" i="14"/>
  <c r="L18" i="14"/>
  <c r="F18" i="14"/>
  <c r="G18" i="14"/>
  <c r="E11" i="14"/>
  <c r="E13" i="14" s="1"/>
  <c r="AB20" i="14"/>
  <c r="AB19" i="14" l="1"/>
  <c r="P39" i="14"/>
  <c r="P40" i="14" s="1"/>
  <c r="J9" i="15"/>
  <c r="K9" i="15"/>
  <c r="Y4" i="15"/>
  <c r="Z4" i="15" s="1"/>
  <c r="Y8" i="15"/>
  <c r="Z8" i="15" s="1"/>
  <c r="Y7" i="15"/>
  <c r="Z7" i="15" s="1"/>
  <c r="E22" i="14"/>
  <c r="E18" i="14"/>
  <c r="E20" i="14"/>
  <c r="E21" i="14" s="1"/>
  <c r="E23" i="14" s="1"/>
  <c r="Y9" i="15" l="1"/>
  <c r="E24" i="14"/>
  <c r="E28" i="14"/>
  <c r="E25" i="14" l="1"/>
  <c r="F17" i="14" s="1"/>
  <c r="F19" i="14" s="1"/>
  <c r="E31" i="14"/>
  <c r="E37" i="14"/>
  <c r="E43" i="14" l="1"/>
  <c r="E39" i="14"/>
  <c r="E40" i="14" s="1"/>
  <c r="E34" i="14"/>
  <c r="F20" i="14"/>
  <c r="E44" i="14" l="1"/>
  <c r="E50" i="14" s="1"/>
  <c r="F22" i="14"/>
  <c r="F24" i="14" s="1"/>
  <c r="F21" i="14"/>
  <c r="F23" i="14" s="1"/>
  <c r="F28" i="14" l="1"/>
  <c r="F31" i="14" s="1"/>
  <c r="F25" i="14"/>
  <c r="G17" i="14" s="1"/>
  <c r="G19" i="14" s="1"/>
  <c r="F37" i="14" l="1"/>
  <c r="F39" i="14" s="1"/>
  <c r="F40" i="14" s="1"/>
  <c r="G20" i="14"/>
  <c r="G21" i="14" s="1"/>
  <c r="G23" i="14" s="1"/>
  <c r="F34" i="14"/>
  <c r="F43" i="14" l="1"/>
  <c r="F44" i="14" s="1"/>
  <c r="F50" i="14" s="1"/>
  <c r="G22" i="14"/>
  <c r="G24" i="14" s="1"/>
  <c r="G25" i="14" l="1"/>
  <c r="H17" i="14" s="1"/>
  <c r="H19" i="14" s="1"/>
  <c r="G28" i="14"/>
  <c r="G31" i="14" l="1"/>
  <c r="G37" i="14"/>
  <c r="H20" i="14"/>
  <c r="H21" i="14" s="1"/>
  <c r="H23" i="14" s="1"/>
  <c r="G34" i="14" l="1"/>
  <c r="H22" i="14"/>
  <c r="H24" i="14" s="1"/>
  <c r="G43" i="14"/>
  <c r="G39" i="14"/>
  <c r="G40" i="14" s="1"/>
  <c r="H28" i="14" l="1"/>
  <c r="H37" i="14" s="1"/>
  <c r="G44" i="14"/>
  <c r="G50" i="14" s="1"/>
  <c r="H25" i="14"/>
  <c r="I17" i="14" s="1"/>
  <c r="I19" i="14" s="1"/>
  <c r="H31" i="14" l="1"/>
  <c r="H34" i="14" s="1"/>
  <c r="H43" i="14"/>
  <c r="H39" i="14"/>
  <c r="I20" i="14"/>
  <c r="I21" i="14" s="1"/>
  <c r="I23" i="14" s="1"/>
  <c r="H40" i="14" l="1"/>
  <c r="H44" i="14"/>
  <c r="H50" i="14" s="1"/>
  <c r="I22" i="14"/>
  <c r="I24" i="14" s="1"/>
  <c r="I28" i="14" l="1"/>
  <c r="I25" i="14"/>
  <c r="J17" i="14" s="1"/>
  <c r="J19" i="14" s="1"/>
  <c r="I31" i="14" l="1"/>
  <c r="I37" i="14"/>
  <c r="J20" i="14"/>
  <c r="J21" i="14" s="1"/>
  <c r="J23" i="14" s="1"/>
  <c r="I34" i="14" l="1"/>
  <c r="J22" i="14"/>
  <c r="J24" i="14" s="1"/>
  <c r="J25" i="14" s="1"/>
  <c r="K17" i="14" s="1"/>
  <c r="K19" i="14" s="1"/>
  <c r="K20" i="14" s="1"/>
  <c r="I43" i="14"/>
  <c r="I39" i="14"/>
  <c r="I40" i="14" s="1"/>
  <c r="J28" i="14" l="1"/>
  <c r="J31" i="14" s="1"/>
  <c r="J34" i="14" s="1"/>
  <c r="I44" i="14"/>
  <c r="I50" i="14" s="1"/>
  <c r="K22" i="14"/>
  <c r="K28" i="14" s="1"/>
  <c r="K21" i="14"/>
  <c r="K23" i="14" s="1"/>
  <c r="J37" i="14" l="1"/>
  <c r="J39" i="14" s="1"/>
  <c r="J40" i="14" s="1"/>
  <c r="K31" i="14"/>
  <c r="K34" i="14" s="1"/>
  <c r="K37" i="14"/>
  <c r="K24" i="14"/>
  <c r="K25" i="14" s="1"/>
  <c r="L17" i="14" s="1"/>
  <c r="L19" i="14" s="1"/>
  <c r="J43" i="14" l="1"/>
  <c r="J44" i="14" s="1"/>
  <c r="J50" i="14" s="1"/>
  <c r="L20" i="14"/>
  <c r="K43" i="14"/>
  <c r="K44" i="14" s="1"/>
  <c r="K50" i="14" s="1"/>
  <c r="K39" i="14"/>
  <c r="K40" i="14" s="1"/>
  <c r="L22" i="14" l="1"/>
  <c r="L24" i="14" s="1"/>
  <c r="L21" i="14"/>
  <c r="L23" i="14" s="1"/>
  <c r="L28" i="14" l="1"/>
  <c r="L37" i="14" s="1"/>
  <c r="L25" i="14"/>
  <c r="M17" i="14" s="1"/>
  <c r="M19" i="14" s="1"/>
  <c r="L31" i="14" l="1"/>
  <c r="L34" i="14" s="1"/>
  <c r="L43" i="14"/>
  <c r="L39" i="14"/>
  <c r="M20" i="14"/>
  <c r="L40" i="14" l="1"/>
  <c r="L44" i="14"/>
  <c r="L50" i="14" s="1"/>
  <c r="M22" i="14"/>
  <c r="M24" i="14" s="1"/>
  <c r="M21" i="14"/>
  <c r="M23" i="14" s="1"/>
  <c r="M28" i="14" l="1"/>
  <c r="M25" i="14"/>
  <c r="N17" i="14" s="1"/>
  <c r="N19" i="14" s="1"/>
  <c r="N20" i="14" s="1"/>
  <c r="N21" i="14" l="1"/>
  <c r="N23" i="14" s="1"/>
  <c r="N22" i="14"/>
  <c r="N24" i="14" s="1"/>
  <c r="M31" i="14"/>
  <c r="M34" i="14" s="1"/>
  <c r="M37" i="14"/>
  <c r="N28" i="14" l="1"/>
  <c r="N31" i="14" s="1"/>
  <c r="M43" i="14"/>
  <c r="M44" i="14" s="1"/>
  <c r="M50" i="14" s="1"/>
  <c r="M39" i="14"/>
  <c r="M40" i="14" s="1"/>
  <c r="N25" i="14"/>
  <c r="O17" i="14" s="1"/>
  <c r="O19" i="14" s="1"/>
  <c r="N37" i="14" l="1"/>
  <c r="N39" i="14" s="1"/>
  <c r="N40" i="14" s="1"/>
  <c r="N34" i="14"/>
  <c r="N43" i="14" l="1"/>
  <c r="N44" i="14" s="1"/>
  <c r="N50" i="14" l="1"/>
  <c r="K17" i="6" l="1"/>
  <c r="K18" i="6"/>
  <c r="S101" i="12" a="1"/>
  <c r="S101" i="12" s="1"/>
  <c r="S100" i="12" a="1"/>
  <c r="S100" i="12" s="1"/>
  <c r="S99" i="12" a="1"/>
  <c r="S99" i="12" s="1"/>
  <c r="S98" i="12" a="1"/>
  <c r="S98" i="12" s="1"/>
  <c r="S97" i="12" a="1"/>
  <c r="S97" i="12" s="1"/>
  <c r="S96" i="12" a="1"/>
  <c r="S96" i="12" s="1"/>
  <c r="S95" i="12" a="1"/>
  <c r="S95" i="12" s="1"/>
  <c r="S94" i="12" a="1"/>
  <c r="S94" i="12" s="1"/>
  <c r="S93" i="12" a="1"/>
  <c r="S93" i="12" s="1"/>
  <c r="S92" i="12" a="1"/>
  <c r="S92" i="12" s="1"/>
  <c r="S91" i="12" a="1"/>
  <c r="S91" i="12" s="1"/>
  <c r="S90" i="12" a="1"/>
  <c r="S90" i="12" s="1"/>
  <c r="S89" i="12" a="1"/>
  <c r="S89" i="12" s="1"/>
  <c r="S88" i="12" a="1"/>
  <c r="S88" i="12" s="1"/>
  <c r="S87" i="12" a="1"/>
  <c r="S87" i="12" s="1"/>
  <c r="S86" i="12" a="1"/>
  <c r="S86" i="12" s="1"/>
  <c r="S85" i="12" a="1"/>
  <c r="S85" i="12" s="1"/>
  <c r="S84" i="12" a="1"/>
  <c r="S84" i="12" s="1"/>
  <c r="S83" i="12" a="1"/>
  <c r="S83" i="12" s="1"/>
  <c r="S82" i="12" a="1"/>
  <c r="S82" i="12" s="1"/>
  <c r="S81" i="12" a="1"/>
  <c r="S81" i="12" s="1"/>
  <c r="S80" i="12" a="1"/>
  <c r="S80" i="12" s="1"/>
  <c r="S79" i="12" a="1"/>
  <c r="S79" i="12" s="1"/>
  <c r="S78" i="12" a="1"/>
  <c r="S78" i="12" s="1"/>
  <c r="S77" i="12" a="1"/>
  <c r="S77" i="12" s="1"/>
  <c r="S76" i="12" a="1"/>
  <c r="S76" i="12" s="1"/>
  <c r="S75" i="12" a="1"/>
  <c r="S75" i="12" s="1"/>
  <c r="S74" i="12" a="1"/>
  <c r="S74" i="12" s="1"/>
  <c r="S73" i="12" a="1"/>
  <c r="S73" i="12" s="1"/>
  <c r="S72" i="12" a="1"/>
  <c r="S72" i="12" s="1"/>
  <c r="S71" i="12" a="1"/>
  <c r="S71" i="12" s="1"/>
  <c r="S70" i="12" a="1"/>
  <c r="S70" i="12" s="1"/>
  <c r="S69" i="12" a="1"/>
  <c r="S69" i="12" s="1"/>
  <c r="S68" i="12" a="1"/>
  <c r="S68" i="12" s="1"/>
  <c r="S67" i="12" a="1"/>
  <c r="S67" i="12" s="1"/>
  <c r="S66" i="12" a="1"/>
  <c r="S66" i="12" s="1"/>
  <c r="S65" i="12" a="1"/>
  <c r="S65" i="12" s="1"/>
  <c r="S64" i="12" a="1"/>
  <c r="S64" i="12" s="1"/>
  <c r="S63" i="12" a="1"/>
  <c r="S63" i="12" s="1"/>
  <c r="S62" i="12" a="1"/>
  <c r="S62" i="12" s="1"/>
  <c r="S61" i="12" a="1"/>
  <c r="S61" i="12" s="1"/>
  <c r="S60" i="12" a="1"/>
  <c r="S60" i="12" s="1"/>
  <c r="S59" i="12" a="1"/>
  <c r="S59" i="12" s="1"/>
  <c r="S58" i="12" a="1"/>
  <c r="S58" i="12" s="1"/>
  <c r="S57" i="12" a="1"/>
  <c r="S57" i="12" s="1"/>
  <c r="S56" i="12" a="1"/>
  <c r="S56" i="12" s="1"/>
  <c r="S55" i="12" a="1"/>
  <c r="S55" i="12" s="1"/>
  <c r="S54" i="12" a="1"/>
  <c r="S54" i="12" s="1"/>
  <c r="S53" i="12" a="1"/>
  <c r="S53" i="12" s="1"/>
  <c r="S52" i="12" a="1"/>
  <c r="S52" i="12" s="1"/>
  <c r="S51" i="12" a="1"/>
  <c r="S51" i="12" s="1"/>
  <c r="S50" i="12" a="1"/>
  <c r="S50" i="12" s="1"/>
  <c r="S49" i="12" a="1"/>
  <c r="S49" i="12" s="1"/>
  <c r="S48" i="12" a="1"/>
  <c r="S48" i="12" s="1"/>
  <c r="S47" i="12" a="1"/>
  <c r="S47" i="12" s="1"/>
  <c r="S46" i="12" a="1"/>
  <c r="S46" i="12" s="1"/>
  <c r="S45" i="12" a="1"/>
  <c r="S45" i="12" s="1"/>
  <c r="S44" i="12" a="1"/>
  <c r="S44" i="12" s="1"/>
  <c r="S43" i="12" a="1"/>
  <c r="S43" i="12" s="1"/>
  <c r="S42" i="12" a="1"/>
  <c r="S42" i="12" s="1"/>
  <c r="S41" i="12" a="1"/>
  <c r="S41" i="12" s="1"/>
  <c r="S40" i="12" a="1"/>
  <c r="S40" i="12" s="1"/>
  <c r="S39" i="12" a="1"/>
  <c r="S39" i="12" s="1"/>
  <c r="S38" i="12" a="1"/>
  <c r="S38" i="12" s="1"/>
  <c r="S37" i="12" a="1"/>
  <c r="S37" i="12" s="1"/>
  <c r="S36" i="12" a="1"/>
  <c r="S36" i="12" s="1"/>
  <c r="S35" i="12" a="1"/>
  <c r="S35" i="12" s="1"/>
  <c r="S34" i="12" a="1"/>
  <c r="S34" i="12" s="1"/>
  <c r="S33" i="12" a="1"/>
  <c r="S33" i="12" s="1"/>
  <c r="S32" i="12" a="1"/>
  <c r="S32" i="12" s="1"/>
  <c r="S31" i="12" a="1"/>
  <c r="S31" i="12" s="1"/>
  <c r="S30" i="12" a="1"/>
  <c r="S30" i="12" s="1"/>
  <c r="S29" i="12"/>
  <c r="S29" i="12" a="1"/>
  <c r="S28" i="12" a="1"/>
  <c r="S28" i="12" s="1"/>
  <c r="S27" i="12"/>
  <c r="S27" i="12" a="1"/>
  <c r="S26" i="12" a="1"/>
  <c r="S26" i="12" s="1"/>
  <c r="S25" i="12"/>
  <c r="S25" i="12" a="1"/>
  <c r="S24" i="12" a="1"/>
  <c r="S24" i="12" s="1"/>
  <c r="S23" i="12"/>
  <c r="S23" i="12" a="1"/>
  <c r="S22" i="12" a="1"/>
  <c r="S22" i="12" s="1"/>
  <c r="S21" i="12"/>
  <c r="S21" i="12" a="1"/>
  <c r="S20" i="12" a="1"/>
  <c r="S20" i="12" s="1"/>
  <c r="S19" i="12"/>
  <c r="S19" i="12" a="1"/>
  <c r="S18" i="12" a="1"/>
  <c r="S18" i="12" s="1"/>
  <c r="S17" i="12"/>
  <c r="S17" i="12" a="1"/>
  <c r="S16" i="12" a="1"/>
  <c r="S16" i="12" s="1"/>
  <c r="S15" i="12"/>
  <c r="S15" i="12" a="1"/>
  <c r="S14" i="12" a="1"/>
  <c r="S14" i="12" s="1"/>
  <c r="S13" i="12"/>
  <c r="S13" i="12" a="1"/>
  <c r="S12" i="12" a="1"/>
  <c r="S12" i="12" s="1"/>
  <c r="S11" i="12"/>
  <c r="S11" i="12" a="1"/>
  <c r="S10" i="12" a="1"/>
  <c r="S10" i="12" s="1"/>
  <c r="S9" i="12" a="1"/>
  <c r="S9" i="12" s="1"/>
  <c r="S8" i="12" a="1"/>
  <c r="S8" i="12" s="1"/>
  <c r="S7" i="12"/>
  <c r="S7" i="12" a="1"/>
  <c r="S6" i="12" a="1"/>
  <c r="S6" i="12" s="1"/>
  <c r="S5" i="12"/>
  <c r="S5" i="12" a="1"/>
  <c r="S4" i="12" a="1"/>
  <c r="S4" i="12" s="1"/>
  <c r="S3" i="12" a="1"/>
  <c r="S3" i="12" s="1"/>
  <c r="S2" i="12" a="1"/>
  <c r="S2" i="12" s="1"/>
  <c r="D16" i="6"/>
  <c r="D8" i="6" s="1"/>
  <c r="E39" i="6" s="1"/>
  <c r="B8" i="1"/>
  <c r="L4" i="6"/>
  <c r="L5" i="6"/>
  <c r="L3" i="6"/>
  <c r="D20" i="6"/>
  <c r="C31" i="6" s="1"/>
  <c r="G21" i="6"/>
  <c r="K16" i="6"/>
  <c r="H22" i="6"/>
  <c r="G22" i="6" s="1"/>
  <c r="C14" i="1" s="1" a="1"/>
  <c r="C14" i="1" s="1"/>
  <c r="H20" i="6"/>
  <c r="D24" i="6" s="1"/>
  <c r="H7" i="6"/>
  <c r="H10" i="6"/>
  <c r="H5" i="6"/>
  <c r="C41" i="1" s="1"/>
  <c r="H4" i="6"/>
  <c r="C40" i="1" s="1"/>
  <c r="H3" i="6"/>
  <c r="C39" i="1" s="1"/>
  <c r="C9" i="1" a="1"/>
  <c r="DV72" i="1" s="1"/>
  <c r="C10" i="1"/>
  <c r="B10" i="1" s="1"/>
  <c r="D39" i="6" l="1"/>
  <c r="C39" i="6" s="1"/>
  <c r="F39" i="6"/>
  <c r="G39" i="6" s="1"/>
  <c r="B39" i="17"/>
  <c r="H28" i="6"/>
  <c r="B40" i="17"/>
  <c r="H29" i="6"/>
  <c r="B41" i="17"/>
  <c r="H30" i="6"/>
  <c r="J6" i="6"/>
  <c r="H6" i="6" s="1"/>
  <c r="C42" i="1" s="1"/>
  <c r="B63" i="1"/>
  <c r="B64" i="1" s="1"/>
  <c r="B65" i="1" s="1"/>
  <c r="ED72" i="1"/>
  <c r="DY72" i="1"/>
  <c r="DS72" i="1"/>
  <c r="C15" i="1" a="1"/>
  <c r="C15" i="1" s="1"/>
  <c r="C9" i="6"/>
  <c r="EC72" i="1"/>
  <c r="DW72" i="1"/>
  <c r="EA72" i="1"/>
  <c r="DT72" i="1"/>
  <c r="DX72" i="1"/>
  <c r="EB72" i="1"/>
  <c r="DZ72" i="1"/>
  <c r="DU72" i="1"/>
  <c r="CQ68" i="1"/>
  <c r="AL68" i="1"/>
  <c r="BK68" i="1"/>
  <c r="CP68" i="1"/>
  <c r="F68" i="1"/>
  <c r="O68" i="1"/>
  <c r="AT68" i="1"/>
  <c r="BR68" i="1"/>
  <c r="BR69" i="1" s="1"/>
  <c r="BR70" i="1" s="1"/>
  <c r="CY68" i="1"/>
  <c r="V68" i="1"/>
  <c r="AU68" i="1"/>
  <c r="CA68" i="1"/>
  <c r="DO68" i="1"/>
  <c r="AD68" i="1"/>
  <c r="BJ68" i="1"/>
  <c r="CH68" i="1"/>
  <c r="DS68" i="1"/>
  <c r="N68" i="1"/>
  <c r="AE68" i="1"/>
  <c r="BB68" i="1"/>
  <c r="BZ68" i="1"/>
  <c r="EB8" i="1"/>
  <c r="EB55" i="1" s="1"/>
  <c r="EB56" i="1" s="1"/>
  <c r="EA68" i="1"/>
  <c r="DK68" i="1"/>
  <c r="CU68" i="1"/>
  <c r="CM68" i="1"/>
  <c r="CE68" i="1"/>
  <c r="BW68" i="1"/>
  <c r="BO68" i="1"/>
  <c r="BG68" i="1"/>
  <c r="AY68" i="1"/>
  <c r="AQ68" i="1"/>
  <c r="AI68" i="1"/>
  <c r="AA68" i="1"/>
  <c r="S68" i="1"/>
  <c r="K68" i="1"/>
  <c r="DW68" i="1"/>
  <c r="DG68" i="1"/>
  <c r="CT68" i="1"/>
  <c r="CL68" i="1"/>
  <c r="CD68" i="1"/>
  <c r="BV68" i="1"/>
  <c r="BN68" i="1"/>
  <c r="BF68" i="1"/>
  <c r="AX68" i="1"/>
  <c r="AP68" i="1"/>
  <c r="AH68" i="1"/>
  <c r="Z68" i="1"/>
  <c r="R68" i="1"/>
  <c r="J68" i="1"/>
  <c r="G68" i="1"/>
  <c r="W68" i="1"/>
  <c r="AM68" i="1"/>
  <c r="BC68" i="1"/>
  <c r="BS68" i="1"/>
  <c r="CI68" i="1"/>
  <c r="DC68" i="1"/>
  <c r="D68" i="1"/>
  <c r="H68" i="1"/>
  <c r="L68" i="1"/>
  <c r="P68" i="1"/>
  <c r="T68" i="1"/>
  <c r="X68" i="1"/>
  <c r="AB68" i="1"/>
  <c r="AF68" i="1"/>
  <c r="AJ68" i="1"/>
  <c r="AN68" i="1"/>
  <c r="AR68" i="1"/>
  <c r="AV68" i="1"/>
  <c r="AZ68" i="1"/>
  <c r="BD68" i="1"/>
  <c r="BH68" i="1"/>
  <c r="BL68" i="1"/>
  <c r="BP68" i="1"/>
  <c r="BT68" i="1"/>
  <c r="BX68" i="1"/>
  <c r="CB68" i="1"/>
  <c r="CF68" i="1"/>
  <c r="CJ68" i="1"/>
  <c r="CN68" i="1"/>
  <c r="CR68" i="1"/>
  <c r="CV68" i="1"/>
  <c r="CZ68" i="1"/>
  <c r="DD68" i="1"/>
  <c r="DH68" i="1"/>
  <c r="DL68" i="1"/>
  <c r="DP68" i="1"/>
  <c r="DT68" i="1"/>
  <c r="DX68" i="1"/>
  <c r="EB68" i="1"/>
  <c r="E68" i="1"/>
  <c r="I68" i="1"/>
  <c r="M68" i="1"/>
  <c r="Q68" i="1"/>
  <c r="U68" i="1"/>
  <c r="Y68" i="1"/>
  <c r="AC68" i="1"/>
  <c r="AG68" i="1"/>
  <c r="AK68" i="1"/>
  <c r="AO68" i="1"/>
  <c r="AS68" i="1"/>
  <c r="AW68" i="1"/>
  <c r="BA68" i="1"/>
  <c r="BE68" i="1"/>
  <c r="BI68" i="1"/>
  <c r="BM68" i="1"/>
  <c r="BQ68" i="1"/>
  <c r="BU68" i="1"/>
  <c r="BY68" i="1"/>
  <c r="CC68" i="1"/>
  <c r="CG68" i="1"/>
  <c r="CK68" i="1"/>
  <c r="CO68" i="1"/>
  <c r="CS68" i="1"/>
  <c r="CW68" i="1"/>
  <c r="DA68" i="1"/>
  <c r="DE68" i="1"/>
  <c r="DI68" i="1"/>
  <c r="DM68" i="1"/>
  <c r="DQ68" i="1"/>
  <c r="DU68" i="1"/>
  <c r="DY68" i="1"/>
  <c r="EC68" i="1"/>
  <c r="CX68" i="1"/>
  <c r="DB68" i="1"/>
  <c r="DF68" i="1"/>
  <c r="DJ68" i="1"/>
  <c r="DN68" i="1"/>
  <c r="DV68" i="1"/>
  <c r="DZ68" i="1"/>
  <c r="ED68" i="1"/>
  <c r="C50" i="1"/>
  <c r="C51" i="1"/>
  <c r="C49" i="1"/>
  <c r="D26" i="6"/>
  <c r="C26" i="6" s="1"/>
  <c r="C34" i="6"/>
  <c r="L8" i="1"/>
  <c r="L55" i="1" s="1"/>
  <c r="L56" i="1" s="1"/>
  <c r="X8" i="1"/>
  <c r="X55" i="1" s="1"/>
  <c r="X56" i="1" s="1"/>
  <c r="AJ8" i="1"/>
  <c r="AJ55" i="1" s="1"/>
  <c r="AJ56" i="1" s="1"/>
  <c r="AV8" i="1"/>
  <c r="AV55" i="1" s="1"/>
  <c r="AV56" i="1" s="1"/>
  <c r="BH8" i="1"/>
  <c r="BH55" i="1" s="1"/>
  <c r="BH56" i="1" s="1"/>
  <c r="BP8" i="1"/>
  <c r="BP55" i="1" s="1"/>
  <c r="BP56" i="1" s="1"/>
  <c r="CB8" i="1"/>
  <c r="CB55" i="1" s="1"/>
  <c r="CB56" i="1" s="1"/>
  <c r="CN8" i="1"/>
  <c r="CN55" i="1" s="1"/>
  <c r="CN56" i="1" s="1"/>
  <c r="CZ8" i="1"/>
  <c r="CZ55" i="1" s="1"/>
  <c r="CZ56" i="1" s="1"/>
  <c r="DL8" i="1"/>
  <c r="DL55" i="1" s="1"/>
  <c r="DL56" i="1" s="1"/>
  <c r="DY8" i="1"/>
  <c r="DY55" i="1" s="1"/>
  <c r="DY56" i="1" s="1"/>
  <c r="E8" i="1"/>
  <c r="E55" i="1" s="1"/>
  <c r="E56" i="1" s="1"/>
  <c r="I8" i="1"/>
  <c r="I55" i="1" s="1"/>
  <c r="I56" i="1" s="1"/>
  <c r="M8" i="1"/>
  <c r="M55" i="1" s="1"/>
  <c r="M56" i="1" s="1"/>
  <c r="Q8" i="1"/>
  <c r="Q55" i="1" s="1"/>
  <c r="Q56" i="1" s="1"/>
  <c r="U8" i="1"/>
  <c r="U55" i="1" s="1"/>
  <c r="U56" i="1" s="1"/>
  <c r="Y8" i="1"/>
  <c r="Y55" i="1" s="1"/>
  <c r="Y56" i="1" s="1"/>
  <c r="AC8" i="1"/>
  <c r="AC55" i="1" s="1"/>
  <c r="AC56" i="1" s="1"/>
  <c r="AG8" i="1"/>
  <c r="AG55" i="1" s="1"/>
  <c r="AG56" i="1" s="1"/>
  <c r="AK8" i="1"/>
  <c r="AK55" i="1" s="1"/>
  <c r="AK56" i="1" s="1"/>
  <c r="AO8" i="1"/>
  <c r="AO55" i="1" s="1"/>
  <c r="AO56" i="1" s="1"/>
  <c r="AS8" i="1"/>
  <c r="AS55" i="1" s="1"/>
  <c r="AS56" i="1" s="1"/>
  <c r="AW8" i="1"/>
  <c r="AW55" i="1" s="1"/>
  <c r="AW56" i="1" s="1"/>
  <c r="BA8" i="1"/>
  <c r="BA55" i="1" s="1"/>
  <c r="BA56" i="1" s="1"/>
  <c r="BE8" i="1"/>
  <c r="BE55" i="1" s="1"/>
  <c r="BE56" i="1" s="1"/>
  <c r="BI8" i="1"/>
  <c r="BI55" i="1" s="1"/>
  <c r="BI56" i="1" s="1"/>
  <c r="BM8" i="1"/>
  <c r="BM55" i="1" s="1"/>
  <c r="BM56" i="1" s="1"/>
  <c r="BQ8" i="1"/>
  <c r="BQ55" i="1" s="1"/>
  <c r="BQ56" i="1" s="1"/>
  <c r="BU8" i="1"/>
  <c r="BU55" i="1" s="1"/>
  <c r="BU56" i="1" s="1"/>
  <c r="BY8" i="1"/>
  <c r="BY55" i="1" s="1"/>
  <c r="BY56" i="1" s="1"/>
  <c r="CC8" i="1"/>
  <c r="CC55" i="1" s="1"/>
  <c r="CC56" i="1" s="1"/>
  <c r="CG8" i="1"/>
  <c r="CG55" i="1" s="1"/>
  <c r="CG56" i="1" s="1"/>
  <c r="CK8" i="1"/>
  <c r="CK55" i="1" s="1"/>
  <c r="CK56" i="1" s="1"/>
  <c r="CO8" i="1"/>
  <c r="CO55" i="1" s="1"/>
  <c r="CO56" i="1" s="1"/>
  <c r="CS8" i="1"/>
  <c r="CS55" i="1" s="1"/>
  <c r="CS56" i="1" s="1"/>
  <c r="CW8" i="1"/>
  <c r="CW55" i="1" s="1"/>
  <c r="CW56" i="1" s="1"/>
  <c r="DA8" i="1"/>
  <c r="DA55" i="1" s="1"/>
  <c r="DA56" i="1" s="1"/>
  <c r="DE8" i="1"/>
  <c r="DE55" i="1" s="1"/>
  <c r="DE56" i="1" s="1"/>
  <c r="DI8" i="1"/>
  <c r="DI55" i="1" s="1"/>
  <c r="DI56" i="1" s="1"/>
  <c r="DM8" i="1"/>
  <c r="DM55" i="1" s="1"/>
  <c r="DM56" i="1" s="1"/>
  <c r="DQ8" i="1"/>
  <c r="DQ55" i="1" s="1"/>
  <c r="DQ56" i="1" s="1"/>
  <c r="DU8" i="1"/>
  <c r="DU55" i="1" s="1"/>
  <c r="DU56" i="1" s="1"/>
  <c r="DZ8" i="1"/>
  <c r="DZ55" i="1" s="1"/>
  <c r="DZ56" i="1" s="1"/>
  <c r="H8" i="1"/>
  <c r="H55" i="1" s="1"/>
  <c r="H56" i="1" s="1"/>
  <c r="T8" i="1"/>
  <c r="T55" i="1" s="1"/>
  <c r="T56" i="1" s="1"/>
  <c r="AF8" i="1"/>
  <c r="AF55" i="1" s="1"/>
  <c r="AF56" i="1" s="1"/>
  <c r="AR8" i="1"/>
  <c r="AR55" i="1" s="1"/>
  <c r="AR56" i="1" s="1"/>
  <c r="BD8" i="1"/>
  <c r="BD55" i="1" s="1"/>
  <c r="BD56" i="1" s="1"/>
  <c r="BT8" i="1"/>
  <c r="BT55" i="1" s="1"/>
  <c r="BT56" i="1" s="1"/>
  <c r="CF8" i="1"/>
  <c r="CF55" i="1" s="1"/>
  <c r="CF56" i="1" s="1"/>
  <c r="CV8" i="1"/>
  <c r="CV55" i="1" s="1"/>
  <c r="CV56" i="1" s="1"/>
  <c r="DH8" i="1"/>
  <c r="DH55" i="1" s="1"/>
  <c r="DH56" i="1" s="1"/>
  <c r="DT8" i="1"/>
  <c r="DT55" i="1" s="1"/>
  <c r="DT56" i="1" s="1"/>
  <c r="F8" i="1"/>
  <c r="F55" i="1" s="1"/>
  <c r="F56" i="1" s="1"/>
  <c r="J8" i="1"/>
  <c r="J55" i="1" s="1"/>
  <c r="J56" i="1" s="1"/>
  <c r="N8" i="1"/>
  <c r="N55" i="1" s="1"/>
  <c r="N56" i="1" s="1"/>
  <c r="R8" i="1"/>
  <c r="R55" i="1" s="1"/>
  <c r="R56" i="1" s="1"/>
  <c r="V8" i="1"/>
  <c r="V55" i="1" s="1"/>
  <c r="V56" i="1" s="1"/>
  <c r="Z8" i="1"/>
  <c r="Z55" i="1" s="1"/>
  <c r="Z56" i="1" s="1"/>
  <c r="AD8" i="1"/>
  <c r="AD55" i="1" s="1"/>
  <c r="AD56" i="1" s="1"/>
  <c r="AH8" i="1"/>
  <c r="AH55" i="1" s="1"/>
  <c r="AH56" i="1" s="1"/>
  <c r="AL8" i="1"/>
  <c r="AL55" i="1" s="1"/>
  <c r="AL56" i="1" s="1"/>
  <c r="AP8" i="1"/>
  <c r="AP55" i="1" s="1"/>
  <c r="AP56" i="1" s="1"/>
  <c r="AT8" i="1"/>
  <c r="AT55" i="1" s="1"/>
  <c r="AT56" i="1" s="1"/>
  <c r="AX8" i="1"/>
  <c r="AX55" i="1" s="1"/>
  <c r="AX56" i="1" s="1"/>
  <c r="BB8" i="1"/>
  <c r="BB55" i="1" s="1"/>
  <c r="BB56" i="1" s="1"/>
  <c r="BF8" i="1"/>
  <c r="BF55" i="1" s="1"/>
  <c r="BF56" i="1" s="1"/>
  <c r="BJ8" i="1"/>
  <c r="BJ55" i="1" s="1"/>
  <c r="BJ56" i="1" s="1"/>
  <c r="BN8" i="1"/>
  <c r="BN55" i="1" s="1"/>
  <c r="BN56" i="1" s="1"/>
  <c r="BR8" i="1"/>
  <c r="BR55" i="1" s="1"/>
  <c r="BR56" i="1" s="1"/>
  <c r="BV8" i="1"/>
  <c r="BV55" i="1" s="1"/>
  <c r="BV56" i="1" s="1"/>
  <c r="BZ8" i="1"/>
  <c r="BZ55" i="1" s="1"/>
  <c r="BZ56" i="1" s="1"/>
  <c r="CD8" i="1"/>
  <c r="CD55" i="1" s="1"/>
  <c r="CD56" i="1" s="1"/>
  <c r="CH8" i="1"/>
  <c r="CH55" i="1" s="1"/>
  <c r="CH56" i="1" s="1"/>
  <c r="CL8" i="1"/>
  <c r="CL55" i="1" s="1"/>
  <c r="CL56" i="1" s="1"/>
  <c r="CP8" i="1"/>
  <c r="CP55" i="1" s="1"/>
  <c r="CP56" i="1" s="1"/>
  <c r="CT8" i="1"/>
  <c r="CT55" i="1" s="1"/>
  <c r="CT56" i="1" s="1"/>
  <c r="CX8" i="1"/>
  <c r="CX55" i="1" s="1"/>
  <c r="CX56" i="1" s="1"/>
  <c r="DB8" i="1"/>
  <c r="DB55" i="1" s="1"/>
  <c r="DB56" i="1" s="1"/>
  <c r="DF8" i="1"/>
  <c r="DF55" i="1" s="1"/>
  <c r="DF56" i="1" s="1"/>
  <c r="DJ8" i="1"/>
  <c r="DJ55" i="1" s="1"/>
  <c r="DJ56" i="1" s="1"/>
  <c r="DN8" i="1"/>
  <c r="DN55" i="1" s="1"/>
  <c r="DN56" i="1" s="1"/>
  <c r="DR8" i="1"/>
  <c r="DR55" i="1" s="1"/>
  <c r="DR56" i="1" s="1"/>
  <c r="DV8" i="1"/>
  <c r="DV55" i="1" s="1"/>
  <c r="DV56" i="1" s="1"/>
  <c r="EA8" i="1"/>
  <c r="EA55" i="1" s="1"/>
  <c r="EA56" i="1" s="1"/>
  <c r="DW8" i="1"/>
  <c r="DW55" i="1" s="1"/>
  <c r="DW56" i="1" s="1"/>
  <c r="D8" i="1"/>
  <c r="D55" i="1" s="1"/>
  <c r="D56" i="1" s="1"/>
  <c r="P8" i="1"/>
  <c r="P55" i="1" s="1"/>
  <c r="P56" i="1" s="1"/>
  <c r="AB8" i="1"/>
  <c r="AB55" i="1" s="1"/>
  <c r="AB56" i="1" s="1"/>
  <c r="AN8" i="1"/>
  <c r="AN55" i="1" s="1"/>
  <c r="AN56" i="1" s="1"/>
  <c r="AZ8" i="1"/>
  <c r="AZ55" i="1" s="1"/>
  <c r="AZ56" i="1" s="1"/>
  <c r="BL8" i="1"/>
  <c r="BL55" i="1" s="1"/>
  <c r="BL56" i="1" s="1"/>
  <c r="BX8" i="1"/>
  <c r="BX55" i="1" s="1"/>
  <c r="BX56" i="1" s="1"/>
  <c r="CJ8" i="1"/>
  <c r="CJ55" i="1" s="1"/>
  <c r="CJ56" i="1" s="1"/>
  <c r="CR8" i="1"/>
  <c r="CR55" i="1" s="1"/>
  <c r="CR56" i="1" s="1"/>
  <c r="DD8" i="1"/>
  <c r="DD55" i="1" s="1"/>
  <c r="DD56" i="1" s="1"/>
  <c r="DP8" i="1"/>
  <c r="DP55" i="1" s="1"/>
  <c r="DP56" i="1" s="1"/>
  <c r="ED8" i="1"/>
  <c r="ED55" i="1" s="1"/>
  <c r="ED56" i="1" s="1"/>
  <c r="G8" i="1"/>
  <c r="G55" i="1" s="1"/>
  <c r="G56" i="1" s="1"/>
  <c r="K8" i="1"/>
  <c r="K55" i="1" s="1"/>
  <c r="K56" i="1" s="1"/>
  <c r="O8" i="1"/>
  <c r="O55" i="1" s="1"/>
  <c r="O56" i="1" s="1"/>
  <c r="S8" i="1"/>
  <c r="S55" i="1" s="1"/>
  <c r="S56" i="1" s="1"/>
  <c r="W8" i="1"/>
  <c r="W55" i="1" s="1"/>
  <c r="W56" i="1" s="1"/>
  <c r="AA8" i="1"/>
  <c r="AA55" i="1" s="1"/>
  <c r="AA56" i="1" s="1"/>
  <c r="AE8" i="1"/>
  <c r="AE55" i="1" s="1"/>
  <c r="AE56" i="1" s="1"/>
  <c r="AI8" i="1"/>
  <c r="AI55" i="1" s="1"/>
  <c r="AI56" i="1" s="1"/>
  <c r="AM8" i="1"/>
  <c r="AM55" i="1" s="1"/>
  <c r="AM56" i="1" s="1"/>
  <c r="AQ8" i="1"/>
  <c r="AQ55" i="1" s="1"/>
  <c r="AQ56" i="1" s="1"/>
  <c r="AU8" i="1"/>
  <c r="AU55" i="1" s="1"/>
  <c r="AU56" i="1" s="1"/>
  <c r="AY8" i="1"/>
  <c r="AY55" i="1" s="1"/>
  <c r="AY56" i="1" s="1"/>
  <c r="BC8" i="1"/>
  <c r="BC55" i="1" s="1"/>
  <c r="BC56" i="1" s="1"/>
  <c r="BG8" i="1"/>
  <c r="BG55" i="1" s="1"/>
  <c r="BG56" i="1" s="1"/>
  <c r="BK8" i="1"/>
  <c r="BK55" i="1" s="1"/>
  <c r="BK56" i="1" s="1"/>
  <c r="BO8" i="1"/>
  <c r="BO55" i="1" s="1"/>
  <c r="BO56" i="1" s="1"/>
  <c r="BS8" i="1"/>
  <c r="BS55" i="1" s="1"/>
  <c r="BS56" i="1" s="1"/>
  <c r="BW8" i="1"/>
  <c r="BW55" i="1" s="1"/>
  <c r="BW56" i="1" s="1"/>
  <c r="CA8" i="1"/>
  <c r="CA55" i="1" s="1"/>
  <c r="CA56" i="1" s="1"/>
  <c r="CE8" i="1"/>
  <c r="CE55" i="1" s="1"/>
  <c r="CE56" i="1" s="1"/>
  <c r="CI8" i="1"/>
  <c r="CI55" i="1" s="1"/>
  <c r="CI56" i="1" s="1"/>
  <c r="CM8" i="1"/>
  <c r="CM55" i="1" s="1"/>
  <c r="CM56" i="1" s="1"/>
  <c r="CQ8" i="1"/>
  <c r="CQ55" i="1" s="1"/>
  <c r="CQ56" i="1" s="1"/>
  <c r="CU8" i="1"/>
  <c r="CU55" i="1" s="1"/>
  <c r="CU56" i="1" s="1"/>
  <c r="CY8" i="1"/>
  <c r="CY55" i="1" s="1"/>
  <c r="CY56" i="1" s="1"/>
  <c r="DC8" i="1"/>
  <c r="DC55" i="1" s="1"/>
  <c r="DC56" i="1" s="1"/>
  <c r="DG8" i="1"/>
  <c r="DG55" i="1" s="1"/>
  <c r="DG56" i="1" s="1"/>
  <c r="DK8" i="1"/>
  <c r="DK55" i="1" s="1"/>
  <c r="DK56" i="1" s="1"/>
  <c r="DO8" i="1"/>
  <c r="DO55" i="1" s="1"/>
  <c r="DO56" i="1" s="1"/>
  <c r="DS8" i="1"/>
  <c r="DS55" i="1" s="1"/>
  <c r="DS56" i="1" s="1"/>
  <c r="DX8" i="1"/>
  <c r="DX55" i="1" s="1"/>
  <c r="DX56" i="1" s="1"/>
  <c r="EC8" i="1"/>
  <c r="EC55" i="1" s="1"/>
  <c r="EC56" i="1" s="1"/>
  <c r="D10" i="1"/>
  <c r="D15" i="1" s="1" a="1"/>
  <c r="D15" i="1" s="1"/>
  <c r="C9" i="1"/>
  <c r="C12" i="6" s="1"/>
  <c r="S21" i="14" s="1"/>
  <c r="O10" i="14" s="1"/>
  <c r="H31" i="6" l="1"/>
  <c r="B42" i="17"/>
  <c r="B72" i="1"/>
  <c r="O54" i="14"/>
  <c r="E55" i="14" s="1"/>
  <c r="O13" i="14"/>
  <c r="C23" i="1"/>
  <c r="D21" i="1"/>
  <c r="D24" i="1"/>
  <c r="D22" i="1"/>
  <c r="D23" i="1"/>
  <c r="C21" i="1"/>
  <c r="C22" i="1"/>
  <c r="D14" i="1" a="1"/>
  <c r="D14" i="1" s="1"/>
  <c r="D13" i="1" s="1"/>
  <c r="C36" i="6"/>
  <c r="BZ69" i="1"/>
  <c r="BZ70" i="1" s="1"/>
  <c r="DS69" i="1"/>
  <c r="DS70" i="1" s="1"/>
  <c r="V69" i="1"/>
  <c r="V70" i="1" s="1"/>
  <c r="AT69" i="1"/>
  <c r="AT70" i="1" s="1"/>
  <c r="BK69" i="1"/>
  <c r="BK70" i="1" s="1"/>
  <c r="CH69" i="1"/>
  <c r="CH70" i="1" s="1"/>
  <c r="DO69" i="1"/>
  <c r="DO70" i="1" s="1"/>
  <c r="O69" i="1"/>
  <c r="O70" i="1" s="1"/>
  <c r="AL69" i="1"/>
  <c r="AL70" i="1" s="1"/>
  <c r="CQ69" i="1"/>
  <c r="CQ70" i="1" s="1"/>
  <c r="AE69" i="1"/>
  <c r="AE70" i="1" s="1"/>
  <c r="BJ69" i="1"/>
  <c r="BJ70" i="1" s="1"/>
  <c r="CA69" i="1"/>
  <c r="CA70" i="1" s="1"/>
  <c r="CY69" i="1"/>
  <c r="CY70" i="1" s="1"/>
  <c r="F69" i="1"/>
  <c r="F70" i="1" s="1"/>
  <c r="N69" i="1"/>
  <c r="N70" i="1" s="1"/>
  <c r="AD69" i="1"/>
  <c r="AD70" i="1" s="1"/>
  <c r="AU69" i="1"/>
  <c r="AU70" i="1" s="1"/>
  <c r="CP69" i="1"/>
  <c r="CP70" i="1" s="1"/>
  <c r="EB42" i="1"/>
  <c r="BB69" i="1"/>
  <c r="BB70" i="1" s="1"/>
  <c r="EB40" i="1"/>
  <c r="EB39" i="1"/>
  <c r="EB41" i="1"/>
  <c r="DV69" i="1"/>
  <c r="DV70" i="1" s="1"/>
  <c r="DB69" i="1"/>
  <c r="DB70" i="1" s="1"/>
  <c r="DU69" i="1"/>
  <c r="DU70" i="1" s="1"/>
  <c r="DE69" i="1"/>
  <c r="DE70" i="1" s="1"/>
  <c r="CO69" i="1"/>
  <c r="CO70" i="1" s="1"/>
  <c r="BY69" i="1"/>
  <c r="BY70" i="1" s="1"/>
  <c r="BI69" i="1"/>
  <c r="BI70" i="1" s="1"/>
  <c r="AS69" i="1"/>
  <c r="AS70" i="1" s="1"/>
  <c r="AC69" i="1"/>
  <c r="AC70" i="1" s="1"/>
  <c r="M69" i="1"/>
  <c r="M70" i="1" s="1"/>
  <c r="DX69" i="1"/>
  <c r="DX70" i="1" s="1"/>
  <c r="DH69" i="1"/>
  <c r="DH70" i="1" s="1"/>
  <c r="CR69" i="1"/>
  <c r="CR70" i="1" s="1"/>
  <c r="CB69" i="1"/>
  <c r="CB70" i="1" s="1"/>
  <c r="BL69" i="1"/>
  <c r="BL70" i="1" s="1"/>
  <c r="AV69" i="1"/>
  <c r="AV70" i="1" s="1"/>
  <c r="AF69" i="1"/>
  <c r="AF70" i="1" s="1"/>
  <c r="P69" i="1"/>
  <c r="P70" i="1" s="1"/>
  <c r="BC69" i="1"/>
  <c r="BC70" i="1" s="1"/>
  <c r="J69" i="1"/>
  <c r="J70" i="1" s="1"/>
  <c r="AP69" i="1"/>
  <c r="AP70" i="1" s="1"/>
  <c r="BV69" i="1"/>
  <c r="BV70" i="1" s="1"/>
  <c r="DG69" i="1"/>
  <c r="DG70" i="1" s="1"/>
  <c r="AA69" i="1"/>
  <c r="AA70" i="1" s="1"/>
  <c r="BG69" i="1"/>
  <c r="BG70" i="1" s="1"/>
  <c r="CM69" i="1"/>
  <c r="CM70" i="1" s="1"/>
  <c r="C68" i="1"/>
  <c r="C13" i="6"/>
  <c r="DN69" i="1"/>
  <c r="DN70" i="1" s="1"/>
  <c r="CX69" i="1"/>
  <c r="CX70" i="1" s="1"/>
  <c r="DQ69" i="1"/>
  <c r="DQ70" i="1" s="1"/>
  <c r="DA69" i="1"/>
  <c r="DA70" i="1" s="1"/>
  <c r="CK69" i="1"/>
  <c r="CK70" i="1" s="1"/>
  <c r="BU69" i="1"/>
  <c r="BU70" i="1" s="1"/>
  <c r="BE69" i="1"/>
  <c r="BE70" i="1" s="1"/>
  <c r="AO69" i="1"/>
  <c r="AO70" i="1" s="1"/>
  <c r="Y69" i="1"/>
  <c r="Y70" i="1" s="1"/>
  <c r="I69" i="1"/>
  <c r="I70" i="1" s="1"/>
  <c r="DT69" i="1"/>
  <c r="DT70" i="1" s="1"/>
  <c r="DD69" i="1"/>
  <c r="DD70" i="1" s="1"/>
  <c r="CN69" i="1"/>
  <c r="CN70" i="1" s="1"/>
  <c r="BX69" i="1"/>
  <c r="BX70" i="1" s="1"/>
  <c r="BH69" i="1"/>
  <c r="BH70" i="1" s="1"/>
  <c r="AR69" i="1"/>
  <c r="AR70" i="1" s="1"/>
  <c r="AB69" i="1"/>
  <c r="AB70" i="1" s="1"/>
  <c r="L69" i="1"/>
  <c r="L70" i="1" s="1"/>
  <c r="DC69" i="1"/>
  <c r="DC70" i="1" s="1"/>
  <c r="AM69" i="1"/>
  <c r="AM70" i="1" s="1"/>
  <c r="R69" i="1"/>
  <c r="R70" i="1" s="1"/>
  <c r="AX69" i="1"/>
  <c r="AX70" i="1" s="1"/>
  <c r="CD69" i="1"/>
  <c r="CD70" i="1" s="1"/>
  <c r="DW69" i="1"/>
  <c r="DW70" i="1" s="1"/>
  <c r="AI69" i="1"/>
  <c r="AI70" i="1" s="1"/>
  <c r="BO69" i="1"/>
  <c r="BO70" i="1" s="1"/>
  <c r="CU69" i="1"/>
  <c r="CU70" i="1" s="1"/>
  <c r="ED69" i="1"/>
  <c r="ED70" i="1" s="1"/>
  <c r="DJ69" i="1"/>
  <c r="DJ70" i="1" s="1"/>
  <c r="EC69" i="1"/>
  <c r="EC70" i="1" s="1"/>
  <c r="DM69" i="1"/>
  <c r="DM70" i="1" s="1"/>
  <c r="CW69" i="1"/>
  <c r="CW70" i="1" s="1"/>
  <c r="CG69" i="1"/>
  <c r="CG70" i="1" s="1"/>
  <c r="BQ69" i="1"/>
  <c r="BQ70" i="1" s="1"/>
  <c r="BA69" i="1"/>
  <c r="BA70" i="1" s="1"/>
  <c r="AK69" i="1"/>
  <c r="AK70" i="1" s="1"/>
  <c r="U69" i="1"/>
  <c r="U70" i="1" s="1"/>
  <c r="E69" i="1"/>
  <c r="E70" i="1" s="1"/>
  <c r="DP69" i="1"/>
  <c r="DP70" i="1" s="1"/>
  <c r="CZ69" i="1"/>
  <c r="CZ70" i="1" s="1"/>
  <c r="CJ69" i="1"/>
  <c r="CJ70" i="1" s="1"/>
  <c r="BT69" i="1"/>
  <c r="BT70" i="1" s="1"/>
  <c r="BD69" i="1"/>
  <c r="BD70" i="1" s="1"/>
  <c r="AN69" i="1"/>
  <c r="AN70" i="1" s="1"/>
  <c r="X69" i="1"/>
  <c r="X70" i="1" s="1"/>
  <c r="H69" i="1"/>
  <c r="H70" i="1" s="1"/>
  <c r="CI69" i="1"/>
  <c r="CI70" i="1" s="1"/>
  <c r="W69" i="1"/>
  <c r="W70" i="1" s="1"/>
  <c r="Z69" i="1"/>
  <c r="Z70" i="1" s="1"/>
  <c r="BF69" i="1"/>
  <c r="BF70" i="1" s="1"/>
  <c r="CL69" i="1"/>
  <c r="CL70" i="1" s="1"/>
  <c r="K69" i="1"/>
  <c r="K70" i="1" s="1"/>
  <c r="AQ69" i="1"/>
  <c r="AQ70" i="1" s="1"/>
  <c r="BW69" i="1"/>
  <c r="BW70" i="1" s="1"/>
  <c r="DK69" i="1"/>
  <c r="DK70" i="1" s="1"/>
  <c r="DZ69" i="1"/>
  <c r="DZ70" i="1" s="1"/>
  <c r="DF69" i="1"/>
  <c r="DF70" i="1" s="1"/>
  <c r="DY69" i="1"/>
  <c r="DY70" i="1" s="1"/>
  <c r="DI69" i="1"/>
  <c r="DI70" i="1" s="1"/>
  <c r="CS69" i="1"/>
  <c r="CS70" i="1" s="1"/>
  <c r="CC69" i="1"/>
  <c r="CC70" i="1" s="1"/>
  <c r="BM69" i="1"/>
  <c r="BM70" i="1" s="1"/>
  <c r="AW69" i="1"/>
  <c r="AW70" i="1" s="1"/>
  <c r="AG69" i="1"/>
  <c r="AG70" i="1" s="1"/>
  <c r="Q69" i="1"/>
  <c r="Q70" i="1" s="1"/>
  <c r="EB69" i="1"/>
  <c r="EB70" i="1" s="1"/>
  <c r="DL69" i="1"/>
  <c r="DL70" i="1" s="1"/>
  <c r="CV69" i="1"/>
  <c r="CV70" i="1" s="1"/>
  <c r="CF69" i="1"/>
  <c r="CF70" i="1" s="1"/>
  <c r="BP69" i="1"/>
  <c r="BP70" i="1" s="1"/>
  <c r="AZ69" i="1"/>
  <c r="AZ70" i="1" s="1"/>
  <c r="AJ69" i="1"/>
  <c r="AJ70" i="1" s="1"/>
  <c r="T69" i="1"/>
  <c r="T70" i="1" s="1"/>
  <c r="D69" i="1"/>
  <c r="D70" i="1" s="1"/>
  <c r="BS69" i="1"/>
  <c r="BS70" i="1" s="1"/>
  <c r="G69" i="1"/>
  <c r="G70" i="1" s="1"/>
  <c r="AH69" i="1"/>
  <c r="AH70" i="1" s="1"/>
  <c r="BN69" i="1"/>
  <c r="BN70" i="1" s="1"/>
  <c r="CT69" i="1"/>
  <c r="CT70" i="1" s="1"/>
  <c r="S69" i="1"/>
  <c r="S70" i="1" s="1"/>
  <c r="AY69" i="1"/>
  <c r="AY70" i="1" s="1"/>
  <c r="CE69" i="1"/>
  <c r="CE70" i="1" s="1"/>
  <c r="EA69" i="1"/>
  <c r="EA70" i="1" s="1"/>
  <c r="C52" i="1"/>
  <c r="D51" i="1"/>
  <c r="D49" i="1"/>
  <c r="D50" i="1"/>
  <c r="EC39" i="1"/>
  <c r="EC42" i="1"/>
  <c r="EC41" i="1"/>
  <c r="EC40" i="1"/>
  <c r="DK42" i="1"/>
  <c r="DK40" i="1"/>
  <c r="DK39" i="1"/>
  <c r="DK41" i="1"/>
  <c r="CU42" i="1"/>
  <c r="CU40" i="1"/>
  <c r="CU39" i="1"/>
  <c r="CU41" i="1"/>
  <c r="CE42" i="1"/>
  <c r="CE40" i="1"/>
  <c r="CE39" i="1"/>
  <c r="CE41" i="1"/>
  <c r="BO42" i="1"/>
  <c r="BO40" i="1"/>
  <c r="BO39" i="1"/>
  <c r="BO41" i="1"/>
  <c r="AY42" i="1"/>
  <c r="AY40" i="1"/>
  <c r="AY39" i="1"/>
  <c r="AY41" i="1"/>
  <c r="AI42" i="1"/>
  <c r="AI40" i="1"/>
  <c r="AI39" i="1"/>
  <c r="AI41" i="1"/>
  <c r="S42" i="1"/>
  <c r="S40" i="1"/>
  <c r="S39" i="1"/>
  <c r="S41" i="1"/>
  <c r="ED41" i="1"/>
  <c r="ED39" i="1"/>
  <c r="ED40" i="1"/>
  <c r="ED42" i="1"/>
  <c r="CJ39" i="1"/>
  <c r="CJ42" i="1"/>
  <c r="CJ40" i="1"/>
  <c r="CJ41" i="1"/>
  <c r="AN39" i="1"/>
  <c r="AN42" i="1"/>
  <c r="AN40" i="1"/>
  <c r="AN41" i="1"/>
  <c r="DW42" i="1"/>
  <c r="DW39" i="1"/>
  <c r="DW41" i="1"/>
  <c r="DW40" i="1"/>
  <c r="DN40" i="1"/>
  <c r="DN41" i="1"/>
  <c r="DN42" i="1"/>
  <c r="DN39" i="1"/>
  <c r="CX40" i="1"/>
  <c r="CX41" i="1"/>
  <c r="CX42" i="1"/>
  <c r="CX39" i="1"/>
  <c r="CH40" i="1"/>
  <c r="CH41" i="1"/>
  <c r="CH39" i="1"/>
  <c r="CH42" i="1"/>
  <c r="BR40" i="1"/>
  <c r="BR41" i="1"/>
  <c r="BR39" i="1"/>
  <c r="BR42" i="1"/>
  <c r="BB40" i="1"/>
  <c r="BB41" i="1"/>
  <c r="BB39" i="1"/>
  <c r="BB42" i="1"/>
  <c r="AL40" i="1"/>
  <c r="AL41" i="1"/>
  <c r="AL39" i="1"/>
  <c r="AL42" i="1"/>
  <c r="V40" i="1"/>
  <c r="V41" i="1"/>
  <c r="V39" i="1"/>
  <c r="V42" i="1"/>
  <c r="F40" i="1"/>
  <c r="F41" i="1"/>
  <c r="F39" i="1"/>
  <c r="F42" i="1"/>
  <c r="CF39" i="1"/>
  <c r="CF42" i="1"/>
  <c r="CF41" i="1"/>
  <c r="CF40" i="1"/>
  <c r="AF39" i="1"/>
  <c r="AF40" i="1"/>
  <c r="AF41" i="1"/>
  <c r="AF42" i="1"/>
  <c r="DU42" i="1"/>
  <c r="DU40" i="1"/>
  <c r="DU39" i="1"/>
  <c r="DU41" i="1"/>
  <c r="DE42" i="1"/>
  <c r="DE40" i="1"/>
  <c r="DE39" i="1"/>
  <c r="DE41" i="1"/>
  <c r="CO42" i="1"/>
  <c r="CO40" i="1"/>
  <c r="CO39" i="1"/>
  <c r="CO41" i="1"/>
  <c r="BY42" i="1"/>
  <c r="BY40" i="1"/>
  <c r="BY39" i="1"/>
  <c r="BY41" i="1"/>
  <c r="BI42" i="1"/>
  <c r="BI40" i="1"/>
  <c r="BI39" i="1"/>
  <c r="BI41" i="1"/>
  <c r="AS42" i="1"/>
  <c r="AS40" i="1"/>
  <c r="AS39" i="1"/>
  <c r="AS41" i="1"/>
  <c r="AC42" i="1"/>
  <c r="AC40" i="1"/>
  <c r="AC39" i="1"/>
  <c r="AC41" i="1"/>
  <c r="M42" i="1"/>
  <c r="M40" i="1"/>
  <c r="M39" i="1"/>
  <c r="M41" i="1"/>
  <c r="DL39" i="1"/>
  <c r="DL42" i="1"/>
  <c r="DL41" i="1"/>
  <c r="DL40" i="1"/>
  <c r="BP39" i="1"/>
  <c r="BP42" i="1"/>
  <c r="BP40" i="1"/>
  <c r="BP41" i="1"/>
  <c r="X39" i="1"/>
  <c r="X42" i="1"/>
  <c r="X40" i="1"/>
  <c r="X41" i="1"/>
  <c r="DX39" i="1"/>
  <c r="DX40" i="1"/>
  <c r="DX41" i="1"/>
  <c r="DX42" i="1"/>
  <c r="DG42" i="1"/>
  <c r="DG39" i="1"/>
  <c r="DG40" i="1"/>
  <c r="DG41" i="1"/>
  <c r="CQ42" i="1"/>
  <c r="CQ39" i="1"/>
  <c r="CQ41" i="1"/>
  <c r="CQ40" i="1"/>
  <c r="CA42" i="1"/>
  <c r="CA39" i="1"/>
  <c r="CA41" i="1"/>
  <c r="CA40" i="1"/>
  <c r="BK42" i="1"/>
  <c r="BK39" i="1"/>
  <c r="BK41" i="1"/>
  <c r="BK40" i="1"/>
  <c r="AU42" i="1"/>
  <c r="AU39" i="1"/>
  <c r="AU40" i="1"/>
  <c r="AU41" i="1"/>
  <c r="AE42" i="1"/>
  <c r="AE39" i="1"/>
  <c r="AE41" i="1"/>
  <c r="AE40" i="1"/>
  <c r="O42" i="1"/>
  <c r="O39" i="1"/>
  <c r="O41" i="1"/>
  <c r="O40" i="1"/>
  <c r="DP39" i="1"/>
  <c r="DP42" i="1"/>
  <c r="DP40" i="1"/>
  <c r="DP41" i="1"/>
  <c r="BX39" i="1"/>
  <c r="BX40" i="1"/>
  <c r="BX41" i="1"/>
  <c r="BX42" i="1"/>
  <c r="AB39" i="1"/>
  <c r="AB42" i="1"/>
  <c r="AB40" i="1"/>
  <c r="AB41" i="1"/>
  <c r="EA42" i="1"/>
  <c r="EA40" i="1"/>
  <c r="EA39" i="1"/>
  <c r="EA41" i="1"/>
  <c r="DJ40" i="1"/>
  <c r="DJ42" i="1"/>
  <c r="DJ41" i="1"/>
  <c r="DJ39" i="1"/>
  <c r="CT40" i="1"/>
  <c r="CT42" i="1"/>
  <c r="CT41" i="1"/>
  <c r="CT39" i="1"/>
  <c r="CD40" i="1"/>
  <c r="CD42" i="1"/>
  <c r="CD41" i="1"/>
  <c r="CD39" i="1"/>
  <c r="BN40" i="1"/>
  <c r="BN42" i="1"/>
  <c r="BN41" i="1"/>
  <c r="BN39" i="1"/>
  <c r="AX40" i="1"/>
  <c r="AX42" i="1"/>
  <c r="AX41" i="1"/>
  <c r="AX39" i="1"/>
  <c r="AH40" i="1"/>
  <c r="AH42" i="1"/>
  <c r="AH41" i="1"/>
  <c r="AH39" i="1"/>
  <c r="R40" i="1"/>
  <c r="R42" i="1"/>
  <c r="R41" i="1"/>
  <c r="R39" i="1"/>
  <c r="DT39" i="1"/>
  <c r="DT40" i="1"/>
  <c r="DT42" i="1"/>
  <c r="DT41" i="1"/>
  <c r="BT39" i="1"/>
  <c r="BT42" i="1"/>
  <c r="BT40" i="1"/>
  <c r="BT41" i="1"/>
  <c r="T39" i="1"/>
  <c r="T42" i="1"/>
  <c r="T41" i="1"/>
  <c r="T40" i="1"/>
  <c r="DQ42" i="1"/>
  <c r="DQ41" i="1"/>
  <c r="DQ39" i="1"/>
  <c r="DQ40" i="1"/>
  <c r="DA42" i="1"/>
  <c r="DA39" i="1"/>
  <c r="DA41" i="1"/>
  <c r="DA40" i="1"/>
  <c r="CK42" i="1"/>
  <c r="CK40" i="1"/>
  <c r="CK41" i="1"/>
  <c r="CK39" i="1"/>
  <c r="BU42" i="1"/>
  <c r="BU41" i="1"/>
  <c r="BU39" i="1"/>
  <c r="BU40" i="1"/>
  <c r="BE42" i="1"/>
  <c r="BE41" i="1"/>
  <c r="BE39" i="1"/>
  <c r="BE40" i="1"/>
  <c r="AO42" i="1"/>
  <c r="AO41" i="1"/>
  <c r="AO40" i="1"/>
  <c r="AO39" i="1"/>
  <c r="Y42" i="1"/>
  <c r="Y40" i="1"/>
  <c r="Y41" i="1"/>
  <c r="Y39" i="1"/>
  <c r="I42" i="1"/>
  <c r="I41" i="1"/>
  <c r="I39" i="1"/>
  <c r="I40" i="1"/>
  <c r="CZ39" i="1"/>
  <c r="CZ42" i="1"/>
  <c r="CZ40" i="1"/>
  <c r="CZ41" i="1"/>
  <c r="BH39" i="1"/>
  <c r="BH40" i="1"/>
  <c r="BH42" i="1"/>
  <c r="BH41" i="1"/>
  <c r="L39" i="1"/>
  <c r="L40" i="1"/>
  <c r="L41" i="1"/>
  <c r="L42" i="1"/>
  <c r="DS42" i="1"/>
  <c r="DS40" i="1"/>
  <c r="DS41" i="1"/>
  <c r="DS39" i="1"/>
  <c r="DC42" i="1"/>
  <c r="DC39" i="1"/>
  <c r="DC41" i="1"/>
  <c r="DC40" i="1"/>
  <c r="CM42" i="1"/>
  <c r="CM39" i="1"/>
  <c r="CM40" i="1"/>
  <c r="CM41" i="1"/>
  <c r="BW42" i="1"/>
  <c r="BW40" i="1"/>
  <c r="BW41" i="1"/>
  <c r="BW39" i="1"/>
  <c r="BG42" i="1"/>
  <c r="BG41" i="1"/>
  <c r="BG39" i="1"/>
  <c r="BG40" i="1"/>
  <c r="AQ42" i="1"/>
  <c r="AQ39" i="1"/>
  <c r="AQ41" i="1"/>
  <c r="AQ40" i="1"/>
  <c r="AA42" i="1"/>
  <c r="AA39" i="1"/>
  <c r="AA40" i="1"/>
  <c r="AA41" i="1"/>
  <c r="K42" i="1"/>
  <c r="K39" i="1"/>
  <c r="K40" i="1"/>
  <c r="K41" i="1"/>
  <c r="DD39" i="1"/>
  <c r="DD41" i="1"/>
  <c r="DD42" i="1"/>
  <c r="DD40" i="1"/>
  <c r="BL39" i="1"/>
  <c r="BL41" i="1"/>
  <c r="BL42" i="1"/>
  <c r="BL40" i="1"/>
  <c r="P39" i="1"/>
  <c r="P42" i="1"/>
  <c r="P41" i="1"/>
  <c r="P40" i="1"/>
  <c r="DV41" i="1"/>
  <c r="DV42" i="1"/>
  <c r="DV39" i="1"/>
  <c r="DV40" i="1"/>
  <c r="DF40" i="1"/>
  <c r="DF41" i="1"/>
  <c r="DF42" i="1"/>
  <c r="DF39" i="1"/>
  <c r="CP40" i="1"/>
  <c r="CP41" i="1"/>
  <c r="CP42" i="1"/>
  <c r="CP39" i="1"/>
  <c r="BZ40" i="1"/>
  <c r="BZ41" i="1"/>
  <c r="BZ42" i="1"/>
  <c r="BZ39" i="1"/>
  <c r="BJ40" i="1"/>
  <c r="BJ41" i="1"/>
  <c r="BJ42" i="1"/>
  <c r="BJ39" i="1"/>
  <c r="AT40" i="1"/>
  <c r="AT41" i="1"/>
  <c r="AT42" i="1"/>
  <c r="AT39" i="1"/>
  <c r="AD40" i="1"/>
  <c r="AD41" i="1"/>
  <c r="AD42" i="1"/>
  <c r="AD39" i="1"/>
  <c r="N40" i="1"/>
  <c r="N41" i="1"/>
  <c r="N42" i="1"/>
  <c r="N39" i="1"/>
  <c r="DH39" i="1"/>
  <c r="DH42" i="1"/>
  <c r="DH40" i="1"/>
  <c r="DH41" i="1"/>
  <c r="BD39" i="1"/>
  <c r="BD42" i="1"/>
  <c r="BD40" i="1"/>
  <c r="BD41" i="1"/>
  <c r="H39" i="1"/>
  <c r="H42" i="1"/>
  <c r="H40" i="1"/>
  <c r="H41" i="1"/>
  <c r="DM39" i="1"/>
  <c r="DM40" i="1"/>
  <c r="DM41" i="1"/>
  <c r="DM42" i="1"/>
  <c r="CW39" i="1"/>
  <c r="CW42" i="1"/>
  <c r="CW41" i="1"/>
  <c r="CW40" i="1"/>
  <c r="CG39" i="1"/>
  <c r="CG41" i="1"/>
  <c r="CG42" i="1"/>
  <c r="CG40" i="1"/>
  <c r="BQ39" i="1"/>
  <c r="BQ42" i="1"/>
  <c r="BQ40" i="1"/>
  <c r="BQ41" i="1"/>
  <c r="BA39" i="1"/>
  <c r="BA40" i="1"/>
  <c r="BA41" i="1"/>
  <c r="BA42" i="1"/>
  <c r="AK39" i="1"/>
  <c r="AK42" i="1"/>
  <c r="AK41" i="1"/>
  <c r="AK40" i="1"/>
  <c r="U39" i="1"/>
  <c r="U41" i="1"/>
  <c r="U42" i="1"/>
  <c r="U40" i="1"/>
  <c r="E39" i="1"/>
  <c r="E42" i="1"/>
  <c r="E40" i="1"/>
  <c r="E41" i="1"/>
  <c r="CN39" i="1"/>
  <c r="CN42" i="1"/>
  <c r="CN40" i="1"/>
  <c r="CN41" i="1"/>
  <c r="AV39" i="1"/>
  <c r="AV42" i="1"/>
  <c r="AV40" i="1"/>
  <c r="AV41" i="1"/>
  <c r="DO42" i="1"/>
  <c r="DO39" i="1"/>
  <c r="DO40" i="1"/>
  <c r="DO41" i="1"/>
  <c r="CY42" i="1"/>
  <c r="CY40" i="1"/>
  <c r="CY41" i="1"/>
  <c r="CY39" i="1"/>
  <c r="CI42" i="1"/>
  <c r="CI39" i="1"/>
  <c r="CI41" i="1"/>
  <c r="CI40" i="1"/>
  <c r="BS42" i="1"/>
  <c r="BS39" i="1"/>
  <c r="BS40" i="1"/>
  <c r="BS41" i="1"/>
  <c r="BC42" i="1"/>
  <c r="BC39" i="1"/>
  <c r="BC40" i="1"/>
  <c r="BC41" i="1"/>
  <c r="AM42" i="1"/>
  <c r="AM40" i="1"/>
  <c r="AM39" i="1"/>
  <c r="AM41" i="1"/>
  <c r="W42" i="1"/>
  <c r="W39" i="1"/>
  <c r="W41" i="1"/>
  <c r="W40" i="1"/>
  <c r="G42" i="1"/>
  <c r="G39" i="1"/>
  <c r="G40" i="1"/>
  <c r="G41" i="1"/>
  <c r="CR39" i="1"/>
  <c r="CR40" i="1"/>
  <c r="CR41" i="1"/>
  <c r="CR42" i="1"/>
  <c r="AZ39" i="1"/>
  <c r="AZ42" i="1"/>
  <c r="AZ41" i="1"/>
  <c r="AZ40" i="1"/>
  <c r="D42" i="1"/>
  <c r="D39" i="1"/>
  <c r="D40" i="1"/>
  <c r="D41" i="1"/>
  <c r="DR39" i="1"/>
  <c r="DR41" i="1"/>
  <c r="DR42" i="1"/>
  <c r="DR40" i="1"/>
  <c r="DB40" i="1"/>
  <c r="DB39" i="1"/>
  <c r="DB41" i="1"/>
  <c r="DB42" i="1"/>
  <c r="CL40" i="1"/>
  <c r="CL39" i="1"/>
  <c r="CL41" i="1"/>
  <c r="CL42" i="1"/>
  <c r="BV40" i="1"/>
  <c r="BV39" i="1"/>
  <c r="BV41" i="1"/>
  <c r="BV42" i="1"/>
  <c r="BF40" i="1"/>
  <c r="BF39" i="1"/>
  <c r="BF41" i="1"/>
  <c r="BF42" i="1"/>
  <c r="AP40" i="1"/>
  <c r="AP39" i="1"/>
  <c r="AP41" i="1"/>
  <c r="AP42" i="1"/>
  <c r="Z40" i="1"/>
  <c r="Z39" i="1"/>
  <c r="Z41" i="1"/>
  <c r="Z42" i="1"/>
  <c r="J40" i="1"/>
  <c r="J39" i="1"/>
  <c r="J41" i="1"/>
  <c r="J42" i="1"/>
  <c r="CV39" i="1"/>
  <c r="CV42" i="1"/>
  <c r="CV41" i="1"/>
  <c r="CV40" i="1"/>
  <c r="AR39" i="1"/>
  <c r="AR41" i="1"/>
  <c r="AR42" i="1"/>
  <c r="AR40" i="1"/>
  <c r="DZ42" i="1"/>
  <c r="DZ41" i="1"/>
  <c r="DZ40" i="1"/>
  <c r="DZ39" i="1"/>
  <c r="DI39" i="1"/>
  <c r="DI42" i="1"/>
  <c r="DI40" i="1"/>
  <c r="DI41" i="1"/>
  <c r="CS40" i="1"/>
  <c r="CS41" i="1"/>
  <c r="CS42" i="1"/>
  <c r="CS39" i="1"/>
  <c r="CC40" i="1"/>
  <c r="CC42" i="1"/>
  <c r="CC39" i="1"/>
  <c r="CC41" i="1"/>
  <c r="BM39" i="1"/>
  <c r="BM41" i="1"/>
  <c r="BM42" i="1"/>
  <c r="BM40" i="1"/>
  <c r="AW39" i="1"/>
  <c r="AW42" i="1"/>
  <c r="AW40" i="1"/>
  <c r="AW41" i="1"/>
  <c r="AG39" i="1"/>
  <c r="AG40" i="1"/>
  <c r="AG41" i="1"/>
  <c r="AG42" i="1"/>
  <c r="Q39" i="1"/>
  <c r="Q40" i="1"/>
  <c r="Q42" i="1"/>
  <c r="Q41" i="1"/>
  <c r="DY40" i="1"/>
  <c r="DY39" i="1"/>
  <c r="DY41" i="1"/>
  <c r="DY42" i="1"/>
  <c r="CB39" i="1"/>
  <c r="CB42" i="1"/>
  <c r="CB41" i="1"/>
  <c r="CB40" i="1"/>
  <c r="AJ39" i="1"/>
  <c r="AJ42" i="1"/>
  <c r="AJ41" i="1"/>
  <c r="AJ40" i="1"/>
  <c r="C8" i="1"/>
  <c r="B65" i="17" s="1"/>
  <c r="E10" i="1"/>
  <c r="O18" i="14" l="1"/>
  <c r="O20" i="14"/>
  <c r="O21" i="14" s="1"/>
  <c r="O23" i="14" s="1"/>
  <c r="C13" i="1"/>
  <c r="M72" i="17"/>
  <c r="C55" i="1"/>
  <c r="C56" i="1" s="1"/>
  <c r="L71" i="17"/>
  <c r="H71" i="17"/>
  <c r="D71" i="17"/>
  <c r="H70" i="17"/>
  <c r="D70" i="17"/>
  <c r="H69" i="17"/>
  <c r="D69" i="17"/>
  <c r="L68" i="17"/>
  <c r="H68" i="17"/>
  <c r="D68" i="17"/>
  <c r="L67" i="17"/>
  <c r="H67" i="17"/>
  <c r="D67" i="17"/>
  <c r="K66" i="17"/>
  <c r="G66" i="17"/>
  <c r="C66" i="17"/>
  <c r="K65" i="17"/>
  <c r="G65" i="17"/>
  <c r="C65" i="17"/>
  <c r="K64" i="17"/>
  <c r="G64" i="17"/>
  <c r="C64" i="17"/>
  <c r="K63" i="17"/>
  <c r="G63" i="17"/>
  <c r="C63" i="17"/>
  <c r="K56" i="17"/>
  <c r="G56" i="17"/>
  <c r="C56" i="17"/>
  <c r="J55" i="17"/>
  <c r="F55" i="17"/>
  <c r="M46" i="17"/>
  <c r="I46" i="17"/>
  <c r="E46" i="17"/>
  <c r="D40" i="17"/>
  <c r="H40" i="17"/>
  <c r="L40" i="17"/>
  <c r="E41" i="17"/>
  <c r="I41" i="17"/>
  <c r="M41" i="17"/>
  <c r="F42" i="17"/>
  <c r="J42" i="17"/>
  <c r="M39" i="17"/>
  <c r="I39" i="17"/>
  <c r="E39" i="17"/>
  <c r="L32" i="17"/>
  <c r="H32" i="17"/>
  <c r="D32" i="17"/>
  <c r="K31" i="17"/>
  <c r="G31" i="17"/>
  <c r="C31" i="17"/>
  <c r="J27" i="17"/>
  <c r="F27" i="17"/>
  <c r="M16" i="17"/>
  <c r="I16" i="17"/>
  <c r="E16" i="17"/>
  <c r="B14" i="17"/>
  <c r="K71" i="17"/>
  <c r="G71" i="17"/>
  <c r="C71" i="17"/>
  <c r="K70" i="17"/>
  <c r="G70" i="17"/>
  <c r="K69" i="17"/>
  <c r="G69" i="17"/>
  <c r="K68" i="17"/>
  <c r="G68" i="17"/>
  <c r="C68" i="17"/>
  <c r="K67" i="17"/>
  <c r="G67" i="17"/>
  <c r="C67" i="17"/>
  <c r="J66" i="17"/>
  <c r="F66" i="17"/>
  <c r="B66" i="17"/>
  <c r="J65" i="17"/>
  <c r="F65" i="17"/>
  <c r="J64" i="17"/>
  <c r="F64" i="17"/>
  <c r="J63" i="17"/>
  <c r="F63" i="17"/>
  <c r="J71" i="17"/>
  <c r="B71" i="17"/>
  <c r="F70" i="17"/>
  <c r="J69" i="17"/>
  <c r="B69" i="17"/>
  <c r="F68" i="17"/>
  <c r="J67" i="17"/>
  <c r="M66" i="17"/>
  <c r="E66" i="17"/>
  <c r="I65" i="17"/>
  <c r="M64" i="17"/>
  <c r="E64" i="17"/>
  <c r="I63" i="17"/>
  <c r="I56" i="17"/>
  <c r="D56" i="17"/>
  <c r="I55" i="17"/>
  <c r="D55" i="17"/>
  <c r="J46" i="17"/>
  <c r="D46" i="17"/>
  <c r="F40" i="17"/>
  <c r="K40" i="17"/>
  <c r="F41" i="17"/>
  <c r="K41" i="17"/>
  <c r="E42" i="17"/>
  <c r="K42" i="17"/>
  <c r="K39" i="17"/>
  <c r="F39" i="17"/>
  <c r="K32" i="17"/>
  <c r="F32" i="17"/>
  <c r="L31" i="17"/>
  <c r="F31" i="17"/>
  <c r="L27" i="17"/>
  <c r="G27" i="17"/>
  <c r="L16" i="17"/>
  <c r="G16" i="17"/>
  <c r="B13" i="17"/>
  <c r="K27" i="17"/>
  <c r="K16" i="17"/>
  <c r="F16" i="17"/>
  <c r="D27" i="17"/>
  <c r="D16" i="17"/>
  <c r="M71" i="17"/>
  <c r="E71" i="17"/>
  <c r="I70" i="17"/>
  <c r="M69" i="17"/>
  <c r="E69" i="17"/>
  <c r="I68" i="17"/>
  <c r="E67" i="17"/>
  <c r="L65" i="17"/>
  <c r="D63" i="17"/>
  <c r="K55" i="17"/>
  <c r="F46" i="17"/>
  <c r="D41" i="17"/>
  <c r="I42" i="17"/>
  <c r="M32" i="17"/>
  <c r="H31" i="17"/>
  <c r="C27" i="17"/>
  <c r="C16" i="17"/>
  <c r="I71" i="17"/>
  <c r="M70" i="17"/>
  <c r="E70" i="17"/>
  <c r="I69" i="17"/>
  <c r="M68" i="17"/>
  <c r="E68" i="17"/>
  <c r="I67" i="17"/>
  <c r="L66" i="17"/>
  <c r="D66" i="17"/>
  <c r="H65" i="17"/>
  <c r="L64" i="17"/>
  <c r="D64" i="17"/>
  <c r="H63" i="17"/>
  <c r="M56" i="17"/>
  <c r="H56" i="17"/>
  <c r="M55" i="17"/>
  <c r="H55" i="17"/>
  <c r="C55" i="17"/>
  <c r="H46" i="17"/>
  <c r="C46" i="17"/>
  <c r="G40" i="17"/>
  <c r="M40" i="17"/>
  <c r="G41" i="17"/>
  <c r="L41" i="17"/>
  <c r="G42" i="17"/>
  <c r="L42" i="17"/>
  <c r="J39" i="17"/>
  <c r="D39" i="17"/>
  <c r="J32" i="17"/>
  <c r="E32" i="17"/>
  <c r="J31" i="17"/>
  <c r="E31" i="17"/>
  <c r="E27" i="17"/>
  <c r="D65" i="17"/>
  <c r="L63" i="17"/>
  <c r="J56" i="17"/>
  <c r="E55" i="17"/>
  <c r="J40" i="17"/>
  <c r="J41" i="17"/>
  <c r="L39" i="17"/>
  <c r="G32" i="17"/>
  <c r="M27" i="17"/>
  <c r="H16" i="17"/>
  <c r="F71" i="17"/>
  <c r="J70" i="17"/>
  <c r="B70" i="17"/>
  <c r="F69" i="17"/>
  <c r="J68" i="17"/>
  <c r="B68" i="17"/>
  <c r="F67" i="17"/>
  <c r="I66" i="17"/>
  <c r="M65" i="17"/>
  <c r="E65" i="17"/>
  <c r="I64" i="17"/>
  <c r="M63" i="17"/>
  <c r="E63" i="17"/>
  <c r="L56" i="17"/>
  <c r="F56" i="17"/>
  <c r="L55" i="17"/>
  <c r="G55" i="17"/>
  <c r="L46" i="17"/>
  <c r="G46" i="17"/>
  <c r="C40" i="17"/>
  <c r="I40" i="17"/>
  <c r="C41" i="17"/>
  <c r="H41" i="17"/>
  <c r="C42" i="17"/>
  <c r="H42" i="17"/>
  <c r="M42" i="17"/>
  <c r="H39" i="17"/>
  <c r="C39" i="17"/>
  <c r="I32" i="17"/>
  <c r="C32" i="17"/>
  <c r="I31" i="17"/>
  <c r="D31" i="17"/>
  <c r="I27" i="17"/>
  <c r="J16" i="17"/>
  <c r="M67" i="17"/>
  <c r="H66" i="17"/>
  <c r="H64" i="17"/>
  <c r="E56" i="17"/>
  <c r="K46" i="17"/>
  <c r="E40" i="17"/>
  <c r="D42" i="17"/>
  <c r="G39" i="17"/>
  <c r="M31" i="17"/>
  <c r="H27" i="17"/>
  <c r="B63" i="17"/>
  <c r="B64" i="17"/>
  <c r="B72" i="17"/>
  <c r="E15" i="1" a="1"/>
  <c r="E15" i="1" s="1"/>
  <c r="E14" i="1" a="1"/>
  <c r="E14" i="1" s="1"/>
  <c r="E13" i="1" s="1"/>
  <c r="C24" i="1"/>
  <c r="C69" i="1"/>
  <c r="C70" i="1" s="1"/>
  <c r="C70" i="17" s="1"/>
  <c r="DR69" i="1"/>
  <c r="DR70" i="1" s="1"/>
  <c r="L70" i="17" s="1"/>
  <c r="C58" i="1"/>
  <c r="D17" i="1"/>
  <c r="D18" i="1" s="1"/>
  <c r="E49" i="1"/>
  <c r="E50" i="1"/>
  <c r="E51" i="1"/>
  <c r="D52" i="1"/>
  <c r="D58" i="1" s="1"/>
  <c r="D60" i="1" s="1"/>
  <c r="D72" i="1" s="1"/>
  <c r="F10" i="1"/>
  <c r="O22" i="14" l="1"/>
  <c r="O24" i="14" s="1"/>
  <c r="P24" i="14" s="1"/>
  <c r="C69" i="17"/>
  <c r="L69" i="17"/>
  <c r="C25" i="1"/>
  <c r="C60" i="1"/>
  <c r="C72" i="1" s="1"/>
  <c r="F15" i="1" a="1"/>
  <c r="F15" i="1" s="1"/>
  <c r="F14" i="1" a="1"/>
  <c r="F14" i="1" s="1"/>
  <c r="E22" i="1"/>
  <c r="E23" i="1"/>
  <c r="E21" i="1"/>
  <c r="E24" i="1"/>
  <c r="E52" i="1"/>
  <c r="D25" i="1"/>
  <c r="D26" i="1" s="1"/>
  <c r="D28" i="1" s="1"/>
  <c r="D30" i="1" s="1"/>
  <c r="C17" i="1"/>
  <c r="F49" i="1"/>
  <c r="F50" i="1"/>
  <c r="F51" i="1"/>
  <c r="E17" i="1"/>
  <c r="E18" i="1" s="1"/>
  <c r="G10" i="1"/>
  <c r="O28" i="14" l="1"/>
  <c r="O31" i="14" s="1"/>
  <c r="O25" i="14"/>
  <c r="P17" i="14" s="1"/>
  <c r="P19" i="14" s="1"/>
  <c r="P21" i="14" s="1"/>
  <c r="P23" i="14" s="1"/>
  <c r="P25" i="14" s="1"/>
  <c r="C18" i="1"/>
  <c r="F13" i="1"/>
  <c r="E58" i="1"/>
  <c r="G15" i="1" a="1"/>
  <c r="G15" i="1" s="1"/>
  <c r="G14" i="1" a="1"/>
  <c r="G14" i="1" s="1"/>
  <c r="G13" i="1" s="1"/>
  <c r="F24" i="1"/>
  <c r="F21" i="1"/>
  <c r="F22" i="1"/>
  <c r="F23" i="1"/>
  <c r="F17" i="1"/>
  <c r="F18" i="1" s="1"/>
  <c r="F52" i="1"/>
  <c r="F58" i="1" s="1"/>
  <c r="F60" i="1" s="1"/>
  <c r="F72" i="1" s="1"/>
  <c r="G49" i="1"/>
  <c r="G50" i="1"/>
  <c r="G51" i="1"/>
  <c r="C26" i="1"/>
  <c r="E25" i="1"/>
  <c r="E26" i="1" s="1"/>
  <c r="E28" i="1" s="1"/>
  <c r="E30" i="1" s="1"/>
  <c r="E33" i="1" s="1"/>
  <c r="E34" i="1" s="1"/>
  <c r="E36" i="1" s="1"/>
  <c r="E43" i="1" s="1"/>
  <c r="E44" i="1" s="1"/>
  <c r="D33" i="1"/>
  <c r="D34" i="1" s="1"/>
  <c r="D36" i="1" s="1"/>
  <c r="D43" i="1" s="1"/>
  <c r="D44" i="1" s="1"/>
  <c r="H10" i="1"/>
  <c r="O37" i="14" l="1"/>
  <c r="O39" i="14" s="1"/>
  <c r="O40" i="14" s="1"/>
  <c r="E41" i="14" s="1"/>
  <c r="O34" i="14"/>
  <c r="E35" i="14" s="1"/>
  <c r="E32" i="14"/>
  <c r="C28" i="1"/>
  <c r="E60" i="1"/>
  <c r="H15" i="1" a="1"/>
  <c r="H15" i="1" s="1"/>
  <c r="H14" i="1" a="1"/>
  <c r="H14" i="1" s="1"/>
  <c r="H13" i="1" s="1"/>
  <c r="G21" i="1"/>
  <c r="G22" i="1"/>
  <c r="G24" i="1"/>
  <c r="G23" i="1"/>
  <c r="F25" i="1"/>
  <c r="G52" i="1"/>
  <c r="H49" i="1"/>
  <c r="H51" i="1"/>
  <c r="H50" i="1"/>
  <c r="G17" i="1"/>
  <c r="G18" i="1" s="1"/>
  <c r="I10" i="1"/>
  <c r="O43" i="14" l="1"/>
  <c r="O44" i="14" s="1"/>
  <c r="G58" i="1"/>
  <c r="C30" i="1"/>
  <c r="F26" i="1"/>
  <c r="E72" i="1"/>
  <c r="I15" i="1" a="1"/>
  <c r="I15" i="1" s="1"/>
  <c r="I14" i="1" a="1"/>
  <c r="I14" i="1" s="1"/>
  <c r="I13" i="1" s="1"/>
  <c r="H23" i="1"/>
  <c r="H21" i="1"/>
  <c r="H24" i="1"/>
  <c r="H22" i="1"/>
  <c r="H52" i="1"/>
  <c r="H58" i="1" s="1"/>
  <c r="H60" i="1" s="1"/>
  <c r="H72" i="1" s="1"/>
  <c r="I51" i="1"/>
  <c r="I49" i="1"/>
  <c r="I50" i="1"/>
  <c r="H17" i="1"/>
  <c r="H18" i="1" s="1"/>
  <c r="G25" i="1"/>
  <c r="G26" i="1" s="1"/>
  <c r="G28" i="1" s="1"/>
  <c r="G30" i="1" s="1"/>
  <c r="G33" i="1" s="1"/>
  <c r="G34" i="1" s="1"/>
  <c r="G36" i="1" s="1"/>
  <c r="G43" i="1" s="1"/>
  <c r="G44" i="1" s="1"/>
  <c r="J10" i="1"/>
  <c r="O50" i="14" l="1"/>
  <c r="E51" i="14" s="1"/>
  <c r="E45" i="14"/>
  <c r="C33" i="1"/>
  <c r="G60" i="1"/>
  <c r="F28" i="1"/>
  <c r="J15" i="1" a="1"/>
  <c r="J15" i="1" s="1"/>
  <c r="J14" i="1" a="1"/>
  <c r="J14" i="1" s="1"/>
  <c r="I24" i="1"/>
  <c r="I22" i="1"/>
  <c r="I23" i="1"/>
  <c r="I21" i="1"/>
  <c r="H25" i="1"/>
  <c r="H26" i="1" s="1"/>
  <c r="H28" i="1" s="1"/>
  <c r="H30" i="1" s="1"/>
  <c r="H33" i="1" s="1"/>
  <c r="H34" i="1" s="1"/>
  <c r="H36" i="1" s="1"/>
  <c r="H43" i="1" s="1"/>
  <c r="H44" i="1" s="1"/>
  <c r="I52" i="1"/>
  <c r="I58" i="1" s="1"/>
  <c r="I60" i="1" s="1"/>
  <c r="I72" i="1" s="1"/>
  <c r="J50" i="1"/>
  <c r="J51" i="1"/>
  <c r="J49" i="1"/>
  <c r="I17" i="1"/>
  <c r="I18" i="1" s="1"/>
  <c r="K10" i="1"/>
  <c r="F30" i="1" l="1"/>
  <c r="G72" i="1"/>
  <c r="J13" i="1"/>
  <c r="C34" i="1"/>
  <c r="K15" i="1" a="1"/>
  <c r="K15" i="1" s="1"/>
  <c r="K14" i="1" a="1"/>
  <c r="K14" i="1" s="1"/>
  <c r="K13" i="1" s="1"/>
  <c r="J24" i="1"/>
  <c r="J21" i="1"/>
  <c r="J23" i="1"/>
  <c r="J22" i="1"/>
  <c r="J52" i="1"/>
  <c r="J58" i="1" s="1"/>
  <c r="J60" i="1" s="1"/>
  <c r="J72" i="1" s="1"/>
  <c r="J17" i="1"/>
  <c r="J18" i="1" s="1"/>
  <c r="K49" i="1"/>
  <c r="K50" i="1"/>
  <c r="K51" i="1"/>
  <c r="I25" i="1"/>
  <c r="I26" i="1" s="1"/>
  <c r="L10" i="1"/>
  <c r="I28" i="1" l="1"/>
  <c r="C36" i="1"/>
  <c r="F33" i="1"/>
  <c r="L15" i="1" a="1"/>
  <c r="L15" i="1" s="1"/>
  <c r="L14" i="1" a="1"/>
  <c r="L14" i="1" s="1"/>
  <c r="L13" i="1" s="1"/>
  <c r="K21" i="1"/>
  <c r="K22" i="1"/>
  <c r="K24" i="1"/>
  <c r="K23" i="1"/>
  <c r="J25" i="1"/>
  <c r="J26" i="1" s="1"/>
  <c r="J28" i="1" s="1"/>
  <c r="J30" i="1" s="1"/>
  <c r="J33" i="1" s="1"/>
  <c r="J34" i="1" s="1"/>
  <c r="J36" i="1" s="1"/>
  <c r="J43" i="1" s="1"/>
  <c r="J44" i="1" s="1"/>
  <c r="K17" i="1"/>
  <c r="K18" i="1" s="1"/>
  <c r="K52" i="1"/>
  <c r="K58" i="1" s="1"/>
  <c r="K60" i="1" s="1"/>
  <c r="K72" i="1" s="1"/>
  <c r="L49" i="1"/>
  <c r="L51" i="1"/>
  <c r="L50" i="1"/>
  <c r="M10" i="1"/>
  <c r="I30" i="1" l="1"/>
  <c r="F34" i="1"/>
  <c r="C43" i="1"/>
  <c r="M15" i="1" a="1"/>
  <c r="M15" i="1" s="1"/>
  <c r="M14" i="1" a="1"/>
  <c r="M14" i="1" s="1"/>
  <c r="M13" i="1" s="1"/>
  <c r="L21" i="1"/>
  <c r="L23" i="1"/>
  <c r="L22" i="1"/>
  <c r="L24" i="1"/>
  <c r="L17" i="1"/>
  <c r="L18" i="1" s="1"/>
  <c r="M49" i="1"/>
  <c r="M50" i="1"/>
  <c r="M51" i="1"/>
  <c r="L52" i="1"/>
  <c r="L58" i="1" s="1"/>
  <c r="L60" i="1" s="1"/>
  <c r="L72" i="1" s="1"/>
  <c r="K25" i="1"/>
  <c r="K26" i="1" s="1"/>
  <c r="K28" i="1" s="1"/>
  <c r="K30" i="1" s="1"/>
  <c r="K33" i="1" s="1"/>
  <c r="K34" i="1" s="1"/>
  <c r="K36" i="1" s="1"/>
  <c r="K43" i="1" s="1"/>
  <c r="K44" i="1" s="1"/>
  <c r="N10" i="1"/>
  <c r="F36" i="1" l="1"/>
  <c r="C44" i="1"/>
  <c r="I33" i="1"/>
  <c r="N15" i="1" a="1"/>
  <c r="N15" i="1" s="1"/>
  <c r="N14" i="1" a="1"/>
  <c r="N14" i="1" s="1"/>
  <c r="M24" i="1"/>
  <c r="M23" i="1"/>
  <c r="M22" i="1"/>
  <c r="M21" i="1"/>
  <c r="M52" i="1"/>
  <c r="M58" i="1" s="1"/>
  <c r="M60" i="1" s="1"/>
  <c r="M72" i="1" s="1"/>
  <c r="M17" i="1"/>
  <c r="M18" i="1" s="1"/>
  <c r="N50" i="1"/>
  <c r="N49" i="1"/>
  <c r="N51" i="1"/>
  <c r="L25" i="1"/>
  <c r="L26" i="1" s="1"/>
  <c r="L28" i="1" s="1"/>
  <c r="L30" i="1" s="1"/>
  <c r="L33" i="1" s="1"/>
  <c r="L34" i="1" s="1"/>
  <c r="L36" i="1" s="1"/>
  <c r="L43" i="1" s="1"/>
  <c r="L44" i="1" s="1"/>
  <c r="O10" i="1"/>
  <c r="I34" i="1" l="1"/>
  <c r="F43" i="1"/>
  <c r="O15" i="1" a="1"/>
  <c r="O15" i="1" s="1"/>
  <c r="O14" i="1" a="1"/>
  <c r="O14" i="1" s="1"/>
  <c r="N21" i="1"/>
  <c r="N24" i="1"/>
  <c r="N22" i="1"/>
  <c r="N23" i="1"/>
  <c r="N17" i="1"/>
  <c r="N18" i="1" s="1"/>
  <c r="N52" i="1"/>
  <c r="N58" i="1" s="1"/>
  <c r="N60" i="1" s="1"/>
  <c r="N72" i="1" s="1"/>
  <c r="O49" i="1"/>
  <c r="O50" i="1"/>
  <c r="O51" i="1"/>
  <c r="M25" i="1"/>
  <c r="M26" i="1" s="1"/>
  <c r="M28" i="1" s="1"/>
  <c r="M30" i="1" s="1"/>
  <c r="M33" i="1" s="1"/>
  <c r="M34" i="1" s="1"/>
  <c r="M36" i="1" s="1"/>
  <c r="M43" i="1" s="1"/>
  <c r="M44" i="1" s="1"/>
  <c r="P10" i="1"/>
  <c r="I36" i="1" l="1"/>
  <c r="F44" i="1"/>
  <c r="P15" i="1" a="1"/>
  <c r="P15" i="1" s="1"/>
  <c r="P14" i="1" a="1"/>
  <c r="P14" i="1" s="1"/>
  <c r="O24" i="1"/>
  <c r="O23" i="1"/>
  <c r="O22" i="1"/>
  <c r="O21" i="1"/>
  <c r="O17" i="1"/>
  <c r="P51" i="1"/>
  <c r="P49" i="1"/>
  <c r="P50" i="1"/>
  <c r="N25" i="1"/>
  <c r="N26" i="1" s="1"/>
  <c r="N28" i="1" s="1"/>
  <c r="N30" i="1" s="1"/>
  <c r="N33" i="1" s="1"/>
  <c r="N34" i="1" s="1"/>
  <c r="N36" i="1" s="1"/>
  <c r="N43" i="1" s="1"/>
  <c r="N44" i="1" s="1"/>
  <c r="O52" i="1"/>
  <c r="Q10" i="1"/>
  <c r="C34" i="17" l="1"/>
  <c r="C30" i="17"/>
  <c r="O58" i="1"/>
  <c r="O18" i="1"/>
  <c r="C33" i="17"/>
  <c r="I43" i="1"/>
  <c r="C36" i="17"/>
  <c r="Q15" i="1" a="1"/>
  <c r="Q15" i="1" s="1"/>
  <c r="Q14" i="1" a="1"/>
  <c r="Q14" i="1" s="1"/>
  <c r="P22" i="1"/>
  <c r="P21" i="1"/>
  <c r="P24" i="1"/>
  <c r="P23" i="1"/>
  <c r="P52" i="1"/>
  <c r="P58" i="1" s="1"/>
  <c r="P60" i="1" s="1"/>
  <c r="P72" i="1" s="1"/>
  <c r="P17" i="1"/>
  <c r="P18" i="1" s="1"/>
  <c r="O25" i="1"/>
  <c r="Q49" i="1"/>
  <c r="Q51" i="1"/>
  <c r="Q50" i="1"/>
  <c r="R10" i="1"/>
  <c r="O26" i="1" l="1"/>
  <c r="I44" i="1"/>
  <c r="C44" i="17" s="1"/>
  <c r="C43" i="17"/>
  <c r="O60" i="1"/>
  <c r="R15" i="1" a="1"/>
  <c r="R15" i="1" s="1"/>
  <c r="R14" i="1" a="1"/>
  <c r="R14" i="1" s="1"/>
  <c r="Q23" i="1"/>
  <c r="Q24" i="1"/>
  <c r="Q21" i="1"/>
  <c r="Q22" i="1"/>
  <c r="Q52" i="1"/>
  <c r="Q58" i="1" s="1"/>
  <c r="Q60" i="1" s="1"/>
  <c r="Q72" i="1" s="1"/>
  <c r="Q17" i="1"/>
  <c r="R50" i="1"/>
  <c r="R49" i="1"/>
  <c r="R51" i="1"/>
  <c r="P25" i="1"/>
  <c r="P26" i="1" s="1"/>
  <c r="P28" i="1" s="1"/>
  <c r="P30" i="1" s="1"/>
  <c r="P33" i="1" s="1"/>
  <c r="P34" i="1" s="1"/>
  <c r="P36" i="1" s="1"/>
  <c r="P43" i="1" s="1"/>
  <c r="P44" i="1" s="1"/>
  <c r="S10" i="1"/>
  <c r="O28" i="1" l="1"/>
  <c r="Q18" i="1"/>
  <c r="O72" i="1"/>
  <c r="S15" i="1" a="1"/>
  <c r="S15" i="1" s="1"/>
  <c r="S14" i="1" a="1"/>
  <c r="S14" i="1" s="1"/>
  <c r="R24" i="1"/>
  <c r="R22" i="1"/>
  <c r="R23" i="1"/>
  <c r="R21" i="1"/>
  <c r="R52" i="1"/>
  <c r="R17" i="1"/>
  <c r="R18" i="1" s="1"/>
  <c r="Q25" i="1"/>
  <c r="Q26" i="1" s="1"/>
  <c r="Q28" i="1" s="1"/>
  <c r="Q30" i="1" s="1"/>
  <c r="Q33" i="1" s="1"/>
  <c r="Q34" i="1" s="1"/>
  <c r="Q36" i="1" s="1"/>
  <c r="Q43" i="1" s="1"/>
  <c r="Q44" i="1" s="1"/>
  <c r="S49" i="1"/>
  <c r="S50" i="1"/>
  <c r="S51" i="1"/>
  <c r="T10" i="1"/>
  <c r="R58" i="1" l="1"/>
  <c r="O30" i="1"/>
  <c r="T15" i="1" a="1"/>
  <c r="T15" i="1" s="1"/>
  <c r="T14" i="1" a="1"/>
  <c r="T14" i="1" s="1"/>
  <c r="S24" i="1"/>
  <c r="S22" i="1"/>
  <c r="S23" i="1"/>
  <c r="S21" i="1"/>
  <c r="R25" i="1"/>
  <c r="R26" i="1" s="1"/>
  <c r="R28" i="1" s="1"/>
  <c r="R30" i="1" s="1"/>
  <c r="R33" i="1" s="1"/>
  <c r="R34" i="1" s="1"/>
  <c r="R36" i="1" s="1"/>
  <c r="R43" i="1" s="1"/>
  <c r="R44" i="1" s="1"/>
  <c r="S52" i="1"/>
  <c r="S58" i="1" s="1"/>
  <c r="S60" i="1" s="1"/>
  <c r="S72" i="1" s="1"/>
  <c r="S17" i="1"/>
  <c r="T51" i="1"/>
  <c r="T50" i="1"/>
  <c r="T49" i="1"/>
  <c r="U10" i="1"/>
  <c r="S18" i="1" l="1"/>
  <c r="O33" i="1"/>
  <c r="R60" i="1"/>
  <c r="U15" i="1" a="1"/>
  <c r="U15" i="1" s="1"/>
  <c r="U14" i="1" a="1"/>
  <c r="U14" i="1" s="1"/>
  <c r="T22" i="1"/>
  <c r="T21" i="1"/>
  <c r="T24" i="1"/>
  <c r="T23" i="1"/>
  <c r="T52" i="1"/>
  <c r="T17" i="1"/>
  <c r="T18" i="1" s="1"/>
  <c r="S25" i="1"/>
  <c r="S26" i="1" s="1"/>
  <c r="U50" i="1"/>
  <c r="U51" i="1"/>
  <c r="U49" i="1"/>
  <c r="V10" i="1"/>
  <c r="S28" i="1" l="1"/>
  <c r="S30" i="1" s="1"/>
  <c r="S33" i="1" s="1"/>
  <c r="S34" i="1" s="1"/>
  <c r="S36" i="1" s="1"/>
  <c r="S43" i="1" s="1"/>
  <c r="S44" i="1" s="1"/>
  <c r="R72" i="1"/>
  <c r="T58" i="1"/>
  <c r="O34" i="1"/>
  <c r="V15" i="1" a="1"/>
  <c r="V15" i="1" s="1"/>
  <c r="V14" i="1" a="1"/>
  <c r="V14" i="1" s="1"/>
  <c r="U22" i="1"/>
  <c r="U21" i="1"/>
  <c r="U23" i="1"/>
  <c r="U24" i="1"/>
  <c r="U52" i="1"/>
  <c r="U58" i="1" s="1"/>
  <c r="U60" i="1" s="1"/>
  <c r="U72" i="1" s="1"/>
  <c r="U17" i="1"/>
  <c r="U18" i="1" s="1"/>
  <c r="V49" i="1"/>
  <c r="V50" i="1"/>
  <c r="V51" i="1"/>
  <c r="T25" i="1"/>
  <c r="T26" i="1" s="1"/>
  <c r="T28" i="1" s="1"/>
  <c r="T30" i="1" s="1"/>
  <c r="T33" i="1" s="1"/>
  <c r="T34" i="1" s="1"/>
  <c r="T36" i="1" s="1"/>
  <c r="T43" i="1" s="1"/>
  <c r="T44" i="1" s="1"/>
  <c r="W10" i="1"/>
  <c r="T60" i="1" l="1"/>
  <c r="O36" i="1"/>
  <c r="W15" i="1" a="1"/>
  <c r="W15" i="1" s="1"/>
  <c r="W14" i="1" a="1"/>
  <c r="W14" i="1" s="1"/>
  <c r="V21" i="1"/>
  <c r="V24" i="1"/>
  <c r="V22" i="1"/>
  <c r="V23" i="1"/>
  <c r="W49" i="1"/>
  <c r="W50" i="1"/>
  <c r="W51" i="1"/>
  <c r="U25" i="1"/>
  <c r="U26" i="1" s="1"/>
  <c r="U28" i="1" s="1"/>
  <c r="U30" i="1" s="1"/>
  <c r="U33" i="1" s="1"/>
  <c r="U34" i="1" s="1"/>
  <c r="U36" i="1" s="1"/>
  <c r="U43" i="1" s="1"/>
  <c r="U44" i="1" s="1"/>
  <c r="V17" i="1"/>
  <c r="V18" i="1" s="1"/>
  <c r="V52" i="1"/>
  <c r="X10" i="1"/>
  <c r="O43" i="1" l="1"/>
  <c r="T72" i="1"/>
  <c r="V58" i="1"/>
  <c r="X15" i="1" a="1"/>
  <c r="X15" i="1" s="1"/>
  <c r="X14" i="1" a="1"/>
  <c r="X14" i="1" s="1"/>
  <c r="W24" i="1"/>
  <c r="W23" i="1"/>
  <c r="W22" i="1"/>
  <c r="W21" i="1"/>
  <c r="W52" i="1"/>
  <c r="W58" i="1" s="1"/>
  <c r="W60" i="1" s="1"/>
  <c r="W72" i="1" s="1"/>
  <c r="V25" i="1"/>
  <c r="V26" i="1" s="1"/>
  <c r="V28" i="1" s="1"/>
  <c r="V30" i="1" s="1"/>
  <c r="X49" i="1"/>
  <c r="X51" i="1"/>
  <c r="X50" i="1"/>
  <c r="W17" i="1"/>
  <c r="W18" i="1" s="1"/>
  <c r="Y10" i="1"/>
  <c r="V33" i="1" l="1"/>
  <c r="V60" i="1"/>
  <c r="O44" i="1"/>
  <c r="Y15" i="1" a="1"/>
  <c r="Y15" i="1" s="1"/>
  <c r="Y14" i="1" a="1"/>
  <c r="Y14" i="1" s="1"/>
  <c r="X23" i="1"/>
  <c r="X22" i="1"/>
  <c r="X21" i="1"/>
  <c r="X24" i="1"/>
  <c r="W25" i="1"/>
  <c r="W26" i="1" s="1"/>
  <c r="W28" i="1" s="1"/>
  <c r="W30" i="1" s="1"/>
  <c r="W33" i="1" s="1"/>
  <c r="W34" i="1" s="1"/>
  <c r="W36" i="1" s="1"/>
  <c r="W43" i="1" s="1"/>
  <c r="W44" i="1" s="1"/>
  <c r="Y49" i="1"/>
  <c r="Y51" i="1"/>
  <c r="Y50" i="1"/>
  <c r="X17" i="1"/>
  <c r="X18" i="1" s="1"/>
  <c r="X52" i="1"/>
  <c r="X58" i="1" s="1"/>
  <c r="X60" i="1" s="1"/>
  <c r="X72" i="1" s="1"/>
  <c r="Z10" i="1"/>
  <c r="V72" i="1" l="1"/>
  <c r="V34" i="1"/>
  <c r="Z15" i="1" a="1"/>
  <c r="Z15" i="1" s="1"/>
  <c r="Z14" i="1" a="1"/>
  <c r="Z14" i="1" s="1"/>
  <c r="Y24" i="1"/>
  <c r="Y21" i="1"/>
  <c r="Y22" i="1"/>
  <c r="Y23" i="1"/>
  <c r="X25" i="1"/>
  <c r="X26" i="1" s="1"/>
  <c r="X28" i="1" s="1"/>
  <c r="X30" i="1" s="1"/>
  <c r="X33" i="1" s="1"/>
  <c r="X34" i="1" s="1"/>
  <c r="X36" i="1" s="1"/>
  <c r="X43" i="1" s="1"/>
  <c r="X44" i="1" s="1"/>
  <c r="Y52" i="1"/>
  <c r="Y58" i="1" s="1"/>
  <c r="Y60" i="1" s="1"/>
  <c r="Y72" i="1" s="1"/>
  <c r="Z50" i="1"/>
  <c r="Z49" i="1"/>
  <c r="Z51" i="1"/>
  <c r="Y17" i="1"/>
  <c r="Y18" i="1" s="1"/>
  <c r="AA10" i="1"/>
  <c r="V36" i="1" l="1"/>
  <c r="AA15" i="1" a="1"/>
  <c r="AA15" i="1" s="1"/>
  <c r="AA14" i="1" a="1"/>
  <c r="AA14" i="1" s="1"/>
  <c r="Z24" i="1"/>
  <c r="Z21" i="1"/>
  <c r="Z22" i="1"/>
  <c r="Z23" i="1"/>
  <c r="Y25" i="1"/>
  <c r="Y26" i="1" s="1"/>
  <c r="Y28" i="1" s="1"/>
  <c r="Y30" i="1" s="1"/>
  <c r="Y33" i="1" s="1"/>
  <c r="Z52" i="1"/>
  <c r="Z58" i="1" s="1"/>
  <c r="Z60" i="1" s="1"/>
  <c r="Z72" i="1" s="1"/>
  <c r="Z17" i="1"/>
  <c r="Z18" i="1" s="1"/>
  <c r="AA49" i="1"/>
  <c r="AA50" i="1"/>
  <c r="AA51" i="1"/>
  <c r="AB10" i="1"/>
  <c r="Y34" i="1" l="1"/>
  <c r="V43" i="1"/>
  <c r="AB15" i="1" a="1"/>
  <c r="AB15" i="1" s="1"/>
  <c r="AB14" i="1" a="1"/>
  <c r="AB14" i="1" s="1"/>
  <c r="AA21" i="1"/>
  <c r="AA23" i="1"/>
  <c r="AA24" i="1"/>
  <c r="AA22" i="1"/>
  <c r="AA17" i="1"/>
  <c r="AA52" i="1"/>
  <c r="AB49" i="1"/>
  <c r="AB51" i="1"/>
  <c r="AB50" i="1"/>
  <c r="Z25" i="1"/>
  <c r="Z26" i="1" s="1"/>
  <c r="Z28" i="1" s="1"/>
  <c r="Z30" i="1" s="1"/>
  <c r="Z33" i="1" s="1"/>
  <c r="Z34" i="1" s="1"/>
  <c r="Z36" i="1" s="1"/>
  <c r="Z43" i="1" s="1"/>
  <c r="Z44" i="1" s="1"/>
  <c r="AC10" i="1"/>
  <c r="Y36" i="1" l="1"/>
  <c r="D34" i="17"/>
  <c r="V44" i="1"/>
  <c r="AA58" i="1"/>
  <c r="AA18" i="1"/>
  <c r="AC15" i="1" a="1"/>
  <c r="AC15" i="1" s="1"/>
  <c r="AC14" i="1" a="1"/>
  <c r="AC14" i="1" s="1"/>
  <c r="AB21" i="1"/>
  <c r="AB23" i="1"/>
  <c r="AB24" i="1"/>
  <c r="AB22" i="1"/>
  <c r="AB52" i="1"/>
  <c r="AB58" i="1" s="1"/>
  <c r="AB60" i="1" s="1"/>
  <c r="AB72" i="1" s="1"/>
  <c r="AB17" i="1"/>
  <c r="AB18" i="1" s="1"/>
  <c r="AC49" i="1"/>
  <c r="AC50" i="1"/>
  <c r="AC51" i="1"/>
  <c r="AA25" i="1"/>
  <c r="AD10" i="1"/>
  <c r="Y43" i="1" l="1"/>
  <c r="D36" i="17"/>
  <c r="AA60" i="1"/>
  <c r="AA26" i="1"/>
  <c r="AD15" i="1" a="1"/>
  <c r="AD15" i="1" s="1"/>
  <c r="AD14" i="1" a="1"/>
  <c r="AD14" i="1" s="1"/>
  <c r="AC24" i="1"/>
  <c r="AC22" i="1"/>
  <c r="AC21" i="1"/>
  <c r="AC23" i="1"/>
  <c r="AC52" i="1"/>
  <c r="AC58" i="1" s="1"/>
  <c r="AC60" i="1" s="1"/>
  <c r="AC72" i="1" s="1"/>
  <c r="AB25" i="1"/>
  <c r="AB26" i="1" s="1"/>
  <c r="AB28" i="1" s="1"/>
  <c r="AB30" i="1" s="1"/>
  <c r="AB33" i="1" s="1"/>
  <c r="AB34" i="1" s="1"/>
  <c r="AB36" i="1" s="1"/>
  <c r="AB43" i="1" s="1"/>
  <c r="AB44" i="1" s="1"/>
  <c r="AC17" i="1"/>
  <c r="AD50" i="1"/>
  <c r="AD51" i="1"/>
  <c r="AD49" i="1"/>
  <c r="AE10" i="1"/>
  <c r="AA72" i="1" l="1"/>
  <c r="Y44" i="1"/>
  <c r="D44" i="17" s="1"/>
  <c r="D43" i="17"/>
  <c r="AC18" i="1"/>
  <c r="AA28" i="1"/>
  <c r="AE15" i="1" a="1"/>
  <c r="AE15" i="1" s="1"/>
  <c r="AE14" i="1" a="1"/>
  <c r="AE14" i="1" s="1"/>
  <c r="AD21" i="1"/>
  <c r="AD24" i="1"/>
  <c r="AD23" i="1"/>
  <c r="AD22" i="1"/>
  <c r="AC25" i="1"/>
  <c r="AD52" i="1"/>
  <c r="AE49" i="1"/>
  <c r="AE50" i="1"/>
  <c r="AE51" i="1"/>
  <c r="AD17" i="1"/>
  <c r="AD18" i="1" s="1"/>
  <c r="AF10" i="1"/>
  <c r="AD58" i="1" l="1"/>
  <c r="AC26" i="1"/>
  <c r="AA30" i="1"/>
  <c r="AF15" i="1" a="1"/>
  <c r="AF15" i="1" s="1"/>
  <c r="AF14" i="1" a="1"/>
  <c r="AF14" i="1" s="1"/>
  <c r="AE24" i="1"/>
  <c r="AE21" i="1"/>
  <c r="AE23" i="1"/>
  <c r="AE22" i="1"/>
  <c r="AE52" i="1"/>
  <c r="AE58" i="1" s="1"/>
  <c r="AE60" i="1" s="1"/>
  <c r="AE72" i="1" s="1"/>
  <c r="AF51" i="1"/>
  <c r="AF50" i="1"/>
  <c r="AF49" i="1"/>
  <c r="AE17" i="1"/>
  <c r="AE18" i="1" s="1"/>
  <c r="AD25" i="1"/>
  <c r="AD26" i="1" s="1"/>
  <c r="AD28" i="1" s="1"/>
  <c r="AD30" i="1" s="1"/>
  <c r="AD33" i="1" s="1"/>
  <c r="AD34" i="1" s="1"/>
  <c r="AD36" i="1" s="1"/>
  <c r="AD43" i="1" s="1"/>
  <c r="AD44" i="1" s="1"/>
  <c r="AG10" i="1"/>
  <c r="AA33" i="1" l="1"/>
  <c r="AD60" i="1"/>
  <c r="AC28" i="1"/>
  <c r="AG15" i="1" a="1"/>
  <c r="AG15" i="1" s="1"/>
  <c r="AG14" i="1" a="1"/>
  <c r="AG14" i="1" s="1"/>
  <c r="AF24" i="1"/>
  <c r="AF21" i="1"/>
  <c r="AF22" i="1"/>
  <c r="AF23" i="1"/>
  <c r="AE25" i="1"/>
  <c r="AE26" i="1" s="1"/>
  <c r="AE28" i="1" s="1"/>
  <c r="AE30" i="1" s="1"/>
  <c r="AE33" i="1" s="1"/>
  <c r="AE34" i="1" s="1"/>
  <c r="AE36" i="1" s="1"/>
  <c r="AE43" i="1" s="1"/>
  <c r="AE44" i="1" s="1"/>
  <c r="AF17" i="1"/>
  <c r="AF18" i="1" s="1"/>
  <c r="AF52" i="1"/>
  <c r="AF58" i="1" s="1"/>
  <c r="AF60" i="1" s="1"/>
  <c r="AF72" i="1" s="1"/>
  <c r="AG49" i="1"/>
  <c r="AG50" i="1"/>
  <c r="AG51" i="1"/>
  <c r="AH10" i="1"/>
  <c r="AD72" i="1" l="1"/>
  <c r="AC30" i="1"/>
  <c r="AA34" i="1"/>
  <c r="AH15" i="1" a="1"/>
  <c r="AH15" i="1" s="1"/>
  <c r="AH14" i="1" a="1"/>
  <c r="AH14" i="1" s="1"/>
  <c r="AG21" i="1"/>
  <c r="AG23" i="1"/>
  <c r="AG22" i="1"/>
  <c r="AG24" i="1"/>
  <c r="AF25" i="1"/>
  <c r="AF26" i="1" s="1"/>
  <c r="AF28" i="1" s="1"/>
  <c r="AF30" i="1" s="1"/>
  <c r="AF33" i="1" s="1"/>
  <c r="AF34" i="1" s="1"/>
  <c r="AF36" i="1" s="1"/>
  <c r="AF43" i="1" s="1"/>
  <c r="AF44" i="1" s="1"/>
  <c r="AG52" i="1"/>
  <c r="AG58" i="1" s="1"/>
  <c r="AG60" i="1" s="1"/>
  <c r="AG72" i="1" s="1"/>
  <c r="AG17" i="1"/>
  <c r="AG18" i="1" s="1"/>
  <c r="AH50" i="1"/>
  <c r="AH49" i="1"/>
  <c r="AH51" i="1"/>
  <c r="AI10" i="1"/>
  <c r="AA36" i="1" l="1"/>
  <c r="AC33" i="1"/>
  <c r="AI15" i="1" a="1"/>
  <c r="AI15" i="1" s="1"/>
  <c r="AI14" i="1" a="1"/>
  <c r="AI14" i="1" s="1"/>
  <c r="AH21" i="1"/>
  <c r="AH24" i="1"/>
  <c r="AH23" i="1"/>
  <c r="AH22" i="1"/>
  <c r="AH52" i="1"/>
  <c r="AH58" i="1" s="1"/>
  <c r="AH60" i="1" s="1"/>
  <c r="AH72" i="1" s="1"/>
  <c r="AH17" i="1"/>
  <c r="AH18" i="1" s="1"/>
  <c r="AG25" i="1"/>
  <c r="AG26" i="1" s="1"/>
  <c r="AI49" i="1"/>
  <c r="AI50" i="1"/>
  <c r="AI51" i="1"/>
  <c r="AJ10" i="1"/>
  <c r="AC34" i="1" l="1"/>
  <c r="AA43" i="1"/>
  <c r="AG28" i="1"/>
  <c r="AJ15" i="1" a="1"/>
  <c r="AJ15" i="1" s="1"/>
  <c r="AJ14" i="1" a="1"/>
  <c r="AJ14" i="1" s="1"/>
  <c r="AI21" i="1"/>
  <c r="AI23" i="1"/>
  <c r="AI22" i="1"/>
  <c r="AI24" i="1"/>
  <c r="AH25" i="1"/>
  <c r="AH26" i="1" s="1"/>
  <c r="AH28" i="1" s="1"/>
  <c r="AH30" i="1" s="1"/>
  <c r="AH33" i="1" s="1"/>
  <c r="AH34" i="1" s="1"/>
  <c r="AH36" i="1" s="1"/>
  <c r="AH43" i="1" s="1"/>
  <c r="AH44" i="1" s="1"/>
  <c r="AI17" i="1"/>
  <c r="AI18" i="1" s="1"/>
  <c r="AI52" i="1"/>
  <c r="AI58" i="1" s="1"/>
  <c r="AI60" i="1" s="1"/>
  <c r="AI72" i="1" s="1"/>
  <c r="AJ51" i="1"/>
  <c r="AJ49" i="1"/>
  <c r="AJ50" i="1"/>
  <c r="AK10" i="1"/>
  <c r="AA44" i="1" l="1"/>
  <c r="AG30" i="1"/>
  <c r="AC36" i="1"/>
  <c r="AK15" i="1" a="1"/>
  <c r="AK15" i="1" s="1"/>
  <c r="AK14" i="1" a="1"/>
  <c r="AK14" i="1" s="1"/>
  <c r="AJ21" i="1"/>
  <c r="AJ22" i="1"/>
  <c r="AJ23" i="1"/>
  <c r="AJ24" i="1"/>
  <c r="AJ52" i="1"/>
  <c r="AJ58" i="1" s="1"/>
  <c r="AJ60" i="1" s="1"/>
  <c r="AJ72" i="1" s="1"/>
  <c r="AJ17" i="1"/>
  <c r="AJ18" i="1" s="1"/>
  <c r="AK49" i="1"/>
  <c r="AK50" i="1"/>
  <c r="AK51" i="1"/>
  <c r="AI25" i="1"/>
  <c r="AI26" i="1" s="1"/>
  <c r="AI28" i="1" s="1"/>
  <c r="AI30" i="1" s="1"/>
  <c r="AI33" i="1" s="1"/>
  <c r="AI34" i="1" s="1"/>
  <c r="AI36" i="1" s="1"/>
  <c r="AI43" i="1" s="1"/>
  <c r="AI44" i="1" s="1"/>
  <c r="AL10" i="1"/>
  <c r="AC43" i="1" l="1"/>
  <c r="AG33" i="1"/>
  <c r="AL15" i="1" a="1"/>
  <c r="AL15" i="1" s="1"/>
  <c r="AL14" i="1" a="1"/>
  <c r="AL14" i="1" s="1"/>
  <c r="AK21" i="1"/>
  <c r="AK22" i="1"/>
  <c r="AK23" i="1"/>
  <c r="AK24" i="1"/>
  <c r="AK52" i="1"/>
  <c r="AK58" i="1" s="1"/>
  <c r="AK60" i="1" s="1"/>
  <c r="AK72" i="1" s="1"/>
  <c r="AL49" i="1"/>
  <c r="AL50" i="1"/>
  <c r="AL51" i="1"/>
  <c r="AK17" i="1"/>
  <c r="AK18" i="1" s="1"/>
  <c r="AJ25" i="1"/>
  <c r="AJ26" i="1" s="1"/>
  <c r="AJ28" i="1" s="1"/>
  <c r="AJ30" i="1" s="1"/>
  <c r="AJ33" i="1" s="1"/>
  <c r="AJ34" i="1" s="1"/>
  <c r="AJ36" i="1" s="1"/>
  <c r="AJ43" i="1" s="1"/>
  <c r="AJ44" i="1" s="1"/>
  <c r="AM10" i="1"/>
  <c r="AC44" i="1" l="1"/>
  <c r="AG34" i="1"/>
  <c r="AM15" i="1" a="1"/>
  <c r="AM15" i="1" s="1"/>
  <c r="AM14" i="1" a="1"/>
  <c r="AM14" i="1" s="1"/>
  <c r="AL24" i="1"/>
  <c r="AL21" i="1"/>
  <c r="AL22" i="1"/>
  <c r="AL23" i="1"/>
  <c r="AK25" i="1"/>
  <c r="AK26" i="1" s="1"/>
  <c r="AK28" i="1" s="1"/>
  <c r="AK30" i="1" s="1"/>
  <c r="AK33" i="1" s="1"/>
  <c r="AK34" i="1" s="1"/>
  <c r="AK36" i="1" s="1"/>
  <c r="AK43" i="1" s="1"/>
  <c r="AK44" i="1" s="1"/>
  <c r="AL17" i="1"/>
  <c r="AL18" i="1" s="1"/>
  <c r="AM49" i="1"/>
  <c r="AM50" i="1"/>
  <c r="AM51" i="1"/>
  <c r="AL52" i="1"/>
  <c r="AL58" i="1" s="1"/>
  <c r="AL60" i="1" s="1"/>
  <c r="AL72" i="1" s="1"/>
  <c r="AN10" i="1"/>
  <c r="AG36" i="1" l="1"/>
  <c r="AN15" i="1" a="1"/>
  <c r="AN15" i="1" s="1"/>
  <c r="AN14" i="1" a="1"/>
  <c r="AN14" i="1" s="1"/>
  <c r="AM23" i="1"/>
  <c r="AM24" i="1"/>
  <c r="AM21" i="1"/>
  <c r="AM22" i="1"/>
  <c r="AL25" i="1"/>
  <c r="AL26" i="1" s="1"/>
  <c r="AL28" i="1" s="1"/>
  <c r="AL30" i="1" s="1"/>
  <c r="AM17" i="1"/>
  <c r="AM52" i="1"/>
  <c r="AN49" i="1"/>
  <c r="AN51" i="1"/>
  <c r="AN50" i="1"/>
  <c r="AO10" i="1"/>
  <c r="AG43" i="1" l="1"/>
  <c r="AL33" i="1"/>
  <c r="E30" i="17"/>
  <c r="AM58" i="1"/>
  <c r="AM18" i="1"/>
  <c r="AO15" i="1" a="1"/>
  <c r="AO15" i="1" s="1"/>
  <c r="AO14" i="1" a="1"/>
  <c r="AO14" i="1" s="1"/>
  <c r="AN23" i="1"/>
  <c r="AN24" i="1"/>
  <c r="AN21" i="1"/>
  <c r="AN22" i="1"/>
  <c r="AM25" i="1"/>
  <c r="AN17" i="1"/>
  <c r="AN18" i="1" s="1"/>
  <c r="AO51" i="1"/>
  <c r="AO49" i="1"/>
  <c r="AO50" i="1"/>
  <c r="AN52" i="1"/>
  <c r="AN58" i="1" s="1"/>
  <c r="AN60" i="1" s="1"/>
  <c r="AN72" i="1" s="1"/>
  <c r="AP10" i="1"/>
  <c r="AM26" i="1" l="1"/>
  <c r="AM60" i="1"/>
  <c r="AG44" i="1"/>
  <c r="AL34" i="1"/>
  <c r="E33" i="17"/>
  <c r="AP15" i="1" a="1"/>
  <c r="AP15" i="1" s="1"/>
  <c r="AP14" i="1" a="1"/>
  <c r="AP14" i="1" s="1"/>
  <c r="AO22" i="1"/>
  <c r="AO21" i="1"/>
  <c r="AO24" i="1"/>
  <c r="AO23" i="1"/>
  <c r="AO52" i="1"/>
  <c r="AN25" i="1"/>
  <c r="AN26" i="1" s="1"/>
  <c r="AN28" i="1" s="1"/>
  <c r="AN30" i="1" s="1"/>
  <c r="AN33" i="1" s="1"/>
  <c r="AN34" i="1" s="1"/>
  <c r="AN36" i="1" s="1"/>
  <c r="AN43" i="1" s="1"/>
  <c r="AN44" i="1" s="1"/>
  <c r="AP50" i="1"/>
  <c r="AP51" i="1"/>
  <c r="AP49" i="1"/>
  <c r="AO17" i="1"/>
  <c r="AQ10" i="1"/>
  <c r="AM28" i="1" l="1"/>
  <c r="AO18" i="1"/>
  <c r="AO58" i="1"/>
  <c r="AL36" i="1"/>
  <c r="E34" i="17"/>
  <c r="AM72" i="1"/>
  <c r="AQ15" i="1" a="1"/>
  <c r="AQ15" i="1" s="1"/>
  <c r="AQ14" i="1" a="1"/>
  <c r="AQ14" i="1" s="1"/>
  <c r="AP24" i="1"/>
  <c r="AP21" i="1"/>
  <c r="AP23" i="1"/>
  <c r="AP22" i="1"/>
  <c r="AQ49" i="1"/>
  <c r="AQ50" i="1"/>
  <c r="AQ51" i="1"/>
  <c r="AO25" i="1"/>
  <c r="AP52" i="1"/>
  <c r="AP58" i="1" s="1"/>
  <c r="AP60" i="1" s="1"/>
  <c r="AP72" i="1" s="1"/>
  <c r="AP17" i="1"/>
  <c r="AP18" i="1" s="1"/>
  <c r="AR10" i="1"/>
  <c r="AO60" i="1" l="1"/>
  <c r="AO26" i="1"/>
  <c r="AL43" i="1"/>
  <c r="E36" i="17"/>
  <c r="AM30" i="1"/>
  <c r="AR15" i="1" a="1"/>
  <c r="AR15" i="1" s="1"/>
  <c r="AR14" i="1" a="1"/>
  <c r="AR14" i="1" s="1"/>
  <c r="AQ24" i="1"/>
  <c r="AQ21" i="1"/>
  <c r="AQ22" i="1"/>
  <c r="AQ23" i="1"/>
  <c r="AP25" i="1"/>
  <c r="AP26" i="1" s="1"/>
  <c r="AP28" i="1" s="1"/>
  <c r="AP30" i="1" s="1"/>
  <c r="AP33" i="1" s="1"/>
  <c r="AP34" i="1" s="1"/>
  <c r="AP36" i="1" s="1"/>
  <c r="AP43" i="1" s="1"/>
  <c r="AP44" i="1" s="1"/>
  <c r="AQ17" i="1"/>
  <c r="AQ18" i="1" s="1"/>
  <c r="AR49" i="1"/>
  <c r="AR51" i="1"/>
  <c r="AR50" i="1"/>
  <c r="AQ52" i="1"/>
  <c r="AQ58" i="1" s="1"/>
  <c r="AQ60" i="1" s="1"/>
  <c r="AQ72" i="1" s="1"/>
  <c r="AS10" i="1"/>
  <c r="AL44" i="1" l="1"/>
  <c r="E43" i="17"/>
  <c r="AO72" i="1"/>
  <c r="AM33" i="1"/>
  <c r="AO28" i="1"/>
  <c r="AS15" i="1" a="1"/>
  <c r="AS15" i="1" s="1"/>
  <c r="AS14" i="1" a="1"/>
  <c r="AS14" i="1" s="1"/>
  <c r="AR21" i="1"/>
  <c r="AR22" i="1"/>
  <c r="AR24" i="1"/>
  <c r="AR23" i="1"/>
  <c r="AR52" i="1"/>
  <c r="AR58" i="1" s="1"/>
  <c r="AR60" i="1" s="1"/>
  <c r="AR72" i="1" s="1"/>
  <c r="AQ25" i="1"/>
  <c r="AQ26" i="1" s="1"/>
  <c r="AQ28" i="1" s="1"/>
  <c r="AQ30" i="1" s="1"/>
  <c r="AQ33" i="1" s="1"/>
  <c r="AQ34" i="1" s="1"/>
  <c r="AQ36" i="1" s="1"/>
  <c r="AQ43" i="1" s="1"/>
  <c r="AQ44" i="1" s="1"/>
  <c r="AR17" i="1"/>
  <c r="AR18" i="1" s="1"/>
  <c r="AS49" i="1"/>
  <c r="AS50" i="1"/>
  <c r="AS51" i="1"/>
  <c r="AT10" i="1"/>
  <c r="AM34" i="1" l="1"/>
  <c r="AO30" i="1"/>
  <c r="AT15" i="1" a="1"/>
  <c r="AT15" i="1" s="1"/>
  <c r="AT14" i="1" a="1"/>
  <c r="AT14" i="1" s="1"/>
  <c r="AS24" i="1"/>
  <c r="AS21" i="1"/>
  <c r="AS23" i="1"/>
  <c r="AS22" i="1"/>
  <c r="AS52" i="1"/>
  <c r="AS58" i="1" s="1"/>
  <c r="AS60" i="1" s="1"/>
  <c r="AS72" i="1" s="1"/>
  <c r="AR25" i="1"/>
  <c r="AT50" i="1"/>
  <c r="AT49" i="1"/>
  <c r="AT51" i="1"/>
  <c r="AS17" i="1"/>
  <c r="AS18" i="1" s="1"/>
  <c r="AU10" i="1"/>
  <c r="AR26" i="1" l="1"/>
  <c r="AO33" i="1"/>
  <c r="AM36" i="1"/>
  <c r="AU15" i="1" a="1"/>
  <c r="AU15" i="1" s="1"/>
  <c r="AU14" i="1" a="1"/>
  <c r="AU14" i="1" s="1"/>
  <c r="AT21" i="1"/>
  <c r="AT22" i="1"/>
  <c r="AT23" i="1"/>
  <c r="AT24" i="1"/>
  <c r="AT52" i="1"/>
  <c r="AT58" i="1" s="1"/>
  <c r="AT60" i="1" s="1"/>
  <c r="AS25" i="1"/>
  <c r="AS26" i="1" s="1"/>
  <c r="AS28" i="1" s="1"/>
  <c r="AS30" i="1" s="1"/>
  <c r="AS33" i="1" s="1"/>
  <c r="AS34" i="1" s="1"/>
  <c r="AS36" i="1" s="1"/>
  <c r="AS43" i="1" s="1"/>
  <c r="AS44" i="1" s="1"/>
  <c r="AT17" i="1"/>
  <c r="AT18" i="1" s="1"/>
  <c r="AU49" i="1"/>
  <c r="AU50" i="1"/>
  <c r="AU51" i="1"/>
  <c r="AV10" i="1"/>
  <c r="AO34" i="1" l="1"/>
  <c r="AT72" i="1"/>
  <c r="AM43" i="1"/>
  <c r="AR28" i="1"/>
  <c r="AV15" i="1" a="1"/>
  <c r="AV15" i="1" s="1"/>
  <c r="AV14" i="1" a="1"/>
  <c r="AV14" i="1" s="1"/>
  <c r="AU24" i="1"/>
  <c r="AU22" i="1"/>
  <c r="AU21" i="1"/>
  <c r="AU23" i="1"/>
  <c r="AT25" i="1"/>
  <c r="AT26" i="1" s="1"/>
  <c r="AT28" i="1" s="1"/>
  <c r="AT30" i="1" s="1"/>
  <c r="AT33" i="1" s="1"/>
  <c r="AT34" i="1" s="1"/>
  <c r="AT36" i="1" s="1"/>
  <c r="AT43" i="1" s="1"/>
  <c r="AT44" i="1" s="1"/>
  <c r="AU52" i="1"/>
  <c r="AU58" i="1" s="1"/>
  <c r="AU60" i="1" s="1"/>
  <c r="AU72" i="1" s="1"/>
  <c r="AU17" i="1"/>
  <c r="AU18" i="1" s="1"/>
  <c r="AV51" i="1"/>
  <c r="AV49" i="1"/>
  <c r="AV50" i="1"/>
  <c r="AW10" i="1"/>
  <c r="AR30" i="1" l="1"/>
  <c r="AM44" i="1"/>
  <c r="AO36" i="1"/>
  <c r="AW15" i="1" a="1"/>
  <c r="AW15" i="1" s="1"/>
  <c r="AW14" i="1" a="1"/>
  <c r="AW14" i="1" s="1"/>
  <c r="AV21" i="1"/>
  <c r="AV22" i="1"/>
  <c r="AV23" i="1"/>
  <c r="AV24" i="1"/>
  <c r="AU25" i="1"/>
  <c r="AU26" i="1" s="1"/>
  <c r="AU28" i="1" s="1"/>
  <c r="AU30" i="1" s="1"/>
  <c r="AU33" i="1" s="1"/>
  <c r="AU34" i="1" s="1"/>
  <c r="AU36" i="1" s="1"/>
  <c r="AU43" i="1" s="1"/>
  <c r="AU44" i="1" s="1"/>
  <c r="AV17" i="1"/>
  <c r="AV18" i="1" s="1"/>
  <c r="AV52" i="1"/>
  <c r="AV58" i="1" s="1"/>
  <c r="AV60" i="1" s="1"/>
  <c r="AW49" i="1"/>
  <c r="AW51" i="1"/>
  <c r="AW50" i="1"/>
  <c r="AX10" i="1"/>
  <c r="AV72" i="1" l="1"/>
  <c r="AO43" i="1"/>
  <c r="AR33" i="1"/>
  <c r="AX15" i="1" a="1"/>
  <c r="AX15" i="1" s="1"/>
  <c r="AX14" i="1" a="1"/>
  <c r="AX14" i="1" s="1"/>
  <c r="AW21" i="1"/>
  <c r="AW22" i="1"/>
  <c r="AW24" i="1"/>
  <c r="AW23" i="1"/>
  <c r="AW17" i="1"/>
  <c r="AW18" i="1" s="1"/>
  <c r="AW52" i="1"/>
  <c r="AW58" i="1" s="1"/>
  <c r="AW60" i="1" s="1"/>
  <c r="AW72" i="1" s="1"/>
  <c r="AX50" i="1"/>
  <c r="AX49" i="1"/>
  <c r="AX51" i="1"/>
  <c r="AV25" i="1"/>
  <c r="AV26" i="1" s="1"/>
  <c r="AV28" i="1" s="1"/>
  <c r="AV30" i="1" s="1"/>
  <c r="AV33" i="1" s="1"/>
  <c r="AV34" i="1" s="1"/>
  <c r="AV36" i="1" s="1"/>
  <c r="AV43" i="1" s="1"/>
  <c r="AV44" i="1" s="1"/>
  <c r="AY10" i="1"/>
  <c r="AR34" i="1" l="1"/>
  <c r="AO44" i="1"/>
  <c r="AY15" i="1" a="1"/>
  <c r="AY15" i="1" s="1"/>
  <c r="AY14" i="1" a="1"/>
  <c r="AY14" i="1" s="1"/>
  <c r="AX22" i="1"/>
  <c r="AX23" i="1"/>
  <c r="AX21" i="1"/>
  <c r="AX24" i="1"/>
  <c r="AX52" i="1"/>
  <c r="AX58" i="1" s="1"/>
  <c r="AX60" i="1" s="1"/>
  <c r="AX72" i="1" s="1"/>
  <c r="AY49" i="1"/>
  <c r="AY50" i="1"/>
  <c r="AY51" i="1"/>
  <c r="AX17" i="1"/>
  <c r="AX18" i="1" s="1"/>
  <c r="AW25" i="1"/>
  <c r="AW26" i="1" s="1"/>
  <c r="AW28" i="1" s="1"/>
  <c r="AW30" i="1" s="1"/>
  <c r="AW33" i="1" s="1"/>
  <c r="AW34" i="1" s="1"/>
  <c r="AW36" i="1" s="1"/>
  <c r="AW43" i="1" s="1"/>
  <c r="AW44" i="1" s="1"/>
  <c r="AZ10" i="1"/>
  <c r="AR36" i="1" l="1"/>
  <c r="AZ15" i="1" a="1"/>
  <c r="AZ15" i="1" s="1"/>
  <c r="AZ14" i="1" a="1"/>
  <c r="AZ14" i="1" s="1"/>
  <c r="AY21" i="1"/>
  <c r="AY23" i="1"/>
  <c r="AY24" i="1"/>
  <c r="AY22" i="1"/>
  <c r="AY17" i="1"/>
  <c r="AX25" i="1"/>
  <c r="AX26" i="1" s="1"/>
  <c r="AX28" i="1" s="1"/>
  <c r="AX30" i="1" s="1"/>
  <c r="AZ51" i="1"/>
  <c r="AZ50" i="1"/>
  <c r="AZ49" i="1"/>
  <c r="AY52" i="1"/>
  <c r="BA10" i="1"/>
  <c r="AR43" i="1" l="1"/>
  <c r="AY58" i="1"/>
  <c r="AX33" i="1"/>
  <c r="F30" i="17"/>
  <c r="AY18" i="1"/>
  <c r="BA15" i="1" a="1"/>
  <c r="BA15" i="1" s="1"/>
  <c r="BA14" i="1" a="1"/>
  <c r="BA14" i="1" s="1"/>
  <c r="AZ22" i="1"/>
  <c r="AZ24" i="1"/>
  <c r="AZ23" i="1"/>
  <c r="AZ21" i="1"/>
  <c r="AY25" i="1"/>
  <c r="AZ52" i="1"/>
  <c r="AZ58" i="1" s="1"/>
  <c r="AZ60" i="1" s="1"/>
  <c r="AZ72" i="1" s="1"/>
  <c r="AZ17" i="1"/>
  <c r="AZ18" i="1" s="1"/>
  <c r="BA50" i="1"/>
  <c r="BA51" i="1"/>
  <c r="BA49" i="1"/>
  <c r="BB10" i="1"/>
  <c r="AR44" i="1" l="1"/>
  <c r="AY60" i="1"/>
  <c r="AY26" i="1"/>
  <c r="AX34" i="1"/>
  <c r="F33" i="17"/>
  <c r="BB15" i="1" a="1"/>
  <c r="BB15" i="1" s="1"/>
  <c r="BB14" i="1" a="1"/>
  <c r="BB14" i="1" s="1"/>
  <c r="BA21" i="1"/>
  <c r="BA22" i="1"/>
  <c r="BA24" i="1"/>
  <c r="BA23" i="1"/>
  <c r="BA52" i="1"/>
  <c r="BA58" i="1" s="1"/>
  <c r="BA60" i="1" s="1"/>
  <c r="BA72" i="1" s="1"/>
  <c r="BB49" i="1"/>
  <c r="BB50" i="1"/>
  <c r="BB51" i="1"/>
  <c r="BA17" i="1"/>
  <c r="AZ25" i="1"/>
  <c r="AZ26" i="1" s="1"/>
  <c r="AZ28" i="1" s="1"/>
  <c r="AZ30" i="1" s="1"/>
  <c r="AZ33" i="1" s="1"/>
  <c r="AZ34" i="1" s="1"/>
  <c r="AZ36" i="1" s="1"/>
  <c r="AZ43" i="1" s="1"/>
  <c r="AZ44" i="1" s="1"/>
  <c r="BC10" i="1"/>
  <c r="AY28" i="1" l="1"/>
  <c r="BA18" i="1"/>
  <c r="AX36" i="1"/>
  <c r="F34" i="17"/>
  <c r="AY72" i="1"/>
  <c r="BC15" i="1" a="1"/>
  <c r="BC15" i="1" s="1"/>
  <c r="BC14" i="1" a="1"/>
  <c r="BC14" i="1" s="1"/>
  <c r="BB23" i="1"/>
  <c r="BB22" i="1"/>
  <c r="BB24" i="1"/>
  <c r="BB21" i="1"/>
  <c r="BA25" i="1"/>
  <c r="BC49" i="1"/>
  <c r="BC50" i="1"/>
  <c r="BC51" i="1"/>
  <c r="BB52" i="1"/>
  <c r="BB58" i="1" s="1"/>
  <c r="BB60" i="1" s="1"/>
  <c r="BB72" i="1" s="1"/>
  <c r="BB17" i="1"/>
  <c r="BB18" i="1" s="1"/>
  <c r="BD10" i="1"/>
  <c r="BA26" i="1" l="1"/>
  <c r="AX43" i="1"/>
  <c r="F36" i="17"/>
  <c r="AY30" i="1"/>
  <c r="BD15" i="1" a="1"/>
  <c r="BD15" i="1" s="1"/>
  <c r="BD14" i="1" a="1"/>
  <c r="BD14" i="1" s="1"/>
  <c r="BC22" i="1"/>
  <c r="BC23" i="1"/>
  <c r="BC24" i="1"/>
  <c r="BC21" i="1"/>
  <c r="BB25" i="1"/>
  <c r="BB26" i="1" s="1"/>
  <c r="BB28" i="1" s="1"/>
  <c r="BB30" i="1" s="1"/>
  <c r="BB33" i="1" s="1"/>
  <c r="BB34" i="1" s="1"/>
  <c r="BB36" i="1" s="1"/>
  <c r="BB43" i="1" s="1"/>
  <c r="BB44" i="1" s="1"/>
  <c r="BC17" i="1"/>
  <c r="BC18" i="1" s="1"/>
  <c r="BD49" i="1"/>
  <c r="BD51" i="1"/>
  <c r="BD50" i="1"/>
  <c r="BC52" i="1"/>
  <c r="BC58" i="1" s="1"/>
  <c r="BC60" i="1" s="1"/>
  <c r="BC72" i="1" s="1"/>
  <c r="BE10" i="1"/>
  <c r="AX44" i="1" l="1"/>
  <c r="F43" i="17"/>
  <c r="AY33" i="1"/>
  <c r="BA28" i="1"/>
  <c r="BE15" i="1" a="1"/>
  <c r="BE15" i="1" s="1"/>
  <c r="BE14" i="1" a="1"/>
  <c r="BE14" i="1" s="1"/>
  <c r="BD23" i="1"/>
  <c r="BD21" i="1"/>
  <c r="BD22" i="1"/>
  <c r="BD24" i="1"/>
  <c r="BE49" i="1"/>
  <c r="BE51" i="1"/>
  <c r="BE50" i="1"/>
  <c r="BD17" i="1"/>
  <c r="BD52" i="1"/>
  <c r="BD58" i="1" s="1"/>
  <c r="BD60" i="1" s="1"/>
  <c r="BD72" i="1" s="1"/>
  <c r="BC25" i="1"/>
  <c r="BF10" i="1"/>
  <c r="BD18" i="1" l="1"/>
  <c r="AY34" i="1"/>
  <c r="BC26" i="1"/>
  <c r="BA30" i="1"/>
  <c r="BF15" i="1" a="1"/>
  <c r="BF15" i="1" s="1"/>
  <c r="BF14" i="1" a="1"/>
  <c r="BF14" i="1" s="1"/>
  <c r="BE22" i="1"/>
  <c r="BE21" i="1"/>
  <c r="BE24" i="1"/>
  <c r="BE23" i="1"/>
  <c r="BE52" i="1"/>
  <c r="BE58" i="1" s="1"/>
  <c r="BE60" i="1" s="1"/>
  <c r="BE72" i="1" s="1"/>
  <c r="BD25" i="1"/>
  <c r="BD26" i="1" s="1"/>
  <c r="BF50" i="1"/>
  <c r="BF49" i="1"/>
  <c r="BF51" i="1"/>
  <c r="BE17" i="1"/>
  <c r="BE18" i="1" s="1"/>
  <c r="BG10" i="1"/>
  <c r="BD28" i="1" l="1"/>
  <c r="BD30" i="1" s="1"/>
  <c r="BD33" i="1" s="1"/>
  <c r="BD34" i="1" s="1"/>
  <c r="BD36" i="1" s="1"/>
  <c r="BD43" i="1" s="1"/>
  <c r="BD44" i="1" s="1"/>
  <c r="AY36" i="1"/>
  <c r="BC28" i="1"/>
  <c r="BA33" i="1"/>
  <c r="BG15" i="1" a="1"/>
  <c r="BG15" i="1" s="1"/>
  <c r="BG14" i="1" a="1"/>
  <c r="BG14" i="1" s="1"/>
  <c r="BF24" i="1"/>
  <c r="BF22" i="1"/>
  <c r="BF21" i="1"/>
  <c r="BF23" i="1"/>
  <c r="BF52" i="1"/>
  <c r="BF58" i="1" s="1"/>
  <c r="BF60" i="1" s="1"/>
  <c r="BE25" i="1"/>
  <c r="BE26" i="1" s="1"/>
  <c r="BE28" i="1" s="1"/>
  <c r="BE30" i="1" s="1"/>
  <c r="BE33" i="1" s="1"/>
  <c r="BE34" i="1" s="1"/>
  <c r="BE36" i="1" s="1"/>
  <c r="BE43" i="1" s="1"/>
  <c r="BE44" i="1" s="1"/>
  <c r="BG49" i="1"/>
  <c r="BG50" i="1"/>
  <c r="BG51" i="1"/>
  <c r="BF17" i="1"/>
  <c r="BF18" i="1" s="1"/>
  <c r="BH10" i="1"/>
  <c r="BF72" i="1" l="1"/>
  <c r="BA34" i="1"/>
  <c r="AY43" i="1"/>
  <c r="BC30" i="1"/>
  <c r="BH15" i="1" a="1"/>
  <c r="BH15" i="1" s="1"/>
  <c r="BH14" i="1" a="1"/>
  <c r="BH14" i="1" s="1"/>
  <c r="BG22" i="1"/>
  <c r="BG21" i="1"/>
  <c r="BG23" i="1"/>
  <c r="BG24" i="1"/>
  <c r="BG17" i="1"/>
  <c r="BG18" i="1" s="1"/>
  <c r="BG52" i="1"/>
  <c r="BG58" i="1" s="1"/>
  <c r="BG60" i="1" s="1"/>
  <c r="BG72" i="1" s="1"/>
  <c r="BH49" i="1"/>
  <c r="BH51" i="1"/>
  <c r="BH50" i="1"/>
  <c r="BF25" i="1"/>
  <c r="BF26" i="1" s="1"/>
  <c r="BF28" i="1" s="1"/>
  <c r="BF30" i="1" s="1"/>
  <c r="BF33" i="1" s="1"/>
  <c r="BF34" i="1" s="1"/>
  <c r="BF36" i="1" s="1"/>
  <c r="BF43" i="1" s="1"/>
  <c r="BF44" i="1" s="1"/>
  <c r="BI10" i="1"/>
  <c r="BC33" i="1" l="1"/>
  <c r="BA36" i="1"/>
  <c r="AY44" i="1"/>
  <c r="BI15" i="1" a="1"/>
  <c r="BI15" i="1" s="1"/>
  <c r="BI14" i="1" a="1"/>
  <c r="BI14" i="1" s="1"/>
  <c r="BH23" i="1"/>
  <c r="BH21" i="1"/>
  <c r="BH22" i="1"/>
  <c r="BH24" i="1"/>
  <c r="BH17" i="1"/>
  <c r="BH18" i="1" s="1"/>
  <c r="BI49" i="1"/>
  <c r="BI50" i="1"/>
  <c r="BI51" i="1"/>
  <c r="BH52" i="1"/>
  <c r="BH58" i="1" s="1"/>
  <c r="BH60" i="1" s="1"/>
  <c r="BH72" i="1" s="1"/>
  <c r="BG25" i="1"/>
  <c r="BG26" i="1" s="1"/>
  <c r="BG28" i="1" s="1"/>
  <c r="BG30" i="1" s="1"/>
  <c r="BG33" i="1" s="1"/>
  <c r="BG34" i="1" s="1"/>
  <c r="BG36" i="1" s="1"/>
  <c r="BG43" i="1" s="1"/>
  <c r="BG44" i="1" s="1"/>
  <c r="BJ10" i="1"/>
  <c r="BA43" i="1" l="1"/>
  <c r="BC34" i="1"/>
  <c r="BJ15" i="1" a="1"/>
  <c r="BJ15" i="1" s="1"/>
  <c r="BJ14" i="1" a="1"/>
  <c r="BJ14" i="1" s="1"/>
  <c r="BI24" i="1"/>
  <c r="BI23" i="1"/>
  <c r="BI22" i="1"/>
  <c r="BI21" i="1"/>
  <c r="BI52" i="1"/>
  <c r="BI58" i="1" s="1"/>
  <c r="BI60" i="1" s="1"/>
  <c r="BI72" i="1" s="1"/>
  <c r="BH25" i="1"/>
  <c r="BH26" i="1" s="1"/>
  <c r="BH28" i="1" s="1"/>
  <c r="BH30" i="1" s="1"/>
  <c r="BH33" i="1" s="1"/>
  <c r="BH34" i="1" s="1"/>
  <c r="BH36" i="1" s="1"/>
  <c r="BH43" i="1" s="1"/>
  <c r="BH44" i="1" s="1"/>
  <c r="BJ51" i="1"/>
  <c r="BJ49" i="1"/>
  <c r="BJ50" i="1"/>
  <c r="BI17" i="1"/>
  <c r="BI18" i="1" s="1"/>
  <c r="BK10" i="1"/>
  <c r="BC36" i="1" l="1"/>
  <c r="BA44" i="1"/>
  <c r="BK15" i="1" a="1"/>
  <c r="BK15" i="1" s="1"/>
  <c r="BK14" i="1" a="1"/>
  <c r="BK14" i="1" s="1"/>
  <c r="BJ23" i="1"/>
  <c r="BJ21" i="1"/>
  <c r="BJ24" i="1"/>
  <c r="BJ22" i="1"/>
  <c r="BI25" i="1"/>
  <c r="BI26" i="1" s="1"/>
  <c r="BI28" i="1" s="1"/>
  <c r="BI30" i="1" s="1"/>
  <c r="BI33" i="1" s="1"/>
  <c r="BI34" i="1" s="1"/>
  <c r="BI36" i="1" s="1"/>
  <c r="BI43" i="1" s="1"/>
  <c r="BI44" i="1" s="1"/>
  <c r="BK49" i="1"/>
  <c r="BK50" i="1"/>
  <c r="BK51" i="1"/>
  <c r="BJ52" i="1"/>
  <c r="BJ58" i="1" s="1"/>
  <c r="BJ60" i="1" s="1"/>
  <c r="BJ72" i="1" s="1"/>
  <c r="BJ17" i="1"/>
  <c r="BJ18" i="1" s="1"/>
  <c r="BL10" i="1"/>
  <c r="BC43" i="1" l="1"/>
  <c r="BL15" i="1" a="1"/>
  <c r="BL15" i="1" s="1"/>
  <c r="BL14" i="1" a="1"/>
  <c r="BL14" i="1" s="1"/>
  <c r="BK24" i="1"/>
  <c r="BK22" i="1"/>
  <c r="BK21" i="1"/>
  <c r="BK23" i="1"/>
  <c r="BK17" i="1"/>
  <c r="BJ25" i="1"/>
  <c r="BJ26" i="1" s="1"/>
  <c r="BJ28" i="1" s="1"/>
  <c r="BJ30" i="1" s="1"/>
  <c r="BJ33" i="1" s="1"/>
  <c r="BJ34" i="1" s="1"/>
  <c r="BJ36" i="1" s="1"/>
  <c r="BJ43" i="1" s="1"/>
  <c r="BJ44" i="1" s="1"/>
  <c r="BL51" i="1"/>
  <c r="BL49" i="1"/>
  <c r="BL50" i="1"/>
  <c r="BK52" i="1"/>
  <c r="BM10" i="1"/>
  <c r="G34" i="17" l="1"/>
  <c r="G36" i="17"/>
  <c r="BK58" i="1"/>
  <c r="BK18" i="1"/>
  <c r="BC44" i="1"/>
  <c r="G44" i="17" s="1"/>
  <c r="G43" i="17"/>
  <c r="BM15" i="1" a="1"/>
  <c r="BM15" i="1" s="1"/>
  <c r="BM14" i="1" a="1"/>
  <c r="BM14" i="1" s="1"/>
  <c r="BL24" i="1"/>
  <c r="BL21" i="1"/>
  <c r="BL22" i="1"/>
  <c r="BL23" i="1"/>
  <c r="BL52" i="1"/>
  <c r="BL58" i="1" s="1"/>
  <c r="BL60" i="1" s="1"/>
  <c r="BL72" i="1" s="1"/>
  <c r="BM49" i="1"/>
  <c r="BM50" i="1"/>
  <c r="BM51" i="1"/>
  <c r="BL17" i="1"/>
  <c r="BL18" i="1" s="1"/>
  <c r="BK25" i="1"/>
  <c r="BN10" i="1"/>
  <c r="BK26" i="1" l="1"/>
  <c r="BK60" i="1"/>
  <c r="BN15" i="1" a="1"/>
  <c r="BN15" i="1" s="1"/>
  <c r="BN14" i="1" a="1"/>
  <c r="BN14" i="1" s="1"/>
  <c r="BM21" i="1"/>
  <c r="BM23" i="1"/>
  <c r="BM24" i="1"/>
  <c r="BM22" i="1"/>
  <c r="BL25" i="1"/>
  <c r="BL26" i="1" s="1"/>
  <c r="BL28" i="1" s="1"/>
  <c r="BL30" i="1" s="1"/>
  <c r="BL33" i="1" s="1"/>
  <c r="BL34" i="1" s="1"/>
  <c r="BL36" i="1" s="1"/>
  <c r="BL43" i="1" s="1"/>
  <c r="BL44" i="1" s="1"/>
  <c r="BM17" i="1"/>
  <c r="BM18" i="1" s="1"/>
  <c r="BN49" i="1"/>
  <c r="BN50" i="1"/>
  <c r="BN51" i="1"/>
  <c r="BM52" i="1"/>
  <c r="BM58" i="1" s="1"/>
  <c r="BM60" i="1" s="1"/>
  <c r="BM72" i="1" s="1"/>
  <c r="BO10" i="1"/>
  <c r="BK28" i="1" l="1"/>
  <c r="BK72" i="1"/>
  <c r="BO15" i="1" a="1"/>
  <c r="BO15" i="1" s="1"/>
  <c r="BO14" i="1" a="1"/>
  <c r="BO14" i="1" s="1"/>
  <c r="BN21" i="1"/>
  <c r="BN22" i="1"/>
  <c r="BN24" i="1"/>
  <c r="BN23" i="1"/>
  <c r="BN52" i="1"/>
  <c r="BN58" i="1" s="1"/>
  <c r="BN60" i="1" s="1"/>
  <c r="BN72" i="1" s="1"/>
  <c r="BN17" i="1"/>
  <c r="BN18" i="1" s="1"/>
  <c r="BO49" i="1"/>
  <c r="BO50" i="1"/>
  <c r="BO51" i="1"/>
  <c r="BM25" i="1"/>
  <c r="BM26" i="1" s="1"/>
  <c r="BM28" i="1" s="1"/>
  <c r="BM30" i="1" s="1"/>
  <c r="BM33" i="1" s="1"/>
  <c r="BM34" i="1" s="1"/>
  <c r="BM36" i="1" s="1"/>
  <c r="BM43" i="1" s="1"/>
  <c r="BM44" i="1" s="1"/>
  <c r="BP10" i="1"/>
  <c r="BK30" i="1" l="1"/>
  <c r="BP15" i="1" a="1"/>
  <c r="BP15" i="1" s="1"/>
  <c r="BP14" i="1" a="1"/>
  <c r="BP14" i="1" s="1"/>
  <c r="BO23" i="1"/>
  <c r="BO24" i="1"/>
  <c r="BO21" i="1"/>
  <c r="BO22" i="1"/>
  <c r="BO52" i="1"/>
  <c r="BO58" i="1" s="1"/>
  <c r="BP51" i="1"/>
  <c r="BP49" i="1"/>
  <c r="BP50" i="1"/>
  <c r="BO17" i="1"/>
  <c r="BO18" i="1" s="1"/>
  <c r="BN25" i="1"/>
  <c r="BN26" i="1" s="1"/>
  <c r="BN28" i="1" s="1"/>
  <c r="BN30" i="1" s="1"/>
  <c r="BN33" i="1" s="1"/>
  <c r="BN34" i="1" s="1"/>
  <c r="BN36" i="1" s="1"/>
  <c r="BN43" i="1" s="1"/>
  <c r="BN44" i="1" s="1"/>
  <c r="BQ10" i="1"/>
  <c r="BO60" i="1" l="1"/>
  <c r="BK33" i="1"/>
  <c r="BQ15" i="1" a="1"/>
  <c r="BQ15" i="1" s="1"/>
  <c r="BQ14" i="1" a="1"/>
  <c r="BQ14" i="1" s="1"/>
  <c r="BP21" i="1"/>
  <c r="BP23" i="1"/>
  <c r="BP22" i="1"/>
  <c r="BP24" i="1"/>
  <c r="BP52" i="1"/>
  <c r="BP58" i="1" s="1"/>
  <c r="BP60" i="1" s="1"/>
  <c r="BP72" i="1" s="1"/>
  <c r="BP17" i="1"/>
  <c r="BP18" i="1" s="1"/>
  <c r="BO25" i="1"/>
  <c r="BO26" i="1" s="1"/>
  <c r="BO28" i="1" s="1"/>
  <c r="BQ49" i="1"/>
  <c r="BQ51" i="1"/>
  <c r="BQ50" i="1"/>
  <c r="BR10" i="1"/>
  <c r="BO72" i="1" l="1"/>
  <c r="BK34" i="1"/>
  <c r="BO30" i="1"/>
  <c r="BR15" i="1" a="1"/>
  <c r="BR15" i="1" s="1"/>
  <c r="BR14" i="1" a="1"/>
  <c r="BR14" i="1" s="1"/>
  <c r="BQ21" i="1"/>
  <c r="BQ22" i="1"/>
  <c r="BQ23" i="1"/>
  <c r="BQ24" i="1"/>
  <c r="BQ52" i="1"/>
  <c r="BQ58" i="1" s="1"/>
  <c r="BQ60" i="1" s="1"/>
  <c r="BQ72" i="1" s="1"/>
  <c r="BQ17" i="1"/>
  <c r="BQ18" i="1" s="1"/>
  <c r="BR49" i="1"/>
  <c r="BR50" i="1"/>
  <c r="BR51" i="1"/>
  <c r="BP25" i="1"/>
  <c r="BS10" i="1"/>
  <c r="BP26" i="1" l="1"/>
  <c r="BO33" i="1"/>
  <c r="BK36" i="1"/>
  <c r="BS15" i="1" a="1"/>
  <c r="BS15" i="1" s="1"/>
  <c r="BS14" i="1" a="1"/>
  <c r="BS14" i="1" s="1"/>
  <c r="BR22" i="1"/>
  <c r="BR24" i="1"/>
  <c r="BR21" i="1"/>
  <c r="BR23" i="1"/>
  <c r="BR17" i="1"/>
  <c r="BR18" i="1" s="1"/>
  <c r="BR52" i="1"/>
  <c r="BR58" i="1" s="1"/>
  <c r="BR60" i="1" s="1"/>
  <c r="BR72" i="1" s="1"/>
  <c r="BS49" i="1"/>
  <c r="BS50" i="1"/>
  <c r="BS51" i="1"/>
  <c r="BQ25" i="1"/>
  <c r="BQ26" i="1" s="1"/>
  <c r="BQ28" i="1" s="1"/>
  <c r="BQ30" i="1" s="1"/>
  <c r="BQ33" i="1" s="1"/>
  <c r="BQ34" i="1" s="1"/>
  <c r="BQ36" i="1" s="1"/>
  <c r="BQ43" i="1" s="1"/>
  <c r="BQ44" i="1" s="1"/>
  <c r="BT10" i="1"/>
  <c r="BO34" i="1" l="1"/>
  <c r="BK43" i="1"/>
  <c r="BP28" i="1"/>
  <c r="BT15" i="1" a="1"/>
  <c r="BT15" i="1" s="1"/>
  <c r="BT14" i="1" a="1"/>
  <c r="BT14" i="1" s="1"/>
  <c r="BS22" i="1"/>
  <c r="BS23" i="1"/>
  <c r="BS24" i="1"/>
  <c r="BS21" i="1"/>
  <c r="BR25" i="1"/>
  <c r="BR26" i="1" s="1"/>
  <c r="BR28" i="1" s="1"/>
  <c r="BR30" i="1" s="1"/>
  <c r="BR33" i="1" s="1"/>
  <c r="BR34" i="1" s="1"/>
  <c r="BR36" i="1" s="1"/>
  <c r="BR43" i="1" s="1"/>
  <c r="BR44" i="1" s="1"/>
  <c r="BT49" i="1"/>
  <c r="BT51" i="1"/>
  <c r="BT50" i="1"/>
  <c r="BS17" i="1"/>
  <c r="BS18" i="1" s="1"/>
  <c r="BS52" i="1"/>
  <c r="BS58" i="1" s="1"/>
  <c r="BS60" i="1" s="1"/>
  <c r="BU10" i="1"/>
  <c r="BK44" i="1" l="1"/>
  <c r="BS72" i="1"/>
  <c r="BP30" i="1"/>
  <c r="BO36" i="1"/>
  <c r="BU15" i="1" a="1"/>
  <c r="BU15" i="1" s="1"/>
  <c r="BU14" i="1" a="1"/>
  <c r="BU14" i="1" s="1"/>
  <c r="BT23" i="1"/>
  <c r="BT24" i="1"/>
  <c r="BT21" i="1"/>
  <c r="BT22" i="1"/>
  <c r="BT52" i="1"/>
  <c r="BT58" i="1" s="1"/>
  <c r="BT60" i="1" s="1"/>
  <c r="BT72" i="1" s="1"/>
  <c r="BS25" i="1"/>
  <c r="BS26" i="1" s="1"/>
  <c r="BS28" i="1" s="1"/>
  <c r="BS30" i="1" s="1"/>
  <c r="BS33" i="1" s="1"/>
  <c r="BS34" i="1" s="1"/>
  <c r="BS36" i="1" s="1"/>
  <c r="BS43" i="1" s="1"/>
  <c r="BS44" i="1" s="1"/>
  <c r="BU51" i="1"/>
  <c r="BU50" i="1"/>
  <c r="BU49" i="1"/>
  <c r="BT17" i="1"/>
  <c r="BT18" i="1" s="1"/>
  <c r="BV10" i="1"/>
  <c r="BO43" i="1" l="1"/>
  <c r="BP33" i="1"/>
  <c r="BV15" i="1" a="1"/>
  <c r="BV15" i="1" s="1"/>
  <c r="BV14" i="1" a="1"/>
  <c r="BV14" i="1" s="1"/>
  <c r="BU22" i="1"/>
  <c r="BU24" i="1"/>
  <c r="BU21" i="1"/>
  <c r="BU23" i="1"/>
  <c r="BU17" i="1"/>
  <c r="BU18" i="1" s="1"/>
  <c r="BT25" i="1"/>
  <c r="BT26" i="1" s="1"/>
  <c r="BT28" i="1" s="1"/>
  <c r="BT30" i="1" s="1"/>
  <c r="BT33" i="1" s="1"/>
  <c r="BT34" i="1" s="1"/>
  <c r="BT36" i="1" s="1"/>
  <c r="BT43" i="1" s="1"/>
  <c r="BT44" i="1" s="1"/>
  <c r="BU52" i="1"/>
  <c r="BU58" i="1" s="1"/>
  <c r="BU60" i="1" s="1"/>
  <c r="BU72" i="1" s="1"/>
  <c r="BV51" i="1"/>
  <c r="BV50" i="1"/>
  <c r="BV49" i="1"/>
  <c r="BW10" i="1"/>
  <c r="BP34" i="1" l="1"/>
  <c r="BO44" i="1"/>
  <c r="BW15" i="1" a="1"/>
  <c r="BW15" i="1" s="1"/>
  <c r="BW14" i="1" a="1"/>
  <c r="BW14" i="1" s="1"/>
  <c r="BV24" i="1"/>
  <c r="BV21" i="1"/>
  <c r="BV23" i="1"/>
  <c r="BV22" i="1"/>
  <c r="BW49" i="1"/>
  <c r="BW50" i="1"/>
  <c r="BW51" i="1"/>
  <c r="BV52" i="1"/>
  <c r="BV58" i="1" s="1"/>
  <c r="BV60" i="1" s="1"/>
  <c r="BV72" i="1" s="1"/>
  <c r="BU25" i="1"/>
  <c r="BU26" i="1" s="1"/>
  <c r="BU28" i="1" s="1"/>
  <c r="BV17" i="1"/>
  <c r="BV18" i="1" s="1"/>
  <c r="BX10" i="1"/>
  <c r="BU30" i="1" l="1"/>
  <c r="BP36" i="1"/>
  <c r="BX15" i="1" a="1"/>
  <c r="BX15" i="1" s="1"/>
  <c r="BX14" i="1" a="1"/>
  <c r="BX14" i="1" s="1"/>
  <c r="BW23" i="1"/>
  <c r="BW21" i="1"/>
  <c r="BW22" i="1"/>
  <c r="BW24" i="1"/>
  <c r="BW17" i="1"/>
  <c r="BX49" i="1"/>
  <c r="BX51" i="1"/>
  <c r="BX50" i="1"/>
  <c r="BV25" i="1"/>
  <c r="BV26" i="1" s="1"/>
  <c r="BV28" i="1" s="1"/>
  <c r="BV30" i="1" s="1"/>
  <c r="BV33" i="1" s="1"/>
  <c r="BV34" i="1" s="1"/>
  <c r="BV36" i="1" s="1"/>
  <c r="BV43" i="1" s="1"/>
  <c r="BV44" i="1" s="1"/>
  <c r="BW52" i="1"/>
  <c r="BY10" i="1"/>
  <c r="BW18" i="1" l="1"/>
  <c r="BP43" i="1"/>
  <c r="BU33" i="1"/>
  <c r="H30" i="17"/>
  <c r="BW58" i="1"/>
  <c r="BY15" i="1" a="1"/>
  <c r="BY15" i="1" s="1"/>
  <c r="BY14" i="1" a="1"/>
  <c r="BY14" i="1" s="1"/>
  <c r="BX21" i="1"/>
  <c r="BX22" i="1"/>
  <c r="BX23" i="1"/>
  <c r="BX24" i="1"/>
  <c r="BX52" i="1"/>
  <c r="BX58" i="1" s="1"/>
  <c r="BX60" i="1" s="1"/>
  <c r="BX72" i="1" s="1"/>
  <c r="BW25" i="1"/>
  <c r="BX17" i="1"/>
  <c r="BX18" i="1" s="1"/>
  <c r="BY49" i="1"/>
  <c r="BY50" i="1"/>
  <c r="BY51" i="1"/>
  <c r="BZ10" i="1"/>
  <c r="BW60" i="1" l="1"/>
  <c r="BP44" i="1"/>
  <c r="BW26" i="1"/>
  <c r="BU34" i="1"/>
  <c r="H33" i="17"/>
  <c r="BZ15" i="1" a="1"/>
  <c r="BZ15" i="1" s="1"/>
  <c r="BZ14" i="1" a="1"/>
  <c r="BZ14" i="1" s="1"/>
  <c r="BY24" i="1"/>
  <c r="BY23" i="1"/>
  <c r="BY22" i="1"/>
  <c r="BY21" i="1"/>
  <c r="BY52" i="1"/>
  <c r="BZ49" i="1"/>
  <c r="BZ51" i="1"/>
  <c r="BZ50" i="1"/>
  <c r="BY17" i="1"/>
  <c r="BY18" i="1" s="1"/>
  <c r="BX25" i="1"/>
  <c r="BX26" i="1" s="1"/>
  <c r="BX28" i="1" s="1"/>
  <c r="BX30" i="1" s="1"/>
  <c r="BX33" i="1" s="1"/>
  <c r="BX34" i="1" s="1"/>
  <c r="BX36" i="1" s="1"/>
  <c r="BX43" i="1" s="1"/>
  <c r="BX44" i="1" s="1"/>
  <c r="CA10" i="1"/>
  <c r="BW28" i="1" l="1"/>
  <c r="BW72" i="1"/>
  <c r="BY58" i="1"/>
  <c r="BU36" i="1"/>
  <c r="H34" i="17"/>
  <c r="CA15" i="1" a="1"/>
  <c r="CA15" i="1" s="1"/>
  <c r="CA14" i="1" a="1"/>
  <c r="CA14" i="1" s="1"/>
  <c r="BZ21" i="1"/>
  <c r="BZ22" i="1"/>
  <c r="BZ23" i="1"/>
  <c r="BZ24" i="1"/>
  <c r="CA49" i="1"/>
  <c r="CA50" i="1"/>
  <c r="CA51" i="1"/>
  <c r="BY25" i="1"/>
  <c r="BZ17" i="1"/>
  <c r="BZ18" i="1" s="1"/>
  <c r="BZ52" i="1"/>
  <c r="BZ58" i="1" s="1"/>
  <c r="BZ60" i="1" s="1"/>
  <c r="BZ72" i="1" s="1"/>
  <c r="CB10" i="1"/>
  <c r="BY60" i="1" l="1"/>
  <c r="BY26" i="1"/>
  <c r="BU43" i="1"/>
  <c r="H36" i="17"/>
  <c r="BW30" i="1"/>
  <c r="CB15" i="1" a="1"/>
  <c r="CB15" i="1" s="1"/>
  <c r="CB14" i="1" a="1"/>
  <c r="CB14" i="1" s="1"/>
  <c r="CA22" i="1"/>
  <c r="CA24" i="1"/>
  <c r="CA23" i="1"/>
  <c r="CA21" i="1"/>
  <c r="CB51" i="1"/>
  <c r="CB49" i="1"/>
  <c r="CB50" i="1"/>
  <c r="BZ25" i="1"/>
  <c r="BZ26" i="1" s="1"/>
  <c r="BZ28" i="1" s="1"/>
  <c r="BZ30" i="1" s="1"/>
  <c r="BZ33" i="1" s="1"/>
  <c r="BZ34" i="1" s="1"/>
  <c r="BZ36" i="1" s="1"/>
  <c r="BZ43" i="1" s="1"/>
  <c r="BZ44" i="1" s="1"/>
  <c r="CA52" i="1"/>
  <c r="CA58" i="1" s="1"/>
  <c r="CA60" i="1" s="1"/>
  <c r="CA72" i="1" s="1"/>
  <c r="CA17" i="1"/>
  <c r="CA18" i="1" s="1"/>
  <c r="CC10" i="1"/>
  <c r="BW33" i="1" l="1"/>
  <c r="BY72" i="1"/>
  <c r="BU44" i="1"/>
  <c r="H43" i="17"/>
  <c r="BY28" i="1"/>
  <c r="CC15" i="1" a="1"/>
  <c r="CC15" i="1" s="1"/>
  <c r="CC14" i="1" a="1"/>
  <c r="CC14" i="1" s="1"/>
  <c r="CB24" i="1"/>
  <c r="CB21" i="1"/>
  <c r="CB22" i="1"/>
  <c r="CB23" i="1"/>
  <c r="CA25" i="1"/>
  <c r="CA26" i="1" s="1"/>
  <c r="CA28" i="1" s="1"/>
  <c r="CA30" i="1" s="1"/>
  <c r="CA33" i="1" s="1"/>
  <c r="CA34" i="1" s="1"/>
  <c r="CA36" i="1" s="1"/>
  <c r="CA43" i="1" s="1"/>
  <c r="CA44" i="1" s="1"/>
  <c r="CB17" i="1"/>
  <c r="CB18" i="1" s="1"/>
  <c r="CB52" i="1"/>
  <c r="CB58" i="1" s="1"/>
  <c r="CC49" i="1"/>
  <c r="CC50" i="1"/>
  <c r="CC51" i="1"/>
  <c r="CD10" i="1"/>
  <c r="BY30" i="1" l="1"/>
  <c r="CB60" i="1"/>
  <c r="BW34" i="1"/>
  <c r="CD15" i="1" a="1"/>
  <c r="CD15" i="1" s="1"/>
  <c r="CD14" i="1" a="1"/>
  <c r="CD14" i="1" s="1"/>
  <c r="CC21" i="1"/>
  <c r="CC23" i="1"/>
  <c r="CC22" i="1"/>
  <c r="CC24" i="1"/>
  <c r="CC52" i="1"/>
  <c r="CD49" i="1"/>
  <c r="CD50" i="1"/>
  <c r="CD51" i="1"/>
  <c r="CC17" i="1"/>
  <c r="CC18" i="1" s="1"/>
  <c r="CB25" i="1"/>
  <c r="CB26" i="1" s="1"/>
  <c r="CB28" i="1" s="1"/>
  <c r="CB30" i="1" s="1"/>
  <c r="CB33" i="1" s="1"/>
  <c r="CB34" i="1" s="1"/>
  <c r="CB36" i="1" s="1"/>
  <c r="CB43" i="1" s="1"/>
  <c r="CB44" i="1" s="1"/>
  <c r="CE10" i="1"/>
  <c r="CB72" i="1" l="1"/>
  <c r="CC58" i="1"/>
  <c r="BW36" i="1"/>
  <c r="BY33" i="1"/>
  <c r="CE15" i="1" a="1"/>
  <c r="CE15" i="1" s="1"/>
  <c r="CE14" i="1" a="1"/>
  <c r="CE14" i="1" s="1"/>
  <c r="CD22" i="1"/>
  <c r="CD23" i="1"/>
  <c r="CD21" i="1"/>
  <c r="CD24" i="1"/>
  <c r="CD17" i="1"/>
  <c r="CD18" i="1" s="1"/>
  <c r="CD52" i="1"/>
  <c r="CD58" i="1" s="1"/>
  <c r="CD60" i="1" s="1"/>
  <c r="CD72" i="1" s="1"/>
  <c r="CE50" i="1"/>
  <c r="CE51" i="1"/>
  <c r="CE49" i="1"/>
  <c r="CC25" i="1"/>
  <c r="CC26" i="1" s="1"/>
  <c r="CC28" i="1" s="1"/>
  <c r="CC30" i="1" s="1"/>
  <c r="CC33" i="1" s="1"/>
  <c r="CC34" i="1" s="1"/>
  <c r="CC36" i="1" s="1"/>
  <c r="CC43" i="1" s="1"/>
  <c r="CC44" i="1" s="1"/>
  <c r="CF10" i="1"/>
  <c r="CC60" i="1" l="1"/>
  <c r="BY34" i="1"/>
  <c r="BW43" i="1"/>
  <c r="CF15" i="1" a="1"/>
  <c r="CF15" i="1" s="1"/>
  <c r="CF14" i="1" a="1"/>
  <c r="CF14" i="1" s="1"/>
  <c r="CE23" i="1"/>
  <c r="CE22" i="1"/>
  <c r="CE24" i="1"/>
  <c r="CE21" i="1"/>
  <c r="CD25" i="1"/>
  <c r="CD26" i="1" s="1"/>
  <c r="CD28" i="1" s="1"/>
  <c r="CE17" i="1"/>
  <c r="CE18" i="1" s="1"/>
  <c r="CF51" i="1"/>
  <c r="CF50" i="1"/>
  <c r="CF49" i="1"/>
  <c r="CE52" i="1"/>
  <c r="CE58" i="1" s="1"/>
  <c r="CE60" i="1" s="1"/>
  <c r="CE72" i="1" s="1"/>
  <c r="CG10" i="1"/>
  <c r="CD30" i="1" l="1"/>
  <c r="BW44" i="1"/>
  <c r="CC72" i="1"/>
  <c r="BY36" i="1"/>
  <c r="CG15" i="1" a="1"/>
  <c r="CG15" i="1" s="1"/>
  <c r="CG14" i="1" a="1"/>
  <c r="CG14" i="1" s="1"/>
  <c r="CF22" i="1"/>
  <c r="CF24" i="1"/>
  <c r="CF21" i="1"/>
  <c r="CF23" i="1"/>
  <c r="CF52" i="1"/>
  <c r="CF58" i="1" s="1"/>
  <c r="CF60" i="1" s="1"/>
  <c r="CF72" i="1" s="1"/>
  <c r="CF17" i="1"/>
  <c r="CF18" i="1" s="1"/>
  <c r="CG49" i="1"/>
  <c r="CG51" i="1"/>
  <c r="CG50" i="1"/>
  <c r="CE25" i="1"/>
  <c r="CE26" i="1" s="1"/>
  <c r="CE28" i="1" s="1"/>
  <c r="CE30" i="1" s="1"/>
  <c r="CE33" i="1" s="1"/>
  <c r="CE34" i="1" s="1"/>
  <c r="CE36" i="1" s="1"/>
  <c r="CE43" i="1" s="1"/>
  <c r="CE44" i="1" s="1"/>
  <c r="CH10" i="1"/>
  <c r="BY43" i="1" l="1"/>
  <c r="CD33" i="1"/>
  <c r="CH15" i="1" a="1"/>
  <c r="CH15" i="1" s="1"/>
  <c r="CH14" i="1" a="1"/>
  <c r="CH14" i="1" s="1"/>
  <c r="CG21" i="1"/>
  <c r="CG22" i="1"/>
  <c r="CG24" i="1"/>
  <c r="CG23" i="1"/>
  <c r="CF25" i="1"/>
  <c r="CF26" i="1" s="1"/>
  <c r="CF28" i="1" s="1"/>
  <c r="CF30" i="1" s="1"/>
  <c r="CF33" i="1" s="1"/>
  <c r="CF34" i="1" s="1"/>
  <c r="CF36" i="1" s="1"/>
  <c r="CF43" i="1" s="1"/>
  <c r="CF44" i="1" s="1"/>
  <c r="CG52" i="1"/>
  <c r="CG58" i="1" s="1"/>
  <c r="CG60" i="1" s="1"/>
  <c r="CG72" i="1" s="1"/>
  <c r="CG17" i="1"/>
  <c r="CG18" i="1" s="1"/>
  <c r="CH49" i="1"/>
  <c r="CH50" i="1"/>
  <c r="CH51" i="1"/>
  <c r="CI10" i="1"/>
  <c r="CI14" i="1" s="1" a="1"/>
  <c r="CI14" i="1" s="1"/>
  <c r="CD34" i="1" l="1"/>
  <c r="BY44" i="1"/>
  <c r="CI15" i="1" a="1"/>
  <c r="CI15" i="1" s="1"/>
  <c r="CI21" i="1" s="1"/>
  <c r="CH22" i="1"/>
  <c r="CH24" i="1"/>
  <c r="CH23" i="1"/>
  <c r="CH21" i="1"/>
  <c r="CH52" i="1"/>
  <c r="CH58" i="1" s="1"/>
  <c r="CH60" i="1" s="1"/>
  <c r="CH72" i="1" s="1"/>
  <c r="CH17" i="1"/>
  <c r="CH18" i="1" s="1"/>
  <c r="CI50" i="1"/>
  <c r="CI49" i="1"/>
  <c r="CI51" i="1"/>
  <c r="CG25" i="1"/>
  <c r="CG26" i="1" s="1"/>
  <c r="CG28" i="1" s="1"/>
  <c r="CG30" i="1" s="1"/>
  <c r="CJ10" i="1"/>
  <c r="CJ14" i="1" s="1" a="1"/>
  <c r="CJ14" i="1" s="1"/>
  <c r="CG33" i="1" l="1"/>
  <c r="CI22" i="1"/>
  <c r="CI23" i="1"/>
  <c r="CD36" i="1"/>
  <c r="CI24" i="1"/>
  <c r="CJ15" i="1" a="1"/>
  <c r="CJ15" i="1" s="1"/>
  <c r="CJ21" i="1" s="1"/>
  <c r="CI17" i="1"/>
  <c r="CH25" i="1"/>
  <c r="CH26" i="1" s="1"/>
  <c r="CH28" i="1" s="1"/>
  <c r="CH30" i="1" s="1"/>
  <c r="CH33" i="1" s="1"/>
  <c r="CH34" i="1" s="1"/>
  <c r="CH36" i="1" s="1"/>
  <c r="CH43" i="1" s="1"/>
  <c r="CH44" i="1" s="1"/>
  <c r="CI52" i="1"/>
  <c r="CJ51" i="1"/>
  <c r="CJ49" i="1"/>
  <c r="CJ50" i="1"/>
  <c r="CK10" i="1"/>
  <c r="CK14" i="1" s="1" a="1"/>
  <c r="CK14" i="1" s="1"/>
  <c r="CG34" i="1" l="1"/>
  <c r="I33" i="17"/>
  <c r="CI18" i="1"/>
  <c r="CI58" i="1"/>
  <c r="CD43" i="1"/>
  <c r="CJ24" i="1"/>
  <c r="CJ22" i="1"/>
  <c r="CJ23" i="1"/>
  <c r="CK15" i="1" a="1"/>
  <c r="CK15" i="1" s="1"/>
  <c r="CK23" i="1" s="1"/>
  <c r="CJ17" i="1"/>
  <c r="CJ18" i="1" s="1"/>
  <c r="CI25" i="1"/>
  <c r="CK49" i="1"/>
  <c r="CK51" i="1"/>
  <c r="CK50" i="1"/>
  <c r="CJ52" i="1"/>
  <c r="CJ58" i="1" s="1"/>
  <c r="CJ60" i="1" s="1"/>
  <c r="CJ72" i="1" s="1"/>
  <c r="CL10" i="1"/>
  <c r="CL14" i="1" s="1" a="1"/>
  <c r="CL14" i="1" s="1"/>
  <c r="CD44" i="1" l="1"/>
  <c r="CI26" i="1"/>
  <c r="CI60" i="1"/>
  <c r="CG36" i="1"/>
  <c r="I34" i="17"/>
  <c r="CK24" i="1"/>
  <c r="CK22" i="1"/>
  <c r="CK21" i="1"/>
  <c r="CL15" i="1" a="1"/>
  <c r="CL15" i="1" s="1"/>
  <c r="CL22" i="1" s="1"/>
  <c r="CJ25" i="1"/>
  <c r="CJ26" i="1" s="1"/>
  <c r="CJ28" i="1" s="1"/>
  <c r="CJ30" i="1" s="1"/>
  <c r="CJ33" i="1" s="1"/>
  <c r="CJ34" i="1" s="1"/>
  <c r="CJ36" i="1" s="1"/>
  <c r="CJ43" i="1" s="1"/>
  <c r="CJ44" i="1" s="1"/>
  <c r="CK52" i="1"/>
  <c r="CK58" i="1" s="1"/>
  <c r="CK60" i="1" s="1"/>
  <c r="CK72" i="1" s="1"/>
  <c r="CL49" i="1"/>
  <c r="CL51" i="1"/>
  <c r="CL50" i="1"/>
  <c r="CK17" i="1"/>
  <c r="CM10" i="1"/>
  <c r="CM14" i="1" s="1" a="1"/>
  <c r="CM14" i="1" s="1"/>
  <c r="CK18" i="1" l="1"/>
  <c r="CG43" i="1"/>
  <c r="I36" i="17"/>
  <c r="CI72" i="1"/>
  <c r="CI28" i="1"/>
  <c r="CL21" i="1"/>
  <c r="CL23" i="1"/>
  <c r="CL24" i="1"/>
  <c r="CM15" i="1" a="1"/>
  <c r="CM15" i="1" s="1"/>
  <c r="CM22" i="1" s="1"/>
  <c r="CL52" i="1"/>
  <c r="CL58" i="1" s="1"/>
  <c r="CL60" i="1" s="1"/>
  <c r="CL72" i="1" s="1"/>
  <c r="CK25" i="1"/>
  <c r="CK26" i="1" s="1"/>
  <c r="CL17" i="1"/>
  <c r="CL18" i="1" s="1"/>
  <c r="CM50" i="1"/>
  <c r="CM51" i="1"/>
  <c r="CM49" i="1"/>
  <c r="CN10" i="1"/>
  <c r="CK28" i="1" l="1"/>
  <c r="CK30" i="1" s="1"/>
  <c r="CK33" i="1" s="1"/>
  <c r="CK34" i="1" s="1"/>
  <c r="CK36" i="1" s="1"/>
  <c r="CK43" i="1" s="1"/>
  <c r="CK44" i="1" s="1"/>
  <c r="CG44" i="1"/>
  <c r="I43" i="17"/>
  <c r="CI30" i="1"/>
  <c r="CM21" i="1"/>
  <c r="CM23" i="1"/>
  <c r="CM24" i="1"/>
  <c r="CN14" i="1" a="1"/>
  <c r="CN14" i="1" s="1"/>
  <c r="CM52" i="1"/>
  <c r="CM58" i="1" s="1"/>
  <c r="CM60" i="1" s="1"/>
  <c r="CM72" i="1" s="1"/>
  <c r="CN51" i="1"/>
  <c r="CN50" i="1"/>
  <c r="CN49" i="1"/>
  <c r="CM17" i="1"/>
  <c r="CM18" i="1" s="1"/>
  <c r="CL25" i="1"/>
  <c r="CL26" i="1" s="1"/>
  <c r="CL28" i="1" s="1"/>
  <c r="CL30" i="1" s="1"/>
  <c r="CL33" i="1" s="1"/>
  <c r="CL34" i="1" s="1"/>
  <c r="CL36" i="1" s="1"/>
  <c r="CL43" i="1" s="1"/>
  <c r="CL44" i="1" s="1"/>
  <c r="CO10" i="1"/>
  <c r="CN15" i="1" l="1" a="1"/>
  <c r="CN15" i="1" s="1"/>
  <c r="CN23" i="1" s="1"/>
  <c r="CI33" i="1"/>
  <c r="CO15" i="1" a="1"/>
  <c r="CO15" i="1" s="1"/>
  <c r="CO14" i="1" a="1"/>
  <c r="CO14" i="1" s="1"/>
  <c r="CM25" i="1"/>
  <c r="CN52" i="1"/>
  <c r="CN58" i="1" s="1"/>
  <c r="CN60" i="1" s="1"/>
  <c r="CN72" i="1" s="1"/>
  <c r="CO49" i="1"/>
  <c r="CO50" i="1"/>
  <c r="CO51" i="1"/>
  <c r="CP10" i="1"/>
  <c r="CN24" i="1" l="1"/>
  <c r="CN17" i="1"/>
  <c r="CN18" i="1" s="1"/>
  <c r="CN22" i="1"/>
  <c r="CN21" i="1"/>
  <c r="CM26" i="1"/>
  <c r="CI34" i="1"/>
  <c r="CP15" i="1" a="1"/>
  <c r="CP15" i="1" s="1"/>
  <c r="CP14" i="1" a="1"/>
  <c r="CP14" i="1" s="1"/>
  <c r="CO23" i="1"/>
  <c r="CO24" i="1"/>
  <c r="CO21" i="1"/>
  <c r="CO22" i="1"/>
  <c r="CO17" i="1"/>
  <c r="CO18" i="1" s="1"/>
  <c r="CP49" i="1"/>
  <c r="CP51" i="1"/>
  <c r="CP50" i="1"/>
  <c r="CO52" i="1"/>
  <c r="CO58" i="1" s="1"/>
  <c r="CO60" i="1" s="1"/>
  <c r="CO72" i="1" s="1"/>
  <c r="CQ10" i="1"/>
  <c r="CN25" i="1" l="1"/>
  <c r="CN26" i="1" s="1"/>
  <c r="CN28" i="1" s="1"/>
  <c r="CN30" i="1" s="1"/>
  <c r="CN33" i="1" s="1"/>
  <c r="CN34" i="1" s="1"/>
  <c r="CN36" i="1" s="1"/>
  <c r="CN43" i="1" s="1"/>
  <c r="CN44" i="1" s="1"/>
  <c r="CI36" i="1"/>
  <c r="CM28" i="1"/>
  <c r="CQ15" i="1" a="1"/>
  <c r="CQ15" i="1" s="1"/>
  <c r="CQ14" i="1" a="1"/>
  <c r="CQ14" i="1" s="1"/>
  <c r="CP23" i="1"/>
  <c r="CP24" i="1"/>
  <c r="CP22" i="1"/>
  <c r="CP21" i="1"/>
  <c r="CP17" i="1"/>
  <c r="CP18" i="1" s="1"/>
  <c r="CP52" i="1"/>
  <c r="CP58" i="1" s="1"/>
  <c r="CP60" i="1" s="1"/>
  <c r="CP72" i="1" s="1"/>
  <c r="CQ50" i="1"/>
  <c r="CQ49" i="1"/>
  <c r="CQ51" i="1"/>
  <c r="CO25" i="1"/>
  <c r="CO26" i="1" s="1"/>
  <c r="CO28" i="1" s="1"/>
  <c r="CO30" i="1" s="1"/>
  <c r="CO33" i="1" s="1"/>
  <c r="CO34" i="1" s="1"/>
  <c r="CO36" i="1" s="1"/>
  <c r="CO43" i="1" s="1"/>
  <c r="CO44" i="1" s="1"/>
  <c r="CR10" i="1"/>
  <c r="CM30" i="1" l="1"/>
  <c r="CI43" i="1"/>
  <c r="CR15" i="1" a="1"/>
  <c r="CR15" i="1" s="1"/>
  <c r="CR14" i="1" a="1"/>
  <c r="CR14" i="1" s="1"/>
  <c r="CQ24" i="1"/>
  <c r="CQ22" i="1"/>
  <c r="CQ23" i="1"/>
  <c r="CQ21" i="1"/>
  <c r="CQ52" i="1"/>
  <c r="CQ58" i="1" s="1"/>
  <c r="CQ60" i="1" s="1"/>
  <c r="CQ72" i="1" s="1"/>
  <c r="CR51" i="1"/>
  <c r="CR49" i="1"/>
  <c r="CR50" i="1"/>
  <c r="CQ17" i="1"/>
  <c r="CQ18" i="1" s="1"/>
  <c r="CP25" i="1"/>
  <c r="CP26" i="1" s="1"/>
  <c r="CP28" i="1" s="1"/>
  <c r="CP30" i="1" s="1"/>
  <c r="CP33" i="1" s="1"/>
  <c r="CP34" i="1" s="1"/>
  <c r="CP36" i="1" s="1"/>
  <c r="CP43" i="1" s="1"/>
  <c r="CP44" i="1" s="1"/>
  <c r="CS10" i="1"/>
  <c r="CI44" i="1" l="1"/>
  <c r="CM33" i="1"/>
  <c r="CS15" i="1" a="1"/>
  <c r="CS15" i="1" s="1"/>
  <c r="CS14" i="1" a="1"/>
  <c r="CS14" i="1" s="1"/>
  <c r="CR21" i="1"/>
  <c r="CR23" i="1"/>
  <c r="CR22" i="1"/>
  <c r="CR24" i="1"/>
  <c r="CQ25" i="1"/>
  <c r="CQ26" i="1" s="1"/>
  <c r="CQ28" i="1" s="1"/>
  <c r="CQ30" i="1" s="1"/>
  <c r="CQ33" i="1" s="1"/>
  <c r="CQ34" i="1" s="1"/>
  <c r="CQ36" i="1" s="1"/>
  <c r="CQ43" i="1" s="1"/>
  <c r="CQ44" i="1" s="1"/>
  <c r="CR52" i="1"/>
  <c r="CR58" i="1" s="1"/>
  <c r="CR60" i="1" s="1"/>
  <c r="CR72" i="1" s="1"/>
  <c r="CR17" i="1"/>
  <c r="CR18" i="1" s="1"/>
  <c r="CS49" i="1"/>
  <c r="CS50" i="1"/>
  <c r="CS51" i="1"/>
  <c r="CT10" i="1"/>
  <c r="CM34" i="1" l="1"/>
  <c r="CT15" i="1" a="1"/>
  <c r="CT15" i="1" s="1"/>
  <c r="CT14" i="1" a="1"/>
  <c r="CT14" i="1" s="1"/>
  <c r="CS23" i="1"/>
  <c r="CS21" i="1"/>
  <c r="CS22" i="1"/>
  <c r="CS24" i="1"/>
  <c r="CS52" i="1"/>
  <c r="CS58" i="1" s="1"/>
  <c r="CS60" i="1" s="1"/>
  <c r="CS72" i="1" s="1"/>
  <c r="CT49" i="1"/>
  <c r="CT50" i="1"/>
  <c r="CT51" i="1"/>
  <c r="CR25" i="1"/>
  <c r="CR26" i="1" s="1"/>
  <c r="CR28" i="1" s="1"/>
  <c r="CR30" i="1" s="1"/>
  <c r="CR33" i="1" s="1"/>
  <c r="CR34" i="1" s="1"/>
  <c r="CR36" i="1" s="1"/>
  <c r="CR43" i="1" s="1"/>
  <c r="CR44" i="1" s="1"/>
  <c r="CS17" i="1"/>
  <c r="CS18" i="1" s="1"/>
  <c r="CU10" i="1"/>
  <c r="CM36" i="1" l="1"/>
  <c r="CU15" i="1" a="1"/>
  <c r="CU15" i="1" s="1"/>
  <c r="CU14" i="1" a="1"/>
  <c r="CU14" i="1" s="1"/>
  <c r="CT24" i="1"/>
  <c r="CT21" i="1"/>
  <c r="CT23" i="1"/>
  <c r="CT22" i="1"/>
  <c r="CT17" i="1"/>
  <c r="CT18" i="1" s="1"/>
  <c r="CU50" i="1"/>
  <c r="CU51" i="1"/>
  <c r="CU49" i="1"/>
  <c r="CS25" i="1"/>
  <c r="CS26" i="1" s="1"/>
  <c r="CS28" i="1" s="1"/>
  <c r="CS30" i="1" s="1"/>
  <c r="CS33" i="1" s="1"/>
  <c r="CS34" i="1" s="1"/>
  <c r="CS36" i="1" s="1"/>
  <c r="CS43" i="1" s="1"/>
  <c r="CS44" i="1" s="1"/>
  <c r="CT52" i="1"/>
  <c r="CT58" i="1" s="1"/>
  <c r="CT60" i="1" s="1"/>
  <c r="CT72" i="1" s="1"/>
  <c r="CV10" i="1"/>
  <c r="CM43" i="1" l="1"/>
  <c r="CV15" i="1" a="1"/>
  <c r="CV15" i="1" s="1"/>
  <c r="CV14" i="1" a="1"/>
  <c r="CV14" i="1" s="1"/>
  <c r="CU22" i="1"/>
  <c r="CU24" i="1"/>
  <c r="CU23" i="1"/>
  <c r="CU21" i="1"/>
  <c r="CU52" i="1"/>
  <c r="CU17" i="1"/>
  <c r="CT25" i="1"/>
  <c r="CT26" i="1" s="1"/>
  <c r="CT28" i="1" s="1"/>
  <c r="CT30" i="1" s="1"/>
  <c r="CT33" i="1" s="1"/>
  <c r="CT34" i="1" s="1"/>
  <c r="CV51" i="1"/>
  <c r="CV49" i="1"/>
  <c r="CV50" i="1"/>
  <c r="CW10" i="1"/>
  <c r="CU18" i="1" l="1"/>
  <c r="J33" i="17"/>
  <c r="CT36" i="1"/>
  <c r="J34" i="17"/>
  <c r="CU58" i="1"/>
  <c r="CM44" i="1"/>
  <c r="CW15" i="1" a="1"/>
  <c r="CW15" i="1" s="1"/>
  <c r="CW14" i="1" a="1"/>
  <c r="CW14" i="1" s="1"/>
  <c r="CV22" i="1"/>
  <c r="CV24" i="1"/>
  <c r="CV23" i="1"/>
  <c r="CV21" i="1"/>
  <c r="CV17" i="1"/>
  <c r="CV18" i="1" s="1"/>
  <c r="CV52" i="1"/>
  <c r="CV58" i="1" s="1"/>
  <c r="CV60" i="1" s="1"/>
  <c r="CV72" i="1" s="1"/>
  <c r="CW49" i="1"/>
  <c r="CW51" i="1"/>
  <c r="CW50" i="1"/>
  <c r="CU25" i="1"/>
  <c r="CX10" i="1"/>
  <c r="CU60" i="1" l="1"/>
  <c r="CU26" i="1"/>
  <c r="CT43" i="1"/>
  <c r="J36" i="17"/>
  <c r="CX15" i="1" a="1"/>
  <c r="CX15" i="1" s="1"/>
  <c r="CX14" i="1" a="1"/>
  <c r="CX14" i="1" s="1"/>
  <c r="CW24" i="1"/>
  <c r="CW21" i="1"/>
  <c r="CW23" i="1"/>
  <c r="CW22" i="1"/>
  <c r="CW17" i="1"/>
  <c r="CW18" i="1" s="1"/>
  <c r="CW52" i="1"/>
  <c r="CW58" i="1" s="1"/>
  <c r="CW60" i="1" s="1"/>
  <c r="CW72" i="1" s="1"/>
  <c r="CX49" i="1"/>
  <c r="CX50" i="1"/>
  <c r="CX51" i="1"/>
  <c r="CV25" i="1"/>
  <c r="CV26" i="1" s="1"/>
  <c r="CV28" i="1" s="1"/>
  <c r="CV30" i="1" s="1"/>
  <c r="CV33" i="1" s="1"/>
  <c r="CV34" i="1" s="1"/>
  <c r="CV36" i="1" s="1"/>
  <c r="CV43" i="1" s="1"/>
  <c r="CV44" i="1" s="1"/>
  <c r="CY10" i="1"/>
  <c r="CT44" i="1" l="1"/>
  <c r="J44" i="17" s="1"/>
  <c r="J43" i="17"/>
  <c r="CU72" i="1"/>
  <c r="CU28" i="1"/>
  <c r="CY15" i="1" a="1"/>
  <c r="CY15" i="1" s="1"/>
  <c r="CY14" i="1" a="1"/>
  <c r="CY14" i="1" s="1"/>
  <c r="CX22" i="1"/>
  <c r="CX24" i="1"/>
  <c r="CX23" i="1"/>
  <c r="CX21" i="1"/>
  <c r="CX52" i="1"/>
  <c r="CX58" i="1" s="1"/>
  <c r="CW25" i="1"/>
  <c r="CW26" i="1" s="1"/>
  <c r="CW28" i="1" s="1"/>
  <c r="CW30" i="1" s="1"/>
  <c r="CW33" i="1" s="1"/>
  <c r="CW34" i="1" s="1"/>
  <c r="CW36" i="1" s="1"/>
  <c r="CW43" i="1" s="1"/>
  <c r="CW44" i="1" s="1"/>
  <c r="CX17" i="1"/>
  <c r="CX18" i="1" s="1"/>
  <c r="CY50" i="1"/>
  <c r="CY49" i="1"/>
  <c r="CY51" i="1"/>
  <c r="CZ10" i="1"/>
  <c r="CU30" i="1" l="1"/>
  <c r="CX60" i="1"/>
  <c r="CZ15" i="1" a="1"/>
  <c r="CZ15" i="1" s="1"/>
  <c r="CZ14" i="1" a="1"/>
  <c r="CZ14" i="1" s="1"/>
  <c r="CY21" i="1"/>
  <c r="CY24" i="1"/>
  <c r="CY22" i="1"/>
  <c r="CY23" i="1"/>
  <c r="CY17" i="1"/>
  <c r="CZ51" i="1"/>
  <c r="CZ49" i="1"/>
  <c r="CZ50" i="1"/>
  <c r="CX25" i="1"/>
  <c r="CX26" i="1" s="1"/>
  <c r="CX28" i="1" s="1"/>
  <c r="CX30" i="1" s="1"/>
  <c r="CX33" i="1" s="1"/>
  <c r="CX34" i="1" s="1"/>
  <c r="CX36" i="1" s="1"/>
  <c r="CX43" i="1" s="1"/>
  <c r="CX44" i="1" s="1"/>
  <c r="CY52" i="1"/>
  <c r="DA10" i="1"/>
  <c r="CY58" i="1" l="1"/>
  <c r="CU33" i="1"/>
  <c r="CY18" i="1"/>
  <c r="CX72" i="1"/>
  <c r="DA15" i="1" a="1"/>
  <c r="DA15" i="1" s="1"/>
  <c r="DA14" i="1" a="1"/>
  <c r="DA14" i="1" s="1"/>
  <c r="CZ22" i="1"/>
  <c r="CZ23" i="1"/>
  <c r="CZ21" i="1"/>
  <c r="CZ24" i="1"/>
  <c r="CZ52" i="1"/>
  <c r="CZ58" i="1" s="1"/>
  <c r="CZ60" i="1" s="1"/>
  <c r="CZ72" i="1" s="1"/>
  <c r="CY25" i="1"/>
  <c r="CY26" i="1" s="1"/>
  <c r="DA49" i="1"/>
  <c r="DA51" i="1"/>
  <c r="DA50" i="1"/>
  <c r="CZ17" i="1"/>
  <c r="CZ18" i="1" s="1"/>
  <c r="DB10" i="1"/>
  <c r="CY28" i="1" l="1"/>
  <c r="CY30" i="1" s="1"/>
  <c r="CU34" i="1"/>
  <c r="CY60" i="1"/>
  <c r="DB15" i="1" a="1"/>
  <c r="DB15" i="1" s="1"/>
  <c r="DB14" i="1" a="1"/>
  <c r="DB14" i="1" s="1"/>
  <c r="DA22" i="1"/>
  <c r="DA24" i="1"/>
  <c r="DA23" i="1"/>
  <c r="DA21" i="1"/>
  <c r="CZ25" i="1"/>
  <c r="CZ26" i="1" s="1"/>
  <c r="CZ28" i="1" s="1"/>
  <c r="CZ30" i="1" s="1"/>
  <c r="CZ33" i="1" s="1"/>
  <c r="CZ34" i="1" s="1"/>
  <c r="CZ36" i="1" s="1"/>
  <c r="CZ43" i="1" s="1"/>
  <c r="CZ44" i="1" s="1"/>
  <c r="DA52" i="1"/>
  <c r="DA58" i="1" s="1"/>
  <c r="DA60" i="1" s="1"/>
  <c r="DA72" i="1" s="1"/>
  <c r="DB49" i="1"/>
  <c r="DB51" i="1"/>
  <c r="DB50" i="1"/>
  <c r="DA17" i="1"/>
  <c r="DA18" i="1" s="1"/>
  <c r="DC10" i="1"/>
  <c r="CY33" i="1" l="1"/>
  <c r="CY72" i="1"/>
  <c r="CU36" i="1"/>
  <c r="DC15" i="1" a="1"/>
  <c r="DC15" i="1" s="1"/>
  <c r="DC14" i="1" a="1"/>
  <c r="DC14" i="1" s="1"/>
  <c r="DB24" i="1"/>
  <c r="DB23" i="1"/>
  <c r="DB22" i="1"/>
  <c r="DB21" i="1"/>
  <c r="DC50" i="1"/>
  <c r="DC49" i="1"/>
  <c r="DC51" i="1"/>
  <c r="DB17" i="1"/>
  <c r="DB18" i="1" s="1"/>
  <c r="DB52" i="1"/>
  <c r="DB58" i="1" s="1"/>
  <c r="DB60" i="1" s="1"/>
  <c r="DB72" i="1" s="1"/>
  <c r="DA25" i="1"/>
  <c r="DA26" i="1" s="1"/>
  <c r="DD10" i="1"/>
  <c r="DA28" i="1" l="1"/>
  <c r="CU43" i="1"/>
  <c r="CY34" i="1"/>
  <c r="DD15" i="1" a="1"/>
  <c r="DD15" i="1" s="1"/>
  <c r="DD14" i="1" a="1"/>
  <c r="DD14" i="1" s="1"/>
  <c r="DC21" i="1"/>
  <c r="DC22" i="1"/>
  <c r="DC23" i="1"/>
  <c r="DC24" i="1"/>
  <c r="DD51" i="1"/>
  <c r="DD50" i="1"/>
  <c r="DD49" i="1"/>
  <c r="DC17" i="1"/>
  <c r="DC18" i="1" s="1"/>
  <c r="DC52" i="1"/>
  <c r="DC58" i="1" s="1"/>
  <c r="DB25" i="1"/>
  <c r="DB26" i="1" s="1"/>
  <c r="DB28" i="1" s="1"/>
  <c r="DB30" i="1" s="1"/>
  <c r="DB33" i="1" s="1"/>
  <c r="DB34" i="1" s="1"/>
  <c r="DB36" i="1" s="1"/>
  <c r="DB43" i="1" s="1"/>
  <c r="DB44" i="1" s="1"/>
  <c r="DE10" i="1"/>
  <c r="CU44" i="1" l="1"/>
  <c r="DC60" i="1"/>
  <c r="CY36" i="1"/>
  <c r="DA30" i="1"/>
  <c r="DE15" i="1" a="1"/>
  <c r="DE15" i="1" s="1"/>
  <c r="DE14" i="1" a="1"/>
  <c r="DE14" i="1" s="1"/>
  <c r="DD21" i="1"/>
  <c r="DD23" i="1"/>
  <c r="DD22" i="1"/>
  <c r="DD24" i="1"/>
  <c r="DD17" i="1"/>
  <c r="DD18" i="1" s="1"/>
  <c r="DC25" i="1"/>
  <c r="DC26" i="1" s="1"/>
  <c r="DC28" i="1" s="1"/>
  <c r="DC30" i="1" s="1"/>
  <c r="DC33" i="1" s="1"/>
  <c r="DC34" i="1" s="1"/>
  <c r="DC36" i="1" s="1"/>
  <c r="DC43" i="1" s="1"/>
  <c r="DC44" i="1" s="1"/>
  <c r="DE49" i="1"/>
  <c r="DE50" i="1"/>
  <c r="DE51" i="1"/>
  <c r="DD52" i="1"/>
  <c r="DD58" i="1" s="1"/>
  <c r="DD60" i="1" s="1"/>
  <c r="DD72" i="1" s="1"/>
  <c r="DF10" i="1"/>
  <c r="DA33" i="1" l="1"/>
  <c r="DC72" i="1"/>
  <c r="CY43" i="1"/>
  <c r="DF15" i="1" a="1"/>
  <c r="DF15" i="1" s="1"/>
  <c r="DF14" i="1" a="1"/>
  <c r="DF14" i="1" s="1"/>
  <c r="DE21" i="1"/>
  <c r="DE24" i="1"/>
  <c r="DE22" i="1"/>
  <c r="DE23" i="1"/>
  <c r="DF49" i="1"/>
  <c r="DF51" i="1"/>
  <c r="DF50" i="1"/>
  <c r="DE17" i="1"/>
  <c r="DE18" i="1" s="1"/>
  <c r="DE52" i="1"/>
  <c r="DE58" i="1" s="1"/>
  <c r="DE60" i="1" s="1"/>
  <c r="DE72" i="1" s="1"/>
  <c r="DD25" i="1"/>
  <c r="DD26" i="1" s="1"/>
  <c r="DD28" i="1" s="1"/>
  <c r="DD30" i="1" s="1"/>
  <c r="DD33" i="1" s="1"/>
  <c r="DD34" i="1" s="1"/>
  <c r="DD36" i="1" s="1"/>
  <c r="DD43" i="1" s="1"/>
  <c r="DD44" i="1" s="1"/>
  <c r="DG10" i="1"/>
  <c r="CY44" i="1" l="1"/>
  <c r="DA34" i="1"/>
  <c r="DG15" i="1" a="1"/>
  <c r="DG15" i="1" s="1"/>
  <c r="DG14" i="1" a="1"/>
  <c r="DG14" i="1" s="1"/>
  <c r="DF23" i="1"/>
  <c r="DF24" i="1"/>
  <c r="DF21" i="1"/>
  <c r="DF22" i="1"/>
  <c r="DE25" i="1"/>
  <c r="DE26" i="1" s="1"/>
  <c r="DE28" i="1" s="1"/>
  <c r="DE30" i="1" s="1"/>
  <c r="DE33" i="1" s="1"/>
  <c r="DE34" i="1" s="1"/>
  <c r="DE36" i="1" s="1"/>
  <c r="DE43" i="1" s="1"/>
  <c r="DE44" i="1" s="1"/>
  <c r="DF17" i="1"/>
  <c r="DF18" i="1" s="1"/>
  <c r="DG50" i="1"/>
  <c r="DG49" i="1"/>
  <c r="DG51" i="1"/>
  <c r="DF52" i="1"/>
  <c r="DF58" i="1" s="1"/>
  <c r="DF60" i="1" s="1"/>
  <c r="DH10" i="1"/>
  <c r="DA36" i="1" l="1"/>
  <c r="DF72" i="1"/>
  <c r="K60" i="17"/>
  <c r="DH15" i="1" a="1"/>
  <c r="DH15" i="1" s="1"/>
  <c r="DH14" i="1" a="1"/>
  <c r="DH14" i="1" s="1"/>
  <c r="DG23" i="1"/>
  <c r="DG24" i="1"/>
  <c r="DG21" i="1"/>
  <c r="DG22" i="1"/>
  <c r="DG17" i="1"/>
  <c r="DG52" i="1"/>
  <c r="DF25" i="1"/>
  <c r="DF26" i="1" s="1"/>
  <c r="DF28" i="1" s="1"/>
  <c r="DF30" i="1" s="1"/>
  <c r="DF33" i="1" s="1"/>
  <c r="DF34" i="1" s="1"/>
  <c r="DF36" i="1" s="1"/>
  <c r="DF43" i="1" s="1"/>
  <c r="DF44" i="1" s="1"/>
  <c r="DH51" i="1"/>
  <c r="DH49" i="1"/>
  <c r="DH50" i="1"/>
  <c r="DI10" i="1"/>
  <c r="K33" i="17" l="1"/>
  <c r="DG18" i="1"/>
  <c r="DA43" i="1"/>
  <c r="K36" i="17"/>
  <c r="DG58" i="1"/>
  <c r="K34" i="17"/>
  <c r="DI15" i="1" a="1"/>
  <c r="DI15" i="1" s="1"/>
  <c r="DI14" i="1" a="1"/>
  <c r="DI14" i="1" s="1"/>
  <c r="DH21" i="1"/>
  <c r="DH23" i="1"/>
  <c r="DH22" i="1"/>
  <c r="DH24" i="1"/>
  <c r="DG25" i="1"/>
  <c r="DH17" i="1"/>
  <c r="DH18" i="1" s="1"/>
  <c r="DH52" i="1"/>
  <c r="DH58" i="1" s="1"/>
  <c r="DH60" i="1" s="1"/>
  <c r="DH72" i="1" s="1"/>
  <c r="DI49" i="1"/>
  <c r="DI50" i="1"/>
  <c r="DI51" i="1"/>
  <c r="DJ10" i="1"/>
  <c r="DA44" i="1" l="1"/>
  <c r="K44" i="17" s="1"/>
  <c r="K43" i="17"/>
  <c r="DG60" i="1"/>
  <c r="DG26" i="1"/>
  <c r="DJ15" i="1" a="1"/>
  <c r="DJ15" i="1" s="1"/>
  <c r="DJ14" i="1" a="1"/>
  <c r="DJ14" i="1" s="1"/>
  <c r="DI23" i="1"/>
  <c r="DI22" i="1"/>
  <c r="DI21" i="1"/>
  <c r="DI24" i="1"/>
  <c r="DI52" i="1"/>
  <c r="DI17" i="1"/>
  <c r="DI18" i="1" s="1"/>
  <c r="DJ49" i="1"/>
  <c r="DJ50" i="1"/>
  <c r="DJ51" i="1"/>
  <c r="DH25" i="1"/>
  <c r="DH26" i="1" s="1"/>
  <c r="DH28" i="1" s="1"/>
  <c r="DH30" i="1" s="1"/>
  <c r="DH33" i="1" s="1"/>
  <c r="DH34" i="1" s="1"/>
  <c r="DH36" i="1" s="1"/>
  <c r="DH43" i="1" s="1"/>
  <c r="DH44" i="1" s="1"/>
  <c r="DK10" i="1"/>
  <c r="DG72" i="1" l="1"/>
  <c r="DG28" i="1"/>
  <c r="DI58" i="1"/>
  <c r="DK15" i="1" a="1"/>
  <c r="DK15" i="1" s="1"/>
  <c r="DK14" i="1" a="1"/>
  <c r="DK14" i="1" s="1"/>
  <c r="DJ24" i="1"/>
  <c r="DJ23" i="1"/>
  <c r="DJ21" i="1"/>
  <c r="DJ22" i="1"/>
  <c r="DJ17" i="1"/>
  <c r="DJ18" i="1" s="1"/>
  <c r="DJ52" i="1"/>
  <c r="DJ58" i="1" s="1"/>
  <c r="DJ60" i="1" s="1"/>
  <c r="DJ72" i="1" s="1"/>
  <c r="DK50" i="1"/>
  <c r="DK51" i="1"/>
  <c r="DK49" i="1"/>
  <c r="DI25" i="1"/>
  <c r="DL10" i="1"/>
  <c r="DI26" i="1" l="1"/>
  <c r="DI60" i="1"/>
  <c r="DG30" i="1"/>
  <c r="DL15" i="1" a="1"/>
  <c r="DL15" i="1" s="1"/>
  <c r="DL14" i="1" a="1"/>
  <c r="DL14" i="1" s="1"/>
  <c r="DK22" i="1"/>
  <c r="DK24" i="1"/>
  <c r="DK21" i="1"/>
  <c r="DK23" i="1"/>
  <c r="DK52" i="1"/>
  <c r="DK58" i="1" s="1"/>
  <c r="DK60" i="1" s="1"/>
  <c r="DK72" i="1" s="1"/>
  <c r="DK17" i="1"/>
  <c r="DJ25" i="1"/>
  <c r="DJ26" i="1" s="1"/>
  <c r="DJ28" i="1" s="1"/>
  <c r="DJ30" i="1" s="1"/>
  <c r="DJ33" i="1" s="1"/>
  <c r="DJ34" i="1" s="1"/>
  <c r="DJ36" i="1" s="1"/>
  <c r="DJ43" i="1" s="1"/>
  <c r="DJ44" i="1" s="1"/>
  <c r="DL51" i="1"/>
  <c r="DL50" i="1"/>
  <c r="DL49" i="1"/>
  <c r="DM10" i="1"/>
  <c r="DG33" i="1" l="1"/>
  <c r="DI28" i="1"/>
  <c r="DK18" i="1"/>
  <c r="DI72" i="1"/>
  <c r="DM15" i="1" a="1"/>
  <c r="DM15" i="1" s="1"/>
  <c r="DM14" i="1" a="1"/>
  <c r="DM14" i="1" s="1"/>
  <c r="DL22" i="1"/>
  <c r="DL24" i="1"/>
  <c r="DL21" i="1"/>
  <c r="DL23" i="1"/>
  <c r="DL52" i="1"/>
  <c r="DK25" i="1"/>
  <c r="DK26" i="1" s="1"/>
  <c r="DL17" i="1"/>
  <c r="DL18" i="1" s="1"/>
  <c r="DM49" i="1"/>
  <c r="DM51" i="1"/>
  <c r="DM50" i="1"/>
  <c r="DN10" i="1"/>
  <c r="DK28" i="1" l="1"/>
  <c r="DK30" i="1" s="1"/>
  <c r="DK33" i="1" s="1"/>
  <c r="DK34" i="1" s="1"/>
  <c r="DK36" i="1" s="1"/>
  <c r="DK43" i="1" s="1"/>
  <c r="DK44" i="1" s="1"/>
  <c r="DL58" i="1"/>
  <c r="DG34" i="1"/>
  <c r="DI30" i="1"/>
  <c r="DN15" i="1" a="1"/>
  <c r="DN15" i="1" s="1"/>
  <c r="DN14" i="1" a="1"/>
  <c r="DN14" i="1" s="1"/>
  <c r="DM24" i="1"/>
  <c r="DM22" i="1"/>
  <c r="DM23" i="1"/>
  <c r="DM21" i="1"/>
  <c r="DL25" i="1"/>
  <c r="DM17" i="1"/>
  <c r="DM52" i="1"/>
  <c r="DM58" i="1" s="1"/>
  <c r="DM60" i="1" s="1"/>
  <c r="DM72" i="1" s="1"/>
  <c r="DN49" i="1"/>
  <c r="DN50" i="1"/>
  <c r="DN51" i="1"/>
  <c r="DO10" i="1"/>
  <c r="DM18" i="1" l="1"/>
  <c r="DL26" i="1"/>
  <c r="DG36" i="1"/>
  <c r="DI33" i="1"/>
  <c r="DL60" i="1"/>
  <c r="DN22" i="1"/>
  <c r="DN23" i="1"/>
  <c r="DN21" i="1"/>
  <c r="DN24" i="1"/>
  <c r="DO15" i="1" a="1"/>
  <c r="DO15" i="1" s="1"/>
  <c r="DO14" i="1" a="1"/>
  <c r="DO14" i="1" s="1"/>
  <c r="DM25" i="1"/>
  <c r="DM26" i="1" s="1"/>
  <c r="DN52" i="1"/>
  <c r="DN58" i="1" s="1"/>
  <c r="DN60" i="1" s="1"/>
  <c r="DN72" i="1" s="1"/>
  <c r="DN17" i="1"/>
  <c r="DN18" i="1" s="1"/>
  <c r="DO50" i="1"/>
  <c r="DO49" i="1"/>
  <c r="DO51" i="1"/>
  <c r="DP10" i="1"/>
  <c r="DM28" i="1" l="1"/>
  <c r="DM30" i="1" s="1"/>
  <c r="DM33" i="1" s="1"/>
  <c r="DM34" i="1" s="1"/>
  <c r="DM36" i="1" s="1"/>
  <c r="DM43" i="1" s="1"/>
  <c r="DM44" i="1" s="1"/>
  <c r="DI34" i="1"/>
  <c r="DL28" i="1"/>
  <c r="DL72" i="1"/>
  <c r="DG43" i="1"/>
  <c r="DP15" i="1" a="1"/>
  <c r="DP15" i="1" s="1"/>
  <c r="DP14" i="1" a="1"/>
  <c r="DP14" i="1" s="1"/>
  <c r="DO21" i="1"/>
  <c r="DO23" i="1"/>
  <c r="DO24" i="1"/>
  <c r="DO22" i="1"/>
  <c r="DO52" i="1"/>
  <c r="DO58" i="1" s="1"/>
  <c r="DO60" i="1" s="1"/>
  <c r="DO72" i="1" s="1"/>
  <c r="DN25" i="1"/>
  <c r="DO17" i="1"/>
  <c r="DO18" i="1" s="1"/>
  <c r="DP51" i="1"/>
  <c r="DP49" i="1"/>
  <c r="DP50" i="1"/>
  <c r="DQ10" i="1"/>
  <c r="DN26" i="1" l="1"/>
  <c r="DG44" i="1"/>
  <c r="DL30" i="1"/>
  <c r="DI36" i="1"/>
  <c r="DQ15" i="1" a="1"/>
  <c r="DQ15" i="1" s="1"/>
  <c r="DQ14" i="1" a="1"/>
  <c r="DQ14" i="1" s="1"/>
  <c r="DP22" i="1"/>
  <c r="DP21" i="1"/>
  <c r="DP24" i="1"/>
  <c r="DP23" i="1"/>
  <c r="DQ49" i="1"/>
  <c r="DQ51" i="1"/>
  <c r="DQ50" i="1"/>
  <c r="DP52" i="1"/>
  <c r="DP58" i="1" s="1"/>
  <c r="DP60" i="1" s="1"/>
  <c r="DP72" i="1" s="1"/>
  <c r="DP17" i="1"/>
  <c r="DP18" i="1" s="1"/>
  <c r="DO25" i="1"/>
  <c r="DO26" i="1" s="1"/>
  <c r="DO28" i="1" s="1"/>
  <c r="DO30" i="1" s="1"/>
  <c r="DO33" i="1" s="1"/>
  <c r="DO34" i="1" s="1"/>
  <c r="DO36" i="1" s="1"/>
  <c r="DO43" i="1" s="1"/>
  <c r="DO44" i="1" s="1"/>
  <c r="DR10" i="1"/>
  <c r="DI43" i="1" l="1"/>
  <c r="DL33" i="1"/>
  <c r="DN28" i="1"/>
  <c r="DR15" i="1" a="1"/>
  <c r="DR15" i="1" s="1"/>
  <c r="DR14" i="1" a="1"/>
  <c r="DR14" i="1" s="1"/>
  <c r="DQ22" i="1"/>
  <c r="DQ24" i="1"/>
  <c r="DQ23" i="1"/>
  <c r="DQ21" i="1"/>
  <c r="DQ17" i="1"/>
  <c r="DQ18" i="1" s="1"/>
  <c r="DR49" i="1"/>
  <c r="DR51" i="1"/>
  <c r="DR50" i="1"/>
  <c r="DQ52" i="1"/>
  <c r="DQ58" i="1" s="1"/>
  <c r="DQ60" i="1" s="1"/>
  <c r="DQ72" i="1" s="1"/>
  <c r="DP25" i="1"/>
  <c r="DP26" i="1" s="1"/>
  <c r="DP28" i="1" s="1"/>
  <c r="DP30" i="1" s="1"/>
  <c r="DP33" i="1" s="1"/>
  <c r="DP34" i="1" s="1"/>
  <c r="DP36" i="1" s="1"/>
  <c r="DP43" i="1" s="1"/>
  <c r="DP44" i="1" s="1"/>
  <c r="DS10" i="1"/>
  <c r="DN30" i="1" l="1"/>
  <c r="DI44" i="1"/>
  <c r="DL34" i="1"/>
  <c r="DS15" i="1" a="1"/>
  <c r="DS15" i="1" s="1"/>
  <c r="DS14" i="1" a="1"/>
  <c r="DS14" i="1" s="1"/>
  <c r="DR21" i="1"/>
  <c r="DR22" i="1"/>
  <c r="DR24" i="1"/>
  <c r="DR23" i="1"/>
  <c r="DR17" i="1"/>
  <c r="DR18" i="1" s="1"/>
  <c r="DQ25" i="1"/>
  <c r="DQ26" i="1" s="1"/>
  <c r="DQ28" i="1" s="1"/>
  <c r="DQ30" i="1" s="1"/>
  <c r="DQ33" i="1" s="1"/>
  <c r="DQ34" i="1" s="1"/>
  <c r="DQ36" i="1" s="1"/>
  <c r="DQ43" i="1" s="1"/>
  <c r="DQ44" i="1" s="1"/>
  <c r="DS50" i="1"/>
  <c r="DS51" i="1"/>
  <c r="DS49" i="1"/>
  <c r="DR52" i="1"/>
  <c r="DR58" i="1" s="1"/>
  <c r="DR60" i="1" s="1"/>
  <c r="DR72" i="1" s="1"/>
  <c r="DT10" i="1"/>
  <c r="C72" i="17" l="1"/>
  <c r="D72" i="17"/>
  <c r="E72" i="17"/>
  <c r="F72" i="17"/>
  <c r="G72" i="17"/>
  <c r="H72" i="17"/>
  <c r="I72" i="17"/>
  <c r="J72" i="17"/>
  <c r="K72" i="17"/>
  <c r="L72" i="17"/>
  <c r="DL36" i="1"/>
  <c r="DN33" i="1"/>
  <c r="DT15" i="1" a="1"/>
  <c r="DT15" i="1" s="1"/>
  <c r="DT14" i="1" a="1"/>
  <c r="DT14" i="1" s="1"/>
  <c r="DS24" i="1"/>
  <c r="DS23" i="1"/>
  <c r="DS22" i="1"/>
  <c r="DS21" i="1"/>
  <c r="B75" i="1"/>
  <c r="DR25" i="1"/>
  <c r="DR26" i="1" s="1"/>
  <c r="DR28" i="1" s="1"/>
  <c r="DR30" i="1" s="1"/>
  <c r="DR33" i="1" s="1"/>
  <c r="DR34" i="1" s="1"/>
  <c r="DR36" i="1" s="1"/>
  <c r="DR43" i="1" s="1"/>
  <c r="DR44" i="1" s="1"/>
  <c r="DT51" i="1"/>
  <c r="DT50" i="1"/>
  <c r="DT49" i="1"/>
  <c r="DS17" i="1"/>
  <c r="DS52" i="1"/>
  <c r="DU10" i="1"/>
  <c r="B74" i="17" l="1"/>
  <c r="B75" i="17"/>
  <c r="DS58" i="1"/>
  <c r="DL43" i="1"/>
  <c r="DS18" i="1"/>
  <c r="L30" i="17"/>
  <c r="DN34" i="1"/>
  <c r="L33" i="17"/>
  <c r="DU15" i="1" a="1"/>
  <c r="DU15" i="1" s="1"/>
  <c r="DU14" i="1" a="1"/>
  <c r="DU14" i="1" s="1"/>
  <c r="DT21" i="1"/>
  <c r="DT24" i="1"/>
  <c r="DT23" i="1"/>
  <c r="DT22" i="1"/>
  <c r="DS25" i="1"/>
  <c r="DT17" i="1"/>
  <c r="DT18" i="1" s="1"/>
  <c r="DU49" i="1"/>
  <c r="DU50" i="1"/>
  <c r="DU51" i="1"/>
  <c r="DT52" i="1"/>
  <c r="DT58" i="1" s="1"/>
  <c r="DT60" i="1" s="1"/>
  <c r="DV10" i="1"/>
  <c r="DS26" i="1" l="1"/>
  <c r="DL44" i="1"/>
  <c r="DN36" i="1"/>
  <c r="L34" i="17"/>
  <c r="DS60" i="1"/>
  <c r="DV15" i="1" a="1"/>
  <c r="DV15" i="1" s="1"/>
  <c r="DV14" i="1" a="1"/>
  <c r="DV14" i="1" s="1"/>
  <c r="DU23" i="1"/>
  <c r="DU21" i="1"/>
  <c r="DU24" i="1"/>
  <c r="DU22" i="1"/>
  <c r="DU52" i="1"/>
  <c r="DU58" i="1" s="1"/>
  <c r="DU60" i="1" s="1"/>
  <c r="DT25" i="1"/>
  <c r="DT26" i="1" s="1"/>
  <c r="DT28" i="1" s="1"/>
  <c r="DT30" i="1" s="1"/>
  <c r="DT33" i="1" s="1"/>
  <c r="DT34" i="1" s="1"/>
  <c r="DT36" i="1" s="1"/>
  <c r="DT43" i="1" s="1"/>
  <c r="DT44" i="1" s="1"/>
  <c r="DV49" i="1"/>
  <c r="DV51" i="1"/>
  <c r="DV50" i="1"/>
  <c r="DU17" i="1"/>
  <c r="DU18" i="1" s="1"/>
  <c r="DW10" i="1"/>
  <c r="DN43" i="1" l="1"/>
  <c r="L36" i="17"/>
  <c r="DS28" i="1"/>
  <c r="DV21" i="1"/>
  <c r="DV23" i="1"/>
  <c r="DV24" i="1"/>
  <c r="DV22" i="1"/>
  <c r="DW15" i="1" a="1"/>
  <c r="DW15" i="1" s="1"/>
  <c r="DW14" i="1" a="1"/>
  <c r="DW14" i="1" s="1"/>
  <c r="DV52" i="1"/>
  <c r="DV58" i="1" s="1"/>
  <c r="DW50" i="1"/>
  <c r="DW49" i="1"/>
  <c r="DW51" i="1"/>
  <c r="DU25" i="1"/>
  <c r="DU26" i="1" s="1"/>
  <c r="DU28" i="1" s="1"/>
  <c r="DU30" i="1" s="1"/>
  <c r="DU33" i="1" s="1"/>
  <c r="DU34" i="1" s="1"/>
  <c r="DU36" i="1" s="1"/>
  <c r="DU43" i="1" s="1"/>
  <c r="DU44" i="1" s="1"/>
  <c r="DV17" i="1"/>
  <c r="DV18" i="1" s="1"/>
  <c r="DX10" i="1"/>
  <c r="DN44" i="1" l="1"/>
  <c r="L43" i="17"/>
  <c r="DV60" i="1"/>
  <c r="DS30" i="1"/>
  <c r="DX15" i="1" a="1"/>
  <c r="DX15" i="1" s="1"/>
  <c r="DX14" i="1" a="1"/>
  <c r="DX14" i="1" s="1"/>
  <c r="DW24" i="1"/>
  <c r="DW23" i="1"/>
  <c r="DW22" i="1"/>
  <c r="DW21" i="1"/>
  <c r="DV25" i="1"/>
  <c r="DV26" i="1" s="1"/>
  <c r="DV28" i="1" s="1"/>
  <c r="DV30" i="1" s="1"/>
  <c r="DV33" i="1" s="1"/>
  <c r="DV34" i="1" s="1"/>
  <c r="DV36" i="1" s="1"/>
  <c r="DV43" i="1" s="1"/>
  <c r="DV44" i="1" s="1"/>
  <c r="DW52" i="1"/>
  <c r="DW58" i="1" s="1"/>
  <c r="DW60" i="1" s="1"/>
  <c r="DW17" i="1"/>
  <c r="DW18" i="1" s="1"/>
  <c r="DX51" i="1"/>
  <c r="DX49" i="1"/>
  <c r="DX50" i="1"/>
  <c r="DY10" i="1"/>
  <c r="DS33" i="1" l="1"/>
  <c r="DY15" i="1" a="1"/>
  <c r="DY15" i="1" s="1"/>
  <c r="DY14" i="1" a="1"/>
  <c r="DY14" i="1" s="1"/>
  <c r="DX21" i="1"/>
  <c r="DX24" i="1"/>
  <c r="DX23" i="1"/>
  <c r="DX22" i="1"/>
  <c r="DX52" i="1"/>
  <c r="DY49" i="1"/>
  <c r="DY50" i="1"/>
  <c r="DY51" i="1"/>
  <c r="DX17" i="1"/>
  <c r="DX18" i="1" s="1"/>
  <c r="DW25" i="1"/>
  <c r="DW26" i="1" s="1"/>
  <c r="DW28" i="1" s="1"/>
  <c r="DW30" i="1" s="1"/>
  <c r="DW33" i="1" s="1"/>
  <c r="DW34" i="1" s="1"/>
  <c r="DW36" i="1" s="1"/>
  <c r="DW43" i="1" s="1"/>
  <c r="DW44" i="1" s="1"/>
  <c r="DZ10" i="1"/>
  <c r="DX58" i="1" l="1"/>
  <c r="DS34" i="1"/>
  <c r="DZ15" i="1" a="1"/>
  <c r="DZ15" i="1" s="1"/>
  <c r="DZ14" i="1" a="1"/>
  <c r="DZ14" i="1" s="1"/>
  <c r="DY23" i="1"/>
  <c r="DY22" i="1"/>
  <c r="DY24" i="1"/>
  <c r="DY21" i="1"/>
  <c r="DY52" i="1"/>
  <c r="DY58" i="1" s="1"/>
  <c r="DY60" i="1" s="1"/>
  <c r="DX25" i="1"/>
  <c r="DX26" i="1" s="1"/>
  <c r="DX28" i="1" s="1"/>
  <c r="DY17" i="1"/>
  <c r="DY18" i="1" s="1"/>
  <c r="DZ49" i="1"/>
  <c r="DZ50" i="1"/>
  <c r="DZ51" i="1"/>
  <c r="EA10" i="1"/>
  <c r="DX30" i="1" l="1"/>
  <c r="DS36" i="1"/>
  <c r="DX60" i="1"/>
  <c r="EA15" i="1" a="1"/>
  <c r="EA15" i="1" s="1"/>
  <c r="EA14" i="1" a="1"/>
  <c r="EA14" i="1" s="1"/>
  <c r="DZ24" i="1"/>
  <c r="DZ23" i="1"/>
  <c r="DZ22" i="1"/>
  <c r="DZ21" i="1"/>
  <c r="DZ52" i="1"/>
  <c r="DZ58" i="1" s="1"/>
  <c r="DZ60" i="1" s="1"/>
  <c r="DZ17" i="1"/>
  <c r="DZ18" i="1" s="1"/>
  <c r="DY25" i="1"/>
  <c r="DY26" i="1" s="1"/>
  <c r="DY28" i="1" s="1"/>
  <c r="DY30" i="1" s="1"/>
  <c r="DY33" i="1" s="1"/>
  <c r="DY34" i="1" s="1"/>
  <c r="DY36" i="1" s="1"/>
  <c r="DY43" i="1" s="1"/>
  <c r="DY44" i="1" s="1"/>
  <c r="EA50" i="1"/>
  <c r="EA51" i="1"/>
  <c r="EA49" i="1"/>
  <c r="EB10" i="1"/>
  <c r="DS43" i="1" l="1"/>
  <c r="DX33" i="1"/>
  <c r="EB15" i="1" a="1"/>
  <c r="EB15" i="1" s="1"/>
  <c r="EB14" i="1" a="1"/>
  <c r="EB14" i="1" s="1"/>
  <c r="EA21" i="1"/>
  <c r="EA23" i="1"/>
  <c r="EA22" i="1"/>
  <c r="EA24" i="1"/>
  <c r="DZ25" i="1"/>
  <c r="DZ26" i="1" s="1"/>
  <c r="DZ28" i="1" s="1"/>
  <c r="DZ30" i="1" s="1"/>
  <c r="DZ33" i="1" s="1"/>
  <c r="DZ34" i="1" s="1"/>
  <c r="DZ36" i="1" s="1"/>
  <c r="DZ43" i="1" s="1"/>
  <c r="DZ44" i="1" s="1"/>
  <c r="EA17" i="1"/>
  <c r="EA18" i="1" s="1"/>
  <c r="EB51" i="1"/>
  <c r="EB49" i="1"/>
  <c r="EB50" i="1"/>
  <c r="EA52" i="1"/>
  <c r="EA58" i="1" s="1"/>
  <c r="EA60" i="1" s="1"/>
  <c r="EC10" i="1"/>
  <c r="DX34" i="1" l="1"/>
  <c r="DS44" i="1"/>
  <c r="EC15" i="1" a="1"/>
  <c r="EC15" i="1" s="1"/>
  <c r="EC14" i="1" a="1"/>
  <c r="EC14" i="1" s="1"/>
  <c r="EB22" i="1"/>
  <c r="EB24" i="1"/>
  <c r="EB23" i="1"/>
  <c r="EB21" i="1"/>
  <c r="EB52" i="1"/>
  <c r="EB58" i="1" s="1"/>
  <c r="EB17" i="1"/>
  <c r="EB18" i="1" s="1"/>
  <c r="EC49" i="1"/>
  <c r="EC51" i="1"/>
  <c r="EC50" i="1"/>
  <c r="EA25" i="1"/>
  <c r="EA26" i="1" s="1"/>
  <c r="EA28" i="1" s="1"/>
  <c r="EA30" i="1" s="1"/>
  <c r="EA33" i="1" s="1"/>
  <c r="EA34" i="1" s="1"/>
  <c r="EA36" i="1" s="1"/>
  <c r="EA43" i="1" s="1"/>
  <c r="EA44" i="1" s="1"/>
  <c r="ED10" i="1"/>
  <c r="EB60" i="1" l="1"/>
  <c r="DX36" i="1"/>
  <c r="B74" i="1"/>
  <c r="B39" i="6" s="1"/>
  <c r="ED15" i="1" a="1"/>
  <c r="ED15" i="1" s="1"/>
  <c r="ED14" i="1" a="1"/>
  <c r="ED14" i="1" s="1"/>
  <c r="EC21" i="1"/>
  <c r="EC24" i="1"/>
  <c r="EC22" i="1"/>
  <c r="EC23" i="1"/>
  <c r="EC17" i="1"/>
  <c r="EC18" i="1" s="1"/>
  <c r="EC52" i="1"/>
  <c r="EC58" i="1" s="1"/>
  <c r="EC60" i="1" s="1"/>
  <c r="ED49" i="1"/>
  <c r="ED50" i="1"/>
  <c r="ED51" i="1"/>
  <c r="EB25" i="1"/>
  <c r="EB26" i="1" s="1"/>
  <c r="EB28" i="1" s="1"/>
  <c r="EB30" i="1" s="1"/>
  <c r="EB33" i="1" s="1"/>
  <c r="EB34" i="1" s="1"/>
  <c r="EB36" i="1" s="1"/>
  <c r="EB43" i="1" s="1"/>
  <c r="EB44" i="1" s="1"/>
  <c r="C49" i="17" l="1"/>
  <c r="D49" i="17"/>
  <c r="E49" i="17"/>
  <c r="F49" i="17"/>
  <c r="G49" i="17"/>
  <c r="H49" i="17"/>
  <c r="I49" i="17"/>
  <c r="J49" i="17"/>
  <c r="K49" i="17"/>
  <c r="L49" i="17"/>
  <c r="M49" i="17"/>
  <c r="DX43" i="1"/>
  <c r="C51" i="17"/>
  <c r="D51" i="17"/>
  <c r="E51" i="17"/>
  <c r="F51" i="17"/>
  <c r="G51" i="17"/>
  <c r="H51" i="17"/>
  <c r="I51" i="17"/>
  <c r="J51" i="17"/>
  <c r="K51" i="17"/>
  <c r="L51" i="17"/>
  <c r="M51" i="17"/>
  <c r="C50" i="17"/>
  <c r="D50" i="17"/>
  <c r="E50" i="17"/>
  <c r="F50" i="17"/>
  <c r="G50" i="17"/>
  <c r="H50" i="17"/>
  <c r="I50" i="17"/>
  <c r="J50" i="17"/>
  <c r="K50" i="17"/>
  <c r="L50" i="17"/>
  <c r="M50" i="17"/>
  <c r="C14" i="17"/>
  <c r="D14" i="17"/>
  <c r="E14" i="17"/>
  <c r="F14" i="17"/>
  <c r="G14" i="17"/>
  <c r="H14" i="17"/>
  <c r="I14" i="17"/>
  <c r="J14" i="17"/>
  <c r="K14" i="17"/>
  <c r="L14" i="17"/>
  <c r="M14" i="17"/>
  <c r="C15" i="17"/>
  <c r="D15" i="17"/>
  <c r="E15" i="17"/>
  <c r="F15" i="17"/>
  <c r="G15" i="17"/>
  <c r="H15" i="17"/>
  <c r="I15" i="17"/>
  <c r="J15" i="17"/>
  <c r="K15" i="17"/>
  <c r="L15" i="17"/>
  <c r="M15" i="17"/>
  <c r="ED22" i="1"/>
  <c r="ED23" i="1"/>
  <c r="ED21" i="1"/>
  <c r="ED24" i="1"/>
  <c r="ED52" i="1"/>
  <c r="ED17" i="1"/>
  <c r="EC25" i="1"/>
  <c r="EC26" i="1" s="1"/>
  <c r="EC28" i="1" s="1"/>
  <c r="EC30" i="1" s="1"/>
  <c r="EC33" i="1" s="1"/>
  <c r="EC34" i="1" s="1"/>
  <c r="EC36" i="1" s="1"/>
  <c r="EC43" i="1" s="1"/>
  <c r="EC44" i="1" s="1"/>
  <c r="C21" i="17" l="1"/>
  <c r="D21" i="17"/>
  <c r="E21" i="17"/>
  <c r="F21" i="17"/>
  <c r="G21" i="17"/>
  <c r="H21" i="17"/>
  <c r="I21" i="17"/>
  <c r="J21" i="17"/>
  <c r="K21" i="17"/>
  <c r="L21" i="17"/>
  <c r="M21" i="17"/>
  <c r="ED18" i="1"/>
  <c r="C17" i="17"/>
  <c r="D17" i="17"/>
  <c r="E17" i="17"/>
  <c r="F17" i="17"/>
  <c r="G17" i="17"/>
  <c r="H17" i="17"/>
  <c r="I17" i="17"/>
  <c r="J17" i="17"/>
  <c r="K17" i="17"/>
  <c r="L17" i="17"/>
  <c r="M17" i="17"/>
  <c r="C23" i="17"/>
  <c r="D23" i="17"/>
  <c r="E23" i="17"/>
  <c r="F23" i="17"/>
  <c r="G23" i="17"/>
  <c r="H23" i="17"/>
  <c r="I23" i="17"/>
  <c r="J23" i="17"/>
  <c r="K23" i="17"/>
  <c r="L23" i="17"/>
  <c r="M23" i="17"/>
  <c r="C24" i="17"/>
  <c r="D24" i="17"/>
  <c r="E24" i="17"/>
  <c r="F24" i="17"/>
  <c r="G24" i="17"/>
  <c r="H24" i="17"/>
  <c r="I24" i="17"/>
  <c r="J24" i="17"/>
  <c r="K24" i="17"/>
  <c r="L24" i="17"/>
  <c r="M24" i="17"/>
  <c r="ED58" i="1"/>
  <c r="C52" i="17"/>
  <c r="D52" i="17"/>
  <c r="E52" i="17"/>
  <c r="F52" i="17"/>
  <c r="G52" i="17"/>
  <c r="H52" i="17"/>
  <c r="I52" i="17"/>
  <c r="J52" i="17"/>
  <c r="K52" i="17"/>
  <c r="L52" i="17"/>
  <c r="M52" i="17"/>
  <c r="C22" i="17"/>
  <c r="D22" i="17"/>
  <c r="E22" i="17"/>
  <c r="F22" i="17"/>
  <c r="G22" i="17"/>
  <c r="H22" i="17"/>
  <c r="I22" i="17"/>
  <c r="J22" i="17"/>
  <c r="K22" i="17"/>
  <c r="L22" i="17"/>
  <c r="M22" i="17"/>
  <c r="C13" i="17"/>
  <c r="D13" i="17"/>
  <c r="E13" i="17"/>
  <c r="F13" i="17"/>
  <c r="G13" i="17"/>
  <c r="H13" i="17"/>
  <c r="I13" i="17"/>
  <c r="J13" i="17"/>
  <c r="K13" i="17"/>
  <c r="L13" i="17"/>
  <c r="M13" i="17"/>
  <c r="DX44" i="1"/>
  <c r="ED25" i="1"/>
  <c r="C18" i="17" l="1"/>
  <c r="D18" i="17"/>
  <c r="E18" i="17"/>
  <c r="F18" i="17"/>
  <c r="G18" i="17"/>
  <c r="H18" i="17"/>
  <c r="I18" i="17"/>
  <c r="J18" i="17"/>
  <c r="K18" i="17"/>
  <c r="L18" i="17"/>
  <c r="M18" i="17"/>
  <c r="ED26" i="1"/>
  <c r="C25" i="17"/>
  <c r="D25" i="17"/>
  <c r="E25" i="17"/>
  <c r="F25" i="17"/>
  <c r="G25" i="17"/>
  <c r="H25" i="17"/>
  <c r="I25" i="17"/>
  <c r="J25" i="17"/>
  <c r="K25" i="17"/>
  <c r="L25" i="17"/>
  <c r="M25" i="17"/>
  <c r="ED60" i="1"/>
  <c r="C58" i="17"/>
  <c r="D58" i="17"/>
  <c r="E58" i="17"/>
  <c r="F58" i="17"/>
  <c r="G58" i="17"/>
  <c r="H58" i="17"/>
  <c r="I58" i="17"/>
  <c r="J58" i="17"/>
  <c r="K58" i="17"/>
  <c r="L58" i="17"/>
  <c r="M58" i="17"/>
  <c r="ED28" i="1" l="1"/>
  <c r="C26" i="17"/>
  <c r="D26" i="17"/>
  <c r="E26" i="17"/>
  <c r="F26" i="17"/>
  <c r="G26" i="17"/>
  <c r="H26" i="17"/>
  <c r="I26" i="17"/>
  <c r="J26" i="17"/>
  <c r="K26" i="17"/>
  <c r="L26" i="17"/>
  <c r="M26" i="17"/>
  <c r="C60" i="17"/>
  <c r="D60" i="17"/>
  <c r="E60" i="17"/>
  <c r="F60" i="17"/>
  <c r="G60" i="17"/>
  <c r="H60" i="17"/>
  <c r="I60" i="17"/>
  <c r="J60" i="17"/>
  <c r="L60" i="17"/>
  <c r="M60" i="17"/>
  <c r="ED30" i="1" l="1"/>
  <c r="C28" i="17"/>
  <c r="D28" i="17"/>
  <c r="E28" i="17"/>
  <c r="F28" i="17"/>
  <c r="G28" i="17"/>
  <c r="H28" i="17"/>
  <c r="I28" i="17"/>
  <c r="J28" i="17"/>
  <c r="K28" i="17"/>
  <c r="L28" i="17"/>
  <c r="M28" i="17"/>
  <c r="ED33" i="1" l="1"/>
  <c r="D30" i="17"/>
  <c r="G30" i="17"/>
  <c r="I30" i="17"/>
  <c r="J30" i="17"/>
  <c r="K30" i="17"/>
  <c r="M30" i="17"/>
  <c r="ED34" i="1" l="1"/>
  <c r="D33" i="17"/>
  <c r="G33" i="17"/>
  <c r="M33" i="17"/>
  <c r="ED36" i="1" l="1"/>
  <c r="M34" i="17"/>
  <c r="ED43" i="1" l="1"/>
  <c r="M36" i="17"/>
  <c r="ED44" i="1" l="1"/>
  <c r="M43" i="17"/>
  <c r="E44" i="17" l="1"/>
  <c r="F44" i="17"/>
  <c r="H44" i="17"/>
  <c r="I44" i="17"/>
  <c r="L44" i="17"/>
  <c r="M4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Tran</author>
  </authors>
  <commentList>
    <comment ref="O16" authorId="0" shapeId="0" xr:uid="{24BE17A1-0DAD-46B1-9537-042C86F03599}">
      <text>
        <r>
          <rPr>
            <b/>
            <sz val="9"/>
            <color indexed="81"/>
            <rFont val="Tahoma"/>
            <family val="2"/>
          </rPr>
          <t>Kyle Tran:</t>
        </r>
        <r>
          <rPr>
            <sz val="9"/>
            <color indexed="81"/>
            <rFont val="Tahoma"/>
            <family val="2"/>
          </rPr>
          <t xml:space="preserve">
Annual basically </t>
        </r>
      </text>
    </comment>
    <comment ref="B33" authorId="0" shapeId="0" xr:uid="{F60107C3-2EA7-4035-8CA2-F631D64BD2A9}">
      <text>
        <r>
          <rPr>
            <b/>
            <sz val="9"/>
            <color indexed="81"/>
            <rFont val="Tahoma"/>
            <family val="2"/>
          </rPr>
          <t>Kyle Tran:</t>
        </r>
        <r>
          <rPr>
            <sz val="9"/>
            <color indexed="81"/>
            <rFont val="Tahoma"/>
            <family val="2"/>
          </rPr>
          <t xml:space="preserve">
Paid 2 months before and at start lease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rent_comps_torrance_redlands.xlsx!Appended" type="102" refreshedVersion="8" minRefreshableVersion="5">
    <extLst>
      <ext xmlns:x15="http://schemas.microsoft.com/office/spreadsheetml/2010/11/main" uri="{DE250136-89BD-433C-8126-D09CA5730AF9}">
        <x15:connection id="Appended-488c0056-52c8-4039-a4cc-3ebbf9893c76" autoDelete="1">
          <x15:rangePr sourceName="_xlcn.WorksheetConnection_rent_comps_torrance_redlands.xlsxAppended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<sst xmlns="http://schemas.openxmlformats.org/spreadsheetml/2006/main" count="3424" uniqueCount="682">
  <si>
    <t>year 1-5</t>
  </si>
  <si>
    <t>year 6-10</t>
  </si>
  <si>
    <t>Market Rent Inflation</t>
  </si>
  <si>
    <t>Expense Inflation</t>
  </si>
  <si>
    <t>Cash Flow Projections</t>
  </si>
  <si>
    <t>Redlands Industrial Property</t>
  </si>
  <si>
    <t>Actuals</t>
  </si>
  <si>
    <t>Forecast</t>
  </si>
  <si>
    <t>Months</t>
  </si>
  <si>
    <t>Rental Revenue</t>
  </si>
  <si>
    <t xml:space="preserve"> </t>
  </si>
  <si>
    <t>Base Rent / SF</t>
  </si>
  <si>
    <t>Potential Base Rent</t>
  </si>
  <si>
    <t>Vacancy &amp; Turnover</t>
  </si>
  <si>
    <t>Free Rent / Concessions</t>
  </si>
  <si>
    <t>Total Base Rent</t>
  </si>
  <si>
    <t>Total Rental Revenue</t>
  </si>
  <si>
    <t/>
  </si>
  <si>
    <t>Other Tenant Revenue</t>
  </si>
  <si>
    <t>Utilities</t>
  </si>
  <si>
    <t>Repairs &amp; Maintenance</t>
  </si>
  <si>
    <t>Insurance</t>
  </si>
  <si>
    <t>Property Taxes</t>
  </si>
  <si>
    <t>Total Expense Recoveries</t>
  </si>
  <si>
    <t>Total Other Tenant Revenue</t>
  </si>
  <si>
    <t>Total Tenant Revenue</t>
  </si>
  <si>
    <t>Potential Gross Revenue</t>
  </si>
  <si>
    <t>Vacancy &amp; Loss to Lease</t>
  </si>
  <si>
    <t>Vacancy &amp; L2L</t>
  </si>
  <si>
    <t>Total Vacancy &amp; Credit Loss</t>
  </si>
  <si>
    <t>Effective Gross Revenue</t>
  </si>
  <si>
    <t>Operating Expenses</t>
  </si>
  <si>
    <t>Management Fee</t>
  </si>
  <si>
    <t>Total Operating Expenses</t>
  </si>
  <si>
    <t>Net Operating Income</t>
  </si>
  <si>
    <t>Leasing Costs</t>
  </si>
  <si>
    <t>Tenant Improvements</t>
  </si>
  <si>
    <t>Leasing Commissions</t>
  </si>
  <si>
    <t>Security Deposits</t>
  </si>
  <si>
    <t>Total Leasing Costs</t>
  </si>
  <si>
    <t>Capital Expenditures</t>
  </si>
  <si>
    <t>Replacement Reserve</t>
  </si>
  <si>
    <t>Total Capital Expenditures</t>
  </si>
  <si>
    <t>Total Leasing &amp; Capital Costs</t>
  </si>
  <si>
    <t>Cash Flow Before Debt Service</t>
  </si>
  <si>
    <t>Acquisition</t>
  </si>
  <si>
    <t>Purchase Price</t>
  </si>
  <si>
    <t>Cost of Sales</t>
  </si>
  <si>
    <t>Total Acquisition Cost</t>
  </si>
  <si>
    <t>Disposition</t>
  </si>
  <si>
    <t>Sale Price</t>
  </si>
  <si>
    <t>Total Sale Proceeds</t>
  </si>
  <si>
    <t>Asset Cash Flow</t>
  </si>
  <si>
    <t>Asset IRR</t>
  </si>
  <si>
    <t>Asset MOIC</t>
  </si>
  <si>
    <t>Property</t>
  </si>
  <si>
    <t>Expenses - Operating</t>
  </si>
  <si>
    <t>Month 1</t>
  </si>
  <si>
    <t>Fixed</t>
  </si>
  <si>
    <t>Recoverable</t>
  </si>
  <si>
    <t>Inflation (%)</t>
  </si>
  <si>
    <t>Address</t>
  </si>
  <si>
    <t>2255 W Lugonia. Ave</t>
  </si>
  <si>
    <t>City</t>
  </si>
  <si>
    <t>Redlands</t>
  </si>
  <si>
    <t>Year Built</t>
  </si>
  <si>
    <t>State</t>
  </si>
  <si>
    <t>California</t>
  </si>
  <si>
    <t>Size (RSF)</t>
  </si>
  <si>
    <t>Previous RE Tax</t>
  </si>
  <si>
    <t>3.0%</t>
  </si>
  <si>
    <t>Closing Costs</t>
  </si>
  <si>
    <t>Expenses - Capital</t>
  </si>
  <si>
    <t>Entry Cap</t>
  </si>
  <si>
    <t>Vacancy</t>
  </si>
  <si>
    <t>Exit Cap</t>
  </si>
  <si>
    <t>Upon Expiration</t>
  </si>
  <si>
    <t>Vacate</t>
  </si>
  <si>
    <t>Analysis Start</t>
  </si>
  <si>
    <t>Tenants - Rent Roll</t>
  </si>
  <si>
    <t>Holding Period</t>
  </si>
  <si>
    <t>Name</t>
  </si>
  <si>
    <t>/mo</t>
  </si>
  <si>
    <t>Amazon</t>
  </si>
  <si>
    <t>Recovery Structure</t>
  </si>
  <si>
    <t>Net</t>
  </si>
  <si>
    <t>Year 0 NOI</t>
  </si>
  <si>
    <t>Suite</t>
  </si>
  <si>
    <t>Floor 1</t>
  </si>
  <si>
    <t>Area</t>
  </si>
  <si>
    <t>Market Blended Rent</t>
  </si>
  <si>
    <t>Lease Start</t>
  </si>
  <si>
    <t>Blended Months Vacant</t>
  </si>
  <si>
    <t>Market Leasing</t>
  </si>
  <si>
    <t>Term</t>
  </si>
  <si>
    <t>Size</t>
  </si>
  <si>
    <t>Mo</t>
  </si>
  <si>
    <t>Lease Expiry</t>
  </si>
  <si>
    <t>Term Length</t>
  </si>
  <si>
    <t>Base Rent</t>
  </si>
  <si>
    <t>Renewal Probability</t>
  </si>
  <si>
    <t>Current Rent</t>
  </si>
  <si>
    <t>Months Vacant</t>
  </si>
  <si>
    <t>Rent Increase</t>
  </si>
  <si>
    <t>Lease Start Date</t>
  </si>
  <si>
    <t>Type</t>
  </si>
  <si>
    <t>Fixed Steps</t>
  </si>
  <si>
    <t>Base Rent (/sf)</t>
  </si>
  <si>
    <t>Rent Increase Type</t>
  </si>
  <si>
    <t>Recoverable Expenses - NNN</t>
  </si>
  <si>
    <t>Rent Increase (%)</t>
  </si>
  <si>
    <t>Free Rent</t>
  </si>
  <si>
    <t>New</t>
  </si>
  <si>
    <t>Renew</t>
  </si>
  <si>
    <t>Security Deposit</t>
  </si>
  <si>
    <t>Equity CF Scenarios</t>
  </si>
  <si>
    <t>Scenario 1 - Renew - NNN - Best</t>
  </si>
  <si>
    <t xml:space="preserve">Scenario 2 - Tenant Vacates - NNN - </t>
  </si>
  <si>
    <t>Scenario 3 Base - Renew + Prop Tax Cap (Modified Gross)</t>
  </si>
  <si>
    <t>Scenario 4 - Worst Case - 10 Months + Other</t>
  </si>
  <si>
    <t>Permanent</t>
  </si>
  <si>
    <t>Equity Assumptions</t>
  </si>
  <si>
    <t>Debt Assumptions</t>
  </si>
  <si>
    <t xml:space="preserve">Equity CF </t>
  </si>
  <si>
    <t>Scenario:</t>
  </si>
  <si>
    <t>Year 1</t>
  </si>
  <si>
    <t>Debt Cash Flow</t>
  </si>
  <si>
    <t>Limited Partner</t>
  </si>
  <si>
    <t>Leading NOI</t>
  </si>
  <si>
    <t>General Partner</t>
  </si>
  <si>
    <t>Debt</t>
  </si>
  <si>
    <t>Equity CF (Levered)</t>
  </si>
  <si>
    <t>Distribution Fee</t>
  </si>
  <si>
    <t>Origination Fee</t>
  </si>
  <si>
    <t>Terms</t>
  </si>
  <si>
    <t>Loan Proceeds</t>
  </si>
  <si>
    <t>Tier 1</t>
  </si>
  <si>
    <t>Start Date</t>
  </si>
  <si>
    <t>Debt Service</t>
  </si>
  <si>
    <t>Tier 1 - Preferred Return (EP &amp; S)</t>
  </si>
  <si>
    <t>End Date</t>
  </si>
  <si>
    <t>Loan Repayment</t>
  </si>
  <si>
    <t>Beginning Balance</t>
  </si>
  <si>
    <t>Preffered Return</t>
  </si>
  <si>
    <t>Rate</t>
  </si>
  <si>
    <t>Debt CF</t>
  </si>
  <si>
    <t>Contribution</t>
  </si>
  <si>
    <t>Tier 2</t>
  </si>
  <si>
    <t>Amortization</t>
  </si>
  <si>
    <t>Pref Earned</t>
  </si>
  <si>
    <t>Loan Length</t>
  </si>
  <si>
    <t>IRR</t>
  </si>
  <si>
    <t>Pref Paid</t>
  </si>
  <si>
    <t>EM</t>
  </si>
  <si>
    <t>Pref Unpaid</t>
  </si>
  <si>
    <t>Loan Type</t>
  </si>
  <si>
    <t>Equity Repaid</t>
  </si>
  <si>
    <t>Sale Year</t>
  </si>
  <si>
    <t>Ending Balance - Cumulative Unpaid Pref</t>
  </si>
  <si>
    <t>Constraints</t>
  </si>
  <si>
    <t>Ending Balance - Equity Contribution</t>
  </si>
  <si>
    <t>DY</t>
  </si>
  <si>
    <t>Total Ending Balance</t>
  </si>
  <si>
    <t>DSCR</t>
  </si>
  <si>
    <t>LTV</t>
  </si>
  <si>
    <t>Loan Amount</t>
  </si>
  <si>
    <t>Tier 1 Cash Flow</t>
  </si>
  <si>
    <t>EP Cash Flow</t>
  </si>
  <si>
    <t>Equity Partner CF IRR</t>
  </si>
  <si>
    <t>Sponsor Cash Flow</t>
  </si>
  <si>
    <t>Equity Sponsor CF IRR</t>
  </si>
  <si>
    <t>Tier 1 Residual Cash Flow</t>
  </si>
  <si>
    <t>Tier 2 Equity Partner Distribution</t>
  </si>
  <si>
    <t>Total Cash Flows through Tier 2</t>
  </si>
  <si>
    <t>Tier 2 Sponsor Distribution</t>
  </si>
  <si>
    <t>Fees</t>
  </si>
  <si>
    <t>Distribution Fee to Sponsor</t>
  </si>
  <si>
    <t>Total Sponsor CF</t>
  </si>
  <si>
    <t>hbs</t>
  </si>
  <si>
    <t>Max</t>
  </si>
  <si>
    <t>Analysis Year</t>
  </si>
  <si>
    <t>Variance</t>
  </si>
  <si>
    <t>Assumed Growth Rate</t>
  </si>
  <si>
    <t>Street Address</t>
  </si>
  <si>
    <t>Property Cap Rate</t>
  </si>
  <si>
    <t>Sale Date</t>
  </si>
  <si>
    <t>Sale Price / SF</t>
  </si>
  <si>
    <t>/ SF</t>
  </si>
  <si>
    <t>NOI</t>
  </si>
  <si>
    <t>NOI / SF</t>
  </si>
  <si>
    <t>Weights</t>
  </si>
  <si>
    <t>Year</t>
  </si>
  <si>
    <t>Current</t>
  </si>
  <si>
    <t>Standarized NOI</t>
  </si>
  <si>
    <t>NOI per SF</t>
  </si>
  <si>
    <t>Weight</t>
  </si>
  <si>
    <t>10444 Corporate Drive, Redlands, CA 92374</t>
  </si>
  <si>
    <t>Cap Rate</t>
  </si>
  <si>
    <t>East San Bernardino Avenue, Redlands, CA 92408</t>
  </si>
  <si>
    <t>9425 California Street, Redlands, CA 92374</t>
  </si>
  <si>
    <t>26682 Almond Avenue, Redlands, CA 92374</t>
  </si>
  <si>
    <t>2300 West San Bernardino Avenue, Redlands, CA 92374</t>
  </si>
  <si>
    <t>Benchmark (Weighted Average)</t>
  </si>
  <si>
    <t>Benchmark</t>
  </si>
  <si>
    <t>General Inflation</t>
  </si>
  <si>
    <t>Effective Rent Market Summary</t>
  </si>
  <si>
    <t>Count</t>
  </si>
  <si>
    <t>Min</t>
  </si>
  <si>
    <t>SD</t>
  </si>
  <si>
    <t>Average Effective Rent</t>
  </si>
  <si>
    <t>Inland Empire</t>
  </si>
  <si>
    <t>Colton</t>
  </si>
  <si>
    <t>250,001-350,000</t>
  </si>
  <si>
    <t>Loma Linda</t>
  </si>
  <si>
    <t>50,001-150,000</t>
  </si>
  <si>
    <t>0-50,000</t>
  </si>
  <si>
    <t>150,001-250,000</t>
  </si>
  <si>
    <t>350,001-450,000</t>
  </si>
  <si>
    <t>450,001-600,000</t>
  </si>
  <si>
    <t>600,001-750,000</t>
  </si>
  <si>
    <t>750,000+</t>
  </si>
  <si>
    <t>San Bernardino</t>
  </si>
  <si>
    <t>Los Angeles</t>
  </si>
  <si>
    <t>Carson</t>
  </si>
  <si>
    <t>Gardena</t>
  </si>
  <si>
    <t>Torrance</t>
  </si>
  <si>
    <t>Zip Code</t>
  </si>
  <si>
    <t>Market</t>
  </si>
  <si>
    <t>Sector</t>
  </si>
  <si>
    <t>Date As Of</t>
  </si>
  <si>
    <t>Zip Code Grade</t>
  </si>
  <si>
    <t>Size Type</t>
  </si>
  <si>
    <t>Effective Rent* ($/Size Type)</t>
  </si>
  <si>
    <t>Avg. Transaction Size</t>
  </si>
  <si>
    <t>Avg. Lease Terms (Months)</t>
  </si>
  <si>
    <t>Avg. Work Value ($/Size Type)</t>
  </si>
  <si>
    <t>Avg. Free Months</t>
  </si>
  <si>
    <t>Floors</t>
  </si>
  <si>
    <t>Year Renovated</t>
  </si>
  <si>
    <t>Size (SF)</t>
  </si>
  <si>
    <t>1000 Francisco Street</t>
  </si>
  <si>
    <t>CA</t>
  </si>
  <si>
    <t>90502</t>
  </si>
  <si>
    <t>Industrial</t>
  </si>
  <si>
    <t>A++</t>
  </si>
  <si>
    <t>SF</t>
  </si>
  <si>
    <t>-</t>
  </si>
  <si>
    <t>1000 West 190th Street</t>
  </si>
  <si>
    <t>1001 Knox Street</t>
  </si>
  <si>
    <t>1011 Francisco Street</t>
  </si>
  <si>
    <t>1024 East Del Amo Boulevard</t>
  </si>
  <si>
    <t>90746</t>
  </si>
  <si>
    <t>A+</t>
  </si>
  <si>
    <t>1048 East Burgrove Street</t>
  </si>
  <si>
    <t>1062 East Del Amo Boulevard</t>
  </si>
  <si>
    <t>1227 Knox Street</t>
  </si>
  <si>
    <t>1234 Francisco Street</t>
  </si>
  <si>
    <t>1380-1400 Charles Willard Street</t>
  </si>
  <si>
    <t>1450 Glenn Curtiss Street</t>
  </si>
  <si>
    <t>1450-1480 Charles Willard Street</t>
  </si>
  <si>
    <t>1451 West Knox Street</t>
  </si>
  <si>
    <t>90501</t>
  </si>
  <si>
    <t>1452 West Knox Street</t>
  </si>
  <si>
    <t>1457 Glenn Curtiss Street</t>
  </si>
  <si>
    <t>1460-1490 Beachey Place</t>
  </si>
  <si>
    <t>1500 Glenn Curtiss Street</t>
  </si>
  <si>
    <t>1521 Francisco Street</t>
  </si>
  <si>
    <t>1533-1543 East Del Amo Boulevard</t>
  </si>
  <si>
    <t>1540-1560 West 190th Street</t>
  </si>
  <si>
    <t>1545 Francisco Street</t>
  </si>
  <si>
    <t>1550-1650 Charles Willard Street</t>
  </si>
  <si>
    <t>1561 Beachey Place</t>
  </si>
  <si>
    <t>1640 West 190th Street</t>
  </si>
  <si>
    <t>1667 East Del Amo Boulevard</t>
  </si>
  <si>
    <t>1681 East Del Amo Boulevard</t>
  </si>
  <si>
    <t>1683 East Del Amo Boulevard</t>
  </si>
  <si>
    <t>1685 East Del Amo Boulevard</t>
  </si>
  <si>
    <t>1689 East Del Amo Boulevard</t>
  </si>
  <si>
    <t>1693 East Del Amo Boulevard</t>
  </si>
  <si>
    <t>1810 195th Street</t>
  </si>
  <si>
    <t>1820 195th Street</t>
  </si>
  <si>
    <t>1830 West 205th Street</t>
  </si>
  <si>
    <t>18300 Central Avenue</t>
  </si>
  <si>
    <t>1845 West 205th Street</t>
  </si>
  <si>
    <t>18600 Crenshaw Boulevard</t>
  </si>
  <si>
    <t>90504</t>
  </si>
  <si>
    <t>19000-19010 South Vermont Avenue</t>
  </si>
  <si>
    <t>90248</t>
  </si>
  <si>
    <t>19032 South Vermont Avenue</t>
  </si>
  <si>
    <t>19038 South Vermont Avenue</t>
  </si>
  <si>
    <t>19145 Gramercy Place</t>
  </si>
  <si>
    <t>19200-19270 South Western Avenue</t>
  </si>
  <si>
    <t>19301 Prairie Avenue</t>
  </si>
  <si>
    <t>90503</t>
  </si>
  <si>
    <t>19340-19370 Van Ness Avenue</t>
  </si>
  <si>
    <t>19400 Harborgate Way</t>
  </si>
  <si>
    <t>19400 South Western Avenue</t>
  </si>
  <si>
    <t>19500-19600 South Vermont Avenue</t>
  </si>
  <si>
    <t>19600 South Western Avenue</t>
  </si>
  <si>
    <t>19600-19688 Van Ness Avenue</t>
  </si>
  <si>
    <t>19601 Hamilton Avenue</t>
  </si>
  <si>
    <t>19681 Pacific Gateway Drive</t>
  </si>
  <si>
    <t>1603 East Steel Road</t>
  </si>
  <si>
    <t>92324</t>
  </si>
  <si>
    <t>A-</t>
  </si>
  <si>
    <t>1861 Mountain View Avenue</t>
  </si>
  <si>
    <t>92354</t>
  </si>
  <si>
    <t>1865 Mountain View Avenue</t>
  </si>
  <si>
    <t>25525 Redlands Boulevard</t>
  </si>
  <si>
    <t>10421 Corporate Drive</t>
  </si>
  <si>
    <t>92374</t>
  </si>
  <si>
    <t>10446 Enterprise Drive</t>
  </si>
  <si>
    <t>1115 Research Drive</t>
  </si>
  <si>
    <t>1125 Research Drive</t>
  </si>
  <si>
    <t>1235 Indiana Court</t>
  </si>
  <si>
    <t>1419 West State Street</t>
  </si>
  <si>
    <t>92373</t>
  </si>
  <si>
    <t>1645 West Park Avenue</t>
  </si>
  <si>
    <t>1670 West Park Avenue</t>
  </si>
  <si>
    <t>1939 West Park Avenue</t>
  </si>
  <si>
    <t>1941 West Park Avenue</t>
  </si>
  <si>
    <t>1972 Essex Court</t>
  </si>
  <si>
    <t>2351 West Lugonia Avenue</t>
  </si>
  <si>
    <t>1251 Research Drive</t>
  </si>
  <si>
    <t>1455 Research Drive</t>
  </si>
  <si>
    <t>2456 West Lugonia Avenue</t>
  </si>
  <si>
    <t>2459 Almond Avenue</t>
  </si>
  <si>
    <t>2470 West Lugonia Avenue</t>
  </si>
  <si>
    <t>10843 New Jersey Street</t>
  </si>
  <si>
    <t>1675 West Park Avenue</t>
  </si>
  <si>
    <t>1300 California Street</t>
  </si>
  <si>
    <t>1730 Marigold Avenue</t>
  </si>
  <si>
    <t>2185 West Lugonia Avenue</t>
  </si>
  <si>
    <t>2220 Almond Avenue</t>
  </si>
  <si>
    <t>2301 West San Bernardino Avenue</t>
  </si>
  <si>
    <t>2501 West San Bernardino Avenue</t>
  </si>
  <si>
    <t>26525 Pioneer Avenue</t>
  </si>
  <si>
    <t>26597 San Bernardino Avenue</t>
  </si>
  <si>
    <t>26635 Pioneer Avenue</t>
  </si>
  <si>
    <t>10756 Nevada Street</t>
  </si>
  <si>
    <t>1351 West Park Avenue</t>
  </si>
  <si>
    <t>1450 Mountain View Avenue</t>
  </si>
  <si>
    <t>2466 West Lugonia Avenue</t>
  </si>
  <si>
    <t>1055 East Cooley Avenue</t>
  </si>
  <si>
    <t>92408</t>
  </si>
  <si>
    <t>1335 Riverview Drive</t>
  </si>
  <si>
    <t>1350 South Waterman Avenue</t>
  </si>
  <si>
    <t>1385 South Tippecanoe Avenue</t>
  </si>
  <si>
    <t>1390 South Tippecanoe Avenue</t>
  </si>
  <si>
    <t>1425 Victoria Court</t>
  </si>
  <si>
    <t>1442 South Gage Street</t>
  </si>
  <si>
    <t>1445 South Tippecanoe Avenue</t>
  </si>
  <si>
    <t>1445-1455 Riverview Drive</t>
  </si>
  <si>
    <t>1615 Riverview Drive</t>
  </si>
  <si>
    <t>1655 Riverview Drive</t>
  </si>
  <si>
    <t>1811-1833 Riverview Drive</t>
  </si>
  <si>
    <t>1833 Riverview Drive</t>
  </si>
  <si>
    <t>1834 Business Center Drive</t>
  </si>
  <si>
    <t>Appended Table</t>
  </si>
  <si>
    <t>Portfolio / Property Name</t>
  </si>
  <si>
    <t>Country</t>
  </si>
  <si>
    <t>Subsector</t>
  </si>
  <si>
    <t>Sector Attribute</t>
  </si>
  <si>
    <t>Part of Mixed Use Development</t>
  </si>
  <si>
    <t>Submarket</t>
  </si>
  <si>
    <t>Stake Sold</t>
  </si>
  <si>
    <t>Local Currency Sale Price (M)</t>
  </si>
  <si>
    <t>Local Currency Symbol</t>
  </si>
  <si>
    <t>Sale Price Per (in Local Currency)</t>
  </si>
  <si>
    <t>Selected Currency Sale Price ($) (M)</t>
  </si>
  <si>
    <t>Submarket Grade</t>
  </si>
  <si>
    <t>Property Cap Rate Type</t>
  </si>
  <si>
    <t>Part of a Portfolio?</t>
  </si>
  <si>
    <t>Buyer</t>
  </si>
  <si>
    <t>Seller</t>
  </si>
  <si>
    <t>Buyer Objective</t>
  </si>
  <si>
    <t>To be demolished</t>
  </si>
  <si>
    <t>Buyer Broker</t>
  </si>
  <si>
    <t>Seller Broker</t>
  </si>
  <si>
    <t>Land Area (acres)</t>
  </si>
  <si>
    <t>Stories</t>
  </si>
  <si>
    <t>Parking</t>
  </si>
  <si>
    <t>Buildings</t>
  </si>
  <si>
    <t>Occupancy</t>
  </si>
  <si>
    <t>Green Street Market Cap Rate</t>
  </si>
  <si>
    <t>Submarket Cap Rate</t>
  </si>
  <si>
    <t>Zip Code Cap Rate</t>
  </si>
  <si>
    <t>Lender</t>
  </si>
  <si>
    <t>1st Mortgage</t>
  </si>
  <si>
    <t>Verified?</t>
  </si>
  <si>
    <t>1971 Essex Court</t>
  </si>
  <si>
    <t>1971 Essex Court, Redlands, CA 92373</t>
  </si>
  <si>
    <t>United States</t>
  </si>
  <si>
    <t>Flex Industrial</t>
  </si>
  <si>
    <t>No</t>
  </si>
  <si>
    <t>IE-East Redlands</t>
  </si>
  <si>
    <t>$</t>
  </si>
  <si>
    <t>Green Street Market Estimate</t>
  </si>
  <si>
    <t>CMJ Brother's Corp.</t>
  </si>
  <si>
    <t>Rediger Investments</t>
  </si>
  <si>
    <t>Yes</t>
  </si>
  <si>
    <t>1425 Cooley Court</t>
  </si>
  <si>
    <t>1425 Cooley Court, San Bernardino, CA 92408</t>
  </si>
  <si>
    <t>Warehouse</t>
  </si>
  <si>
    <t>Light Industrial</t>
  </si>
  <si>
    <t>Symetra Financial</t>
  </si>
  <si>
    <t>1320 Riverview Drive</t>
  </si>
  <si>
    <t>1320 Riverview Drive, San Bernardino, CA 92408</t>
  </si>
  <si>
    <t>Rogina Family Living Trust</t>
  </si>
  <si>
    <t>Wells Fargo Bank</t>
  </si>
  <si>
    <t>401 Alabama Street</t>
  </si>
  <si>
    <t>401 Alabama Street, Redlands, CA 92373</t>
  </si>
  <si>
    <t>As Reported</t>
  </si>
  <si>
    <t>General Investment &amp; Development Cos.</t>
  </si>
  <si>
    <t>Investment Building Group</t>
  </si>
  <si>
    <t>CBRE Group</t>
  </si>
  <si>
    <t>Carnegie Business Center</t>
  </si>
  <si>
    <t>720 East Carnegie Drive, San Bernardino, CA 92408</t>
  </si>
  <si>
    <t>Entrada Partners</t>
  </si>
  <si>
    <t>1990 Riverview Drive</t>
  </si>
  <si>
    <t>1990 Riverview Drive, San Bernardino, CA 92408</t>
  </si>
  <si>
    <t>1,172.28</t>
  </si>
  <si>
    <t>1393 East San Bernardino Avenue</t>
  </si>
  <si>
    <t>1393 East San Bernardino Avenue, San Bernardino, CA 92408</t>
  </si>
  <si>
    <t>First Industrial Realty Trust (FR)</t>
  </si>
  <si>
    <t>301 Tennessee Street</t>
  </si>
  <si>
    <t>301 Tennessee Street, Redlands, CA 92373</t>
  </si>
  <si>
    <t>Manufacturing / Heavy Industrial</t>
  </si>
  <si>
    <t>Stos Partners</t>
  </si>
  <si>
    <t>ESRI</t>
  </si>
  <si>
    <t>Savills</t>
  </si>
  <si>
    <t>1939 West Park Avenue, Redlands, CA 92373</t>
  </si>
  <si>
    <t>Scott Barnes</t>
  </si>
  <si>
    <t>John C. Steinmann</t>
  </si>
  <si>
    <t>I-215 Commerce Center</t>
  </si>
  <si>
    <t>1648 Ashley Way, Colton, CA 92324</t>
  </si>
  <si>
    <t>Zurich Alternative Asset Management</t>
  </si>
  <si>
    <t>Transwestern Development Company</t>
  </si>
  <si>
    <t>Washington Commerce Center</t>
  </si>
  <si>
    <t>998 South Washington Avenue, San Bernardino, CA 92408</t>
  </si>
  <si>
    <t>PGIM</t>
  </si>
  <si>
    <t>Crow Holdings</t>
  </si>
  <si>
    <t>Eastdil Secured</t>
  </si>
  <si>
    <t>Washington Commerce Center, Building 3</t>
  </si>
  <si>
    <t>Washington Commerce Center, Building 2</t>
  </si>
  <si>
    <t>975 South Washington Avenue, San Bernardino, CA 92408</t>
  </si>
  <si>
    <t>Dedeaux Business Park Redlands</t>
  </si>
  <si>
    <t>509 Alabama Street, Redlands, CA 92373</t>
  </si>
  <si>
    <t>LBA Realty</t>
  </si>
  <si>
    <t>Brasa Capital; Dedeaux Properties</t>
  </si>
  <si>
    <t>Cushman &amp; Wakefield</t>
  </si>
  <si>
    <t>Cushman &amp; Wakefield; Lee &amp; Associates</t>
  </si>
  <si>
    <t>1255 Research Drive</t>
  </si>
  <si>
    <t>1255 Research Drive, Redlands, CA 92374</t>
  </si>
  <si>
    <t>EQT Exeter</t>
  </si>
  <si>
    <t>Garner Holt Productions Inc.</t>
  </si>
  <si>
    <t>Colliers</t>
  </si>
  <si>
    <t>Crow Holdings Los Angeles Area Industrial Portfolio</t>
  </si>
  <si>
    <t>1070 South Waterman Avenue, San Bernardino, CA 92408</t>
  </si>
  <si>
    <t>Principal Real Estate Investors</t>
  </si>
  <si>
    <t>CBRE Group; Eastdil Secured</t>
  </si>
  <si>
    <t>1070 South Waterman Avenue</t>
  </si>
  <si>
    <t>Redlands Corporate Center 1&amp;2</t>
  </si>
  <si>
    <t>1289 Bryn Mawr Avenue, Redlands, CA 92374</t>
  </si>
  <si>
    <t>Office</t>
  </si>
  <si>
    <t>Penwood Real Estate Investment Management</t>
  </si>
  <si>
    <t>Stockbridge Capital Group</t>
  </si>
  <si>
    <t>Redlands Corporate Center 2</t>
  </si>
  <si>
    <t>Redlands Corporate Center 1</t>
  </si>
  <si>
    <t>1115 Research Drive, Redlands, CA 92374</t>
  </si>
  <si>
    <t>Hillwood Development Multi-state Industrial Portfolio (B)</t>
  </si>
  <si>
    <t>1494 South Waterman Avenue, San Bernardino, CA 92408</t>
  </si>
  <si>
    <t>Hillwood Investment Properties</t>
  </si>
  <si>
    <t>1494 South Waterman Avenue</t>
  </si>
  <si>
    <t>1601&amp;1603 Steel Road</t>
  </si>
  <si>
    <t>1603 East Steel Road, Colton, CA 92324</t>
  </si>
  <si>
    <t>Brookfield Property Group</t>
  </si>
  <si>
    <t>Redlands Corporate Center</t>
  </si>
  <si>
    <t>1251 Research Drive, Redlands, CA 92374</t>
  </si>
  <si>
    <t>Stockbridge Real Estate</t>
  </si>
  <si>
    <t>La-Z-Boy Inc.</t>
  </si>
  <si>
    <t>1730 Marigold Avenue, Redlands, CA 92374</t>
  </si>
  <si>
    <t>Black Creek Group</t>
  </si>
  <si>
    <t>Kensington Realty Advisors</t>
  </si>
  <si>
    <t>Los Angeles Area Industrial Portfolio</t>
  </si>
  <si>
    <t>Redlands, CA</t>
  </si>
  <si>
    <t>Park</t>
  </si>
  <si>
    <t>Other</t>
  </si>
  <si>
    <t>1445 South Tippacanoe Avenue</t>
  </si>
  <si>
    <t>1445 South Tippecanoe Avenue, San Bernardino, CA 92408</t>
  </si>
  <si>
    <t>Nuveen Real Estate</t>
  </si>
  <si>
    <t>Rockefeller Group</t>
  </si>
  <si>
    <t>1898 Marigold Avenue</t>
  </si>
  <si>
    <t>1898 Marigold Avenue, Redlands, CA 92374</t>
  </si>
  <si>
    <t>Liberty Property Trust</t>
  </si>
  <si>
    <t>Cabot Properties National Industrial Portfolio</t>
  </si>
  <si>
    <t>1833 Riverview Drive, San Bernardino, CA 92408</t>
  </si>
  <si>
    <t>Blackstone Real Estate Income Trust</t>
  </si>
  <si>
    <t>Cabot Properties</t>
  </si>
  <si>
    <t>1833 Riverview Dr</t>
  </si>
  <si>
    <t>1817 Riverview Dr</t>
  </si>
  <si>
    <t>1817 Riverview Drive, San Bernardino, CA 92408</t>
  </si>
  <si>
    <t>1811 Riverview Dr</t>
  </si>
  <si>
    <t>1811 Riverview Drive, San Bernardino, CA 92408</t>
  </si>
  <si>
    <t>1445-1455 E Riverview Dr</t>
  </si>
  <si>
    <t>1445 Riverview Drive, San Bernardino, CA 92408</t>
  </si>
  <si>
    <t>Redlands Gateway Logistics Center</t>
  </si>
  <si>
    <t>9712 Alabama Street, Redlands, CA 92374</t>
  </si>
  <si>
    <t>Alere Property Group</t>
  </si>
  <si>
    <t>Hillwood Investment National Industrial Portfolio</t>
  </si>
  <si>
    <t>555 East Orange Show Road, San Bernardino, CA 92408</t>
  </si>
  <si>
    <t>GLP</t>
  </si>
  <si>
    <t>555 Orange Show Road</t>
  </si>
  <si>
    <t>AREA Property Multi-State Industrial Portfolio</t>
  </si>
  <si>
    <t>2200 West San Bernardino Avenue, Redlands, CA 92374</t>
  </si>
  <si>
    <t>Industrial Property Trust</t>
  </si>
  <si>
    <t>AREA Property Partners</t>
  </si>
  <si>
    <t>2200 West San Bernardino Avenue</t>
  </si>
  <si>
    <t>CT Realty Southern California Industrial Portfolio</t>
  </si>
  <si>
    <t>1333 South Tippecanoe Avenue, San Bernardino, CA 92408</t>
  </si>
  <si>
    <t>Rexford Industrial Realty (REXR)</t>
  </si>
  <si>
    <t>CT Realty Investors</t>
  </si>
  <si>
    <t>1333 South Tippecanoe Avenue</t>
  </si>
  <si>
    <t>10444 Corporate Drive</t>
  </si>
  <si>
    <t>TIAA</t>
  </si>
  <si>
    <t>Oakmont Industrial Group</t>
  </si>
  <si>
    <t>Redlands Business Center</t>
  </si>
  <si>
    <t>2220 Almond Avenue, Redlands, CA 92374</t>
  </si>
  <si>
    <t>Clarion Partners</t>
  </si>
  <si>
    <t>Bixby Land Co.</t>
  </si>
  <si>
    <t>JLL</t>
  </si>
  <si>
    <t>Hillwood Properties National Industrial Portfolio</t>
  </si>
  <si>
    <t>5631 South Waterman Avenue, San Bernardino, CA 92408</t>
  </si>
  <si>
    <t>Hillwood Properties</t>
  </si>
  <si>
    <t>AC Westgate</t>
  </si>
  <si>
    <t>Redlands Corporate Center 1-3</t>
  </si>
  <si>
    <t>Pacific Coast Capital Partners</t>
  </si>
  <si>
    <t>Redlands Industrial Centre</t>
  </si>
  <si>
    <t>Kearny Real Estate</t>
  </si>
  <si>
    <t>USAA Industrial Portfolio</t>
  </si>
  <si>
    <t>Duke Realty</t>
  </si>
  <si>
    <t>USAA Real Estate</t>
  </si>
  <si>
    <t>2300 West San Bernardino Avenue</t>
  </si>
  <si>
    <t>1601&amp;1801 East Cooley Drive</t>
  </si>
  <si>
    <t>1801 East Cooley Drive, Colton, CA 92324</t>
  </si>
  <si>
    <t>Overton Moore Properties</t>
  </si>
  <si>
    <t>Silagi Development Los Angeles/Phoenix Area portfolio</t>
  </si>
  <si>
    <t>1220 Research Drive, Redlands, CA 92374</t>
  </si>
  <si>
    <t>Oxnard</t>
  </si>
  <si>
    <t>Muller Co.</t>
  </si>
  <si>
    <t>Silagi Development &amp; Management</t>
  </si>
  <si>
    <t>1110-1135</t>
  </si>
  <si>
    <t>9425 California Avenue</t>
  </si>
  <si>
    <t>Lamps Plus</t>
  </si>
  <si>
    <t>Trammell Crow Company</t>
  </si>
  <si>
    <t>Kearny Street</t>
  </si>
  <si>
    <t>Borstein Enterprises</t>
  </si>
  <si>
    <t>CBRE Investment Management</t>
  </si>
  <si>
    <t>1826 West 205th Street</t>
  </si>
  <si>
    <t>1826 West 205th Street, Torrance, CA 90501</t>
  </si>
  <si>
    <t>South Bay</t>
  </si>
  <si>
    <t>Proficiency Capital</t>
  </si>
  <si>
    <t>19020 Anelo Avenue</t>
  </si>
  <si>
    <t>19020 Anelo Avenue, Gardena, CA 90248</t>
  </si>
  <si>
    <t>ABC Supply Co. Inc.</t>
  </si>
  <si>
    <t>Carroll H. Shelby</t>
  </si>
  <si>
    <t>690-760 West 190th Street</t>
  </si>
  <si>
    <t>690 West 190th Street, Gardena, CA 90248</t>
  </si>
  <si>
    <t>Evergen Equity; Harbor Associates</t>
  </si>
  <si>
    <t>Gary Campbell</t>
  </si>
  <si>
    <t>206 West 196th Street</t>
  </si>
  <si>
    <t>206 West 196th Street, Torrance, CA 90502</t>
  </si>
  <si>
    <t>PACCAR Inc.</t>
  </si>
  <si>
    <t>21160 South Figueroa Street</t>
  </si>
  <si>
    <t>21160 South Figueroa Street, Carson, CA 90745</t>
  </si>
  <si>
    <t>90745</t>
  </si>
  <si>
    <t>Grace Lin</t>
  </si>
  <si>
    <t>18421 South Main Street</t>
  </si>
  <si>
    <t>18421 South Main Street, Gardena, CA 90248</t>
  </si>
  <si>
    <t>AIDS Healthcare Foundation (AHF)</t>
  </si>
  <si>
    <t>Shultz Properties</t>
  </si>
  <si>
    <t>BRC Advisors</t>
  </si>
  <si>
    <t>Kidder Mathews</t>
  </si>
  <si>
    <t>1580 Francisco Street</t>
  </si>
  <si>
    <t>1580 Francisco Street, Torrance, CA 90501</t>
  </si>
  <si>
    <t>Prologis (PLD)</t>
  </si>
  <si>
    <t>Blackstone Real Estate</t>
  </si>
  <si>
    <t>1115-1117 West 190th Street</t>
  </si>
  <si>
    <t>1115 West 190th Street, Gardena, CA 90248</t>
  </si>
  <si>
    <t>Seppi Esfandi</t>
  </si>
  <si>
    <t>555 West 189th Street</t>
  </si>
  <si>
    <t>555 West 189th Street, Gardena, CA 90248</t>
  </si>
  <si>
    <t>Turnbridge Equities</t>
  </si>
  <si>
    <t>Burke Real Estate Group</t>
  </si>
  <si>
    <t>1210 Knox Street</t>
  </si>
  <si>
    <t>1210 Knox Street, Torrance, CA 90502</t>
  </si>
  <si>
    <t>Premier Infusion Care</t>
  </si>
  <si>
    <t>Universal Projects, Inc.</t>
  </si>
  <si>
    <t>1355-1361 West 190th Street</t>
  </si>
  <si>
    <t>1355 West 190th Street, Gardena, CA 90248</t>
  </si>
  <si>
    <t>Dunbar Real Estate Investment Management</t>
  </si>
  <si>
    <t>Altemus Company</t>
  </si>
  <si>
    <t>DAUM Commercial</t>
  </si>
  <si>
    <t>EquiTrust Life Insurance Company</t>
  </si>
  <si>
    <t>IDI Logistics CA Industrial Portfolio</t>
  </si>
  <si>
    <t>19145 Gramercy Place, Torrance, CA 90501</t>
  </si>
  <si>
    <t>Bulk Distribution</t>
  </si>
  <si>
    <t>IDI Logistics</t>
  </si>
  <si>
    <t>21022-21034 South Figueroa Street</t>
  </si>
  <si>
    <t>21022 South Figueroa Street, Carson, CA 90745</t>
  </si>
  <si>
    <t>Jobar International, Inc.</t>
  </si>
  <si>
    <t>20900 Normandie Avenue</t>
  </si>
  <si>
    <t>20900 South Normandie Avenue, Torrance, CA 90502</t>
  </si>
  <si>
    <t>Marcus Adams Properties LLC</t>
  </si>
  <si>
    <t>Newmark Group</t>
  </si>
  <si>
    <t>19475 Gramercy Place</t>
  </si>
  <si>
    <t>19475 Gramercy Place, Torrance, CA 90501</t>
  </si>
  <si>
    <t>19875 Pacific Gateway Drive</t>
  </si>
  <si>
    <t>19875 Pacific Gateway Drive, Torrance, CA 90502</t>
  </si>
  <si>
    <t>CenterPoint Properties</t>
  </si>
  <si>
    <t>1972 Del Amo Boulevard</t>
  </si>
  <si>
    <t>1972 Del Amo Boulevard, Torrance, CA 90501</t>
  </si>
  <si>
    <t>2700 California Street</t>
  </si>
  <si>
    <t>2700 California Street, Torrance, CA 90503</t>
  </si>
  <si>
    <t>Bain Capital Real Estate; Staley Point Capital</t>
  </si>
  <si>
    <t>Edelbrock LLC</t>
  </si>
  <si>
    <t>20405 Gramercy Place</t>
  </si>
  <si>
    <t>20405 Gramercy Place, Torrance, CA 90501</t>
  </si>
  <si>
    <t>Terreno Realty Corp. (TRNO)</t>
  </si>
  <si>
    <t>Dedeaux Los Angeles Area Industrial Portfolio</t>
  </si>
  <si>
    <t>711 Knox Street, Gardena, CA 90248</t>
  </si>
  <si>
    <t>Dedeaux Properties</t>
  </si>
  <si>
    <t>711 Knox Street</t>
  </si>
  <si>
    <t>1451 Knox Street</t>
  </si>
  <si>
    <t>1451 West Knox Street, Torrance, CA 90501</t>
  </si>
  <si>
    <t>Boeing Co.</t>
  </si>
  <si>
    <t>Gateway Logistics Center</t>
  </si>
  <si>
    <t>538 Crenshaw Boulevard, Torrance, CA 90503</t>
  </si>
  <si>
    <t>Lee &amp; Associates</t>
  </si>
  <si>
    <t>2665 Columbia Street</t>
  </si>
  <si>
    <t>2665 Columbia Street, Torrance, CA 90503</t>
  </si>
  <si>
    <t>20917 Higgins Court</t>
  </si>
  <si>
    <t>20917 Higgins Court, Torrance, CA 90501</t>
  </si>
  <si>
    <t>(None)</t>
  </si>
  <si>
    <t>20210 South Normandie Avenue</t>
  </si>
  <si>
    <t>20210 Normandie Avenue, Torrance, CA 90502</t>
  </si>
  <si>
    <t>Gramercy Property Trust</t>
  </si>
  <si>
    <t>Pacifica Capital Group</t>
  </si>
  <si>
    <t>Bridge Point South Bay</t>
  </si>
  <si>
    <t>20333 Normandie Avenue, Torrance, CA 90502</t>
  </si>
  <si>
    <t>Morgan Stanley Real Estate</t>
  </si>
  <si>
    <t>Bridge Development Partners</t>
  </si>
  <si>
    <t>19801 South Vermont Avenue</t>
  </si>
  <si>
    <t>19801 South Vermont Avenue, Torrance, CA 90502</t>
  </si>
  <si>
    <t>20333 South Normandie Avenue</t>
  </si>
  <si>
    <t>588 Crenshaw Boulevard</t>
  </si>
  <si>
    <t>588 Crenshaw Boulevard, Torrance, CA 90503</t>
  </si>
  <si>
    <t>IIT Acquisitions</t>
  </si>
  <si>
    <t>4000-4100 West 190th Street</t>
  </si>
  <si>
    <t>4000 West 190th Street, Torrance, CA 90504</t>
  </si>
  <si>
    <t>California Public Employees' Retirement System</t>
  </si>
  <si>
    <t>HDG Mansur</t>
  </si>
  <si>
    <t>20000 South Western Avenue</t>
  </si>
  <si>
    <t>20000 South Western Avenue, Torrance, CA 90501</t>
  </si>
  <si>
    <t>AMB Property Corp.</t>
  </si>
  <si>
    <t>Danat Investment Co.</t>
  </si>
  <si>
    <t>Prentiss Properties portfolio</t>
  </si>
  <si>
    <t>19780 Pacific Gateway Drive, Torrance, CA 90502</t>
  </si>
  <si>
    <t>PGIM Real Estate</t>
  </si>
  <si>
    <t>Prentiss Properties Trust</t>
  </si>
  <si>
    <t>Lazard Freres</t>
  </si>
  <si>
    <t>Pacific Gateway Center</t>
  </si>
  <si>
    <t>Starboard Distribution Center</t>
  </si>
  <si>
    <t>2027 Harpers Way, Torrance, CA 90501</t>
  </si>
  <si>
    <t>FHL Group</t>
  </si>
  <si>
    <t>Harbor Gateway Industrial Center</t>
  </si>
  <si>
    <t>19400 Harborgate Way, Torrance, CA 90501</t>
  </si>
  <si>
    <t>Sunrider International</t>
  </si>
  <si>
    <t>Deutsche Asset Management; Fremont Development</t>
  </si>
  <si>
    <t>Rent Growth</t>
  </si>
  <si>
    <t>Permanant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</si>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</sst>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0.00\ &quot;/ RSF&quot;"/>
    <numFmt numFmtId="165" formatCode="&quot;$&quot;#,##0.00"/>
    <numFmt numFmtId="166" formatCode="mmm\-yyyy"/>
    <numFmt numFmtId="167" formatCode="&quot;Month&quot;\ 0"/>
    <numFmt numFmtId="168" formatCode="0.0%"/>
    <numFmt numFmtId="169" formatCode="&quot;Year&quot;\ 0"/>
    <numFmt numFmtId="170" formatCode="0\ &quot;years&quot;"/>
    <numFmt numFmtId="171" formatCode="yyyy\-mm\-dd"/>
    <numFmt numFmtId="172" formatCode="\$#,##0"/>
    <numFmt numFmtId="173" formatCode="_(* #,##0_);_(* \(#,##0\);_(* &quot;-&quot;??_);_(@_)"/>
    <numFmt numFmtId="174" formatCode="\$#,##0.00"/>
    <numFmt numFmtId="175" formatCode="_(&quot;$&quot;* #,##0_);_(&quot;$&quot;* \(#,##0\);_(&quot;$&quot;* &quot;-&quot;??_);_(@_)"/>
    <numFmt numFmtId="176" formatCode="&quot;Year&quot;\ 0\ "/>
    <numFmt numFmtId="177" formatCode="0\ &quot;months&quot;"/>
    <numFmt numFmtId="178" formatCode="_(* #,##0.00_);_(* \(#,##0.00\);_(* &quot;-&quot;_);_(@_)"/>
    <numFmt numFmtId="179" formatCode="#,##0.0"/>
    <numFmt numFmtId="180" formatCode="mmm\ yyyy"/>
    <numFmt numFmtId="181" formatCode="&quot;$&quot;0.00&quot;/sf&quot;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Ebrima"/>
    </font>
    <font>
      <b/>
      <sz val="10"/>
      <color rgb="FF000000"/>
      <name val="Tahoma"/>
      <family val="2"/>
    </font>
    <font>
      <b/>
      <sz val="10"/>
      <color rgb="FF000000"/>
      <name val="Ebrima"/>
    </font>
    <font>
      <sz val="10"/>
      <color theme="1"/>
      <name val="Ebrima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rgb="FF000000"/>
      <name val="Ebrima"/>
    </font>
    <font>
      <sz val="10"/>
      <color rgb="FF808080"/>
      <name val="Tahoma"/>
      <family val="2"/>
    </font>
    <font>
      <u/>
      <sz val="10"/>
      <color rgb="FF000000"/>
      <name val="Tahoma"/>
      <family val="2"/>
    </font>
    <font>
      <sz val="10"/>
      <color rgb="FF808080"/>
      <name val="Ebrim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Ebrima"/>
    </font>
    <font>
      <sz val="11"/>
      <color rgb="FF0000FF"/>
      <name val="Ebrima"/>
    </font>
    <font>
      <sz val="10"/>
      <color rgb="FF0000FF"/>
      <name val="Ebrima"/>
    </font>
    <font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Tahoma"/>
      <family val="2"/>
    </font>
    <font>
      <sz val="10"/>
      <color theme="0"/>
      <name val="Tahoma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29F48"/>
      <name val="Calibri"/>
      <family val="2"/>
    </font>
    <font>
      <sz val="11"/>
      <color rgb="FF000000"/>
      <name val="Ebrima"/>
    </font>
    <font>
      <sz val="10"/>
      <color theme="1"/>
      <name val="Calibri"/>
      <family val="2"/>
    </font>
    <font>
      <sz val="9"/>
      <color theme="1"/>
      <name val="Calibri"/>
      <family val="2"/>
    </font>
    <font>
      <u/>
      <sz val="10"/>
      <color theme="1"/>
      <name val="Ebrima"/>
    </font>
    <font>
      <sz val="10"/>
      <color rgb="FF0070C0"/>
      <name val="Ebrima"/>
    </font>
    <font>
      <b/>
      <sz val="10"/>
      <color theme="1"/>
      <name val="Ebrima"/>
    </font>
    <font>
      <b/>
      <u/>
      <sz val="10"/>
      <color theme="1"/>
      <name val="Ebrima"/>
    </font>
    <font>
      <b/>
      <sz val="10"/>
      <color rgb="FF0070C0"/>
      <name val="Ebrima"/>
    </font>
    <font>
      <sz val="8"/>
      <color theme="1"/>
      <name val="Ebrima"/>
    </font>
    <font>
      <sz val="9"/>
      <color theme="1"/>
      <name val="Ebrima"/>
    </font>
    <font>
      <sz val="10"/>
      <color theme="4"/>
      <name val="Ebrima"/>
    </font>
    <font>
      <sz val="9"/>
      <color rgb="FF0000FF"/>
      <name val="Ebrima"/>
    </font>
    <font>
      <u/>
      <sz val="9"/>
      <color theme="1"/>
      <name val="Ebrima"/>
    </font>
    <font>
      <sz val="10"/>
      <name val="Ebrima"/>
    </font>
    <font>
      <u val="singleAccounting"/>
      <sz val="10"/>
      <color theme="1"/>
      <name val="Ebrima"/>
    </font>
    <font>
      <sz val="9"/>
      <name val="Ebrima"/>
    </font>
    <font>
      <sz val="9"/>
      <color rgb="FF000000"/>
      <name val="Ebrima"/>
    </font>
  </fonts>
  <fills count="10">
    <fill>
      <patternFill patternType="none"/>
    </fill>
    <fill>
      <patternFill patternType="gray125"/>
    </fill>
    <fill>
      <patternFill patternType="solid">
        <fgColor rgb="FFFFC1C1"/>
        <bgColor indexed="64"/>
      </patternFill>
    </fill>
    <fill>
      <patternFill patternType="solid">
        <fgColor rgb="FF7B0B0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/>
      <diagonal/>
    </border>
    <border>
      <left/>
      <right/>
      <top style="thin">
        <color theme="3" tint="-0.249977111117893"/>
      </top>
      <bottom/>
      <diagonal/>
    </border>
    <border>
      <left/>
      <right style="thin">
        <color theme="3" tint="-0.249977111117893"/>
      </right>
      <top style="thin">
        <color theme="3" tint="-0.249977111117893"/>
      </top>
      <bottom/>
      <diagonal/>
    </border>
    <border>
      <left style="thin">
        <color theme="3" tint="-0.249977111117893"/>
      </left>
      <right/>
      <top/>
      <bottom/>
      <diagonal/>
    </border>
    <border>
      <left/>
      <right style="thin">
        <color theme="3" tint="-0.249977111117893"/>
      </right>
      <top/>
      <bottom/>
      <diagonal/>
    </border>
    <border>
      <left style="thin">
        <color theme="3" tint="-0.249977111117893"/>
      </left>
      <right/>
      <top/>
      <bottom style="thin">
        <color theme="3" tint="-0.249977111117893"/>
      </bottom>
      <diagonal/>
    </border>
    <border>
      <left/>
      <right style="thin">
        <color theme="3" tint="-0.249977111117893"/>
      </right>
      <top/>
      <bottom style="thin">
        <color theme="3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indexed="65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 style="thin">
        <color indexed="64"/>
      </bottom>
      <diagonal/>
    </border>
    <border>
      <left style="thin">
        <color indexed="64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5"/>
      </top>
      <bottom style="thin">
        <color indexed="64"/>
      </bottom>
      <diagonal/>
    </border>
    <border>
      <left/>
      <right/>
      <top style="thin">
        <color indexed="6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2" fillId="0" borderId="0" applyFont="0" applyFill="0" applyBorder="0" applyAlignment="0" applyProtection="0"/>
    <xf numFmtId="0" fontId="24" fillId="0" borderId="0"/>
    <xf numFmtId="44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3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shrinkToFit="1" readingOrder="1"/>
    </xf>
    <xf numFmtId="0" fontId="3" fillId="0" borderId="0" xfId="0" applyFont="1" applyAlignment="1">
      <alignment horizontal="left" vertical="center" wrapText="1" shrinkToFit="1" readingOrder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 shrinkToFit="1" readingOrder="1"/>
    </xf>
    <xf numFmtId="0" fontId="7" fillId="0" borderId="0" xfId="0" applyFont="1" applyAlignment="1">
      <alignment horizontal="left" vertical="center" wrapText="1" shrinkToFit="1" readingOrder="1"/>
    </xf>
    <xf numFmtId="0" fontId="10" fillId="0" borderId="0" xfId="0" applyFont="1" applyAlignment="1">
      <alignment horizontal="left" vertical="center" wrapText="1" shrinkToFit="1" readingOrder="1"/>
    </xf>
    <xf numFmtId="0" fontId="10" fillId="0" borderId="0" xfId="0" applyFont="1" applyAlignment="1">
      <alignment horizontal="left" vertical="center" wrapText="1" indent="1" shrinkToFit="1" readingOrder="1"/>
    </xf>
    <xf numFmtId="0" fontId="8" fillId="0" borderId="0" xfId="0" applyFont="1" applyAlignment="1">
      <alignment horizontal="left" vertical="center" wrapText="1" indent="1" shrinkToFit="1" readingOrder="1"/>
    </xf>
    <xf numFmtId="0" fontId="6" fillId="0" borderId="0" xfId="0" applyFont="1" applyAlignment="1">
      <alignment horizontal="left" vertical="center" wrapText="1" indent="1" shrinkToFit="1" readingOrder="1"/>
    </xf>
    <xf numFmtId="0" fontId="1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" fillId="0" borderId="5" xfId="0" applyFont="1" applyBorder="1"/>
    <xf numFmtId="0" fontId="1" fillId="0" borderId="8" xfId="0" applyFont="1" applyBorder="1"/>
    <xf numFmtId="9" fontId="14" fillId="0" borderId="9" xfId="0" applyNumberFormat="1" applyFont="1" applyBorder="1" applyAlignment="1">
      <alignment horizontal="right"/>
    </xf>
    <xf numFmtId="0" fontId="14" fillId="0" borderId="9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left" indent="1"/>
    </xf>
    <xf numFmtId="0" fontId="1" fillId="0" borderId="10" xfId="0" applyFont="1" applyBorder="1" applyAlignment="1">
      <alignment horizontal="left"/>
    </xf>
    <xf numFmtId="0" fontId="1" fillId="0" borderId="10" xfId="0" applyFont="1" applyBorder="1"/>
    <xf numFmtId="3" fontId="4" fillId="0" borderId="0" xfId="0" applyNumberFormat="1" applyFont="1" applyAlignment="1">
      <alignment horizontal="center"/>
    </xf>
    <xf numFmtId="0" fontId="13" fillId="0" borderId="8" xfId="0" applyFont="1" applyBorder="1"/>
    <xf numFmtId="0" fontId="13" fillId="0" borderId="0" xfId="0" applyFont="1"/>
    <xf numFmtId="0" fontId="1" fillId="0" borderId="11" xfId="0" applyFont="1" applyBorder="1"/>
    <xf numFmtId="3" fontId="4" fillId="0" borderId="11" xfId="0" applyNumberFormat="1" applyFont="1" applyBorder="1" applyAlignment="1">
      <alignment horizontal="center"/>
    </xf>
    <xf numFmtId="9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9" fontId="4" fillId="0" borderId="12" xfId="0" applyNumberFormat="1" applyFont="1" applyBorder="1" applyAlignment="1">
      <alignment horizontal="center"/>
    </xf>
    <xf numFmtId="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3" fontId="15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168" fontId="16" fillId="0" borderId="0" xfId="0" applyNumberFormat="1" applyFont="1"/>
    <xf numFmtId="14" fontId="1" fillId="0" borderId="9" xfId="0" applyNumberFormat="1" applyFont="1" applyBorder="1"/>
    <xf numFmtId="41" fontId="5" fillId="0" borderId="0" xfId="0" applyNumberFormat="1" applyFont="1"/>
    <xf numFmtId="41" fontId="6" fillId="0" borderId="0" xfId="0" applyNumberFormat="1" applyFont="1" applyAlignment="1">
      <alignment horizontal="right" vertical="center" wrapText="1" shrinkToFit="1" readingOrder="1"/>
    </xf>
    <xf numFmtId="41" fontId="7" fillId="0" borderId="0" xfId="0" applyNumberFormat="1" applyFont="1" applyAlignment="1">
      <alignment horizontal="right" vertical="center" wrapText="1" shrinkToFit="1" readingOrder="1"/>
    </xf>
    <xf numFmtId="10" fontId="15" fillId="0" borderId="0" xfId="0" applyNumberFormat="1" applyFont="1" applyAlignment="1">
      <alignment horizontal="right"/>
    </xf>
    <xf numFmtId="165" fontId="13" fillId="0" borderId="1" xfId="0" applyNumberFormat="1" applyFont="1" applyBorder="1"/>
    <xf numFmtId="0" fontId="1" fillId="0" borderId="6" xfId="0" applyFont="1" applyBorder="1"/>
    <xf numFmtId="0" fontId="13" fillId="0" borderId="5" xfId="0" applyFont="1" applyBorder="1"/>
    <xf numFmtId="0" fontId="14" fillId="0" borderId="0" xfId="0" applyFont="1"/>
    <xf numFmtId="168" fontId="4" fillId="0" borderId="9" xfId="0" applyNumberFormat="1" applyFont="1" applyBorder="1" applyAlignment="1">
      <alignment horizontal="center"/>
    </xf>
    <xf numFmtId="168" fontId="15" fillId="0" borderId="9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1" fontId="19" fillId="2" borderId="0" xfId="0" applyNumberFormat="1" applyFont="1" applyFill="1" applyAlignment="1">
      <alignment horizontal="right" vertical="center" wrapText="1" shrinkToFit="1" readingOrder="1"/>
    </xf>
    <xf numFmtId="0" fontId="20" fillId="3" borderId="0" xfId="0" applyFont="1" applyFill="1" applyAlignment="1">
      <alignment horizontal="center" vertical="center" wrapText="1" shrinkToFit="1" readingOrder="1"/>
    </xf>
    <xf numFmtId="169" fontId="5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 vertical="center" wrapText="1" shrinkToFit="1" readingOrder="1"/>
    </xf>
    <xf numFmtId="166" fontId="9" fillId="0" borderId="0" xfId="0" applyNumberFormat="1" applyFont="1" applyAlignment="1">
      <alignment horizontal="center" vertical="center" wrapText="1" shrinkToFit="1" readingOrder="1"/>
    </xf>
    <xf numFmtId="0" fontId="0" fillId="0" borderId="5" xfId="0" applyBorder="1"/>
    <xf numFmtId="0" fontId="4" fillId="0" borderId="6" xfId="0" applyFont="1" applyBorder="1" applyAlignment="1">
      <alignment horizontal="center"/>
    </xf>
    <xf numFmtId="0" fontId="18" fillId="0" borderId="6" xfId="0" applyFont="1" applyBorder="1" applyAlignment="1">
      <alignment horizontal="right"/>
    </xf>
    <xf numFmtId="14" fontId="1" fillId="0" borderId="6" xfId="0" applyNumberFormat="1" applyFont="1" applyBorder="1"/>
    <xf numFmtId="0" fontId="14" fillId="0" borderId="6" xfId="0" applyFont="1" applyBorder="1"/>
    <xf numFmtId="0" fontId="0" fillId="0" borderId="8" xfId="0" applyBorder="1"/>
    <xf numFmtId="0" fontId="18" fillId="0" borderId="0" xfId="0" applyFont="1" applyAlignment="1">
      <alignment horizontal="right"/>
    </xf>
    <xf numFmtId="14" fontId="1" fillId="0" borderId="0" xfId="0" applyNumberFormat="1" applyFont="1"/>
    <xf numFmtId="0" fontId="1" fillId="0" borderId="9" xfId="0" applyFont="1" applyBorder="1"/>
    <xf numFmtId="170" fontId="14" fillId="0" borderId="0" xfId="0" applyNumberFormat="1" applyFont="1" applyAlignment="1">
      <alignment horizontal="right"/>
    </xf>
    <xf numFmtId="14" fontId="14" fillId="0" borderId="0" xfId="0" applyNumberFormat="1" applyFont="1"/>
    <xf numFmtId="8" fontId="14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/>
    </xf>
    <xf numFmtId="168" fontId="18" fillId="0" borderId="0" xfId="0" applyNumberFormat="1" applyFont="1" applyAlignment="1">
      <alignment horizontal="right"/>
    </xf>
    <xf numFmtId="0" fontId="1" fillId="0" borderId="10" xfId="0" applyFont="1" applyBorder="1" applyAlignment="1">
      <alignment horizontal="left" indent="1"/>
    </xf>
    <xf numFmtId="168" fontId="18" fillId="0" borderId="11" xfId="0" applyNumberFormat="1" applyFont="1" applyBorder="1" applyAlignment="1">
      <alignment horizontal="right"/>
    </xf>
    <xf numFmtId="14" fontId="14" fillId="0" borderId="11" xfId="0" applyNumberFormat="1" applyFont="1" applyBorder="1"/>
    <xf numFmtId="0" fontId="14" fillId="0" borderId="11" xfId="0" applyFont="1" applyBorder="1"/>
    <xf numFmtId="14" fontId="1" fillId="0" borderId="12" xfId="0" applyNumberFormat="1" applyFont="1" applyBorder="1"/>
    <xf numFmtId="14" fontId="14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41" fontId="14" fillId="0" borderId="7" xfId="0" applyNumberFormat="1" applyFont="1" applyBorder="1" applyAlignment="1">
      <alignment horizontal="right"/>
    </xf>
    <xf numFmtId="41" fontId="14" fillId="0" borderId="9" xfId="0" applyNumberFormat="1" applyFont="1" applyBorder="1" applyAlignment="1">
      <alignment horizontal="right"/>
    </xf>
    <xf numFmtId="41" fontId="14" fillId="0" borderId="12" xfId="0" applyNumberFormat="1" applyFont="1" applyBorder="1" applyAlignment="1">
      <alignment horizontal="right"/>
    </xf>
    <xf numFmtId="3" fontId="21" fillId="0" borderId="0" xfId="0" applyNumberFormat="1" applyFont="1" applyAlignment="1">
      <alignment horizontal="center"/>
    </xf>
    <xf numFmtId="3" fontId="21" fillId="0" borderId="11" xfId="0" applyNumberFormat="1" applyFont="1" applyBorder="1" applyAlignment="1">
      <alignment horizontal="center"/>
    </xf>
    <xf numFmtId="41" fontId="6" fillId="0" borderId="13" xfId="0" applyNumberFormat="1" applyFont="1" applyBorder="1" applyAlignment="1">
      <alignment horizontal="right" vertical="center" wrapText="1" shrinkToFit="1" readingOrder="1"/>
    </xf>
    <xf numFmtId="0" fontId="1" fillId="0" borderId="14" xfId="0" applyFont="1" applyBorder="1"/>
    <xf numFmtId="0" fontId="0" fillId="0" borderId="15" xfId="0" applyBorder="1"/>
    <xf numFmtId="0" fontId="1" fillId="0" borderId="16" xfId="0" applyFont="1" applyBorder="1" applyAlignment="1">
      <alignment horizontal="right"/>
    </xf>
    <xf numFmtId="0" fontId="1" fillId="0" borderId="17" xfId="0" applyFont="1" applyBorder="1"/>
    <xf numFmtId="0" fontId="1" fillId="0" borderId="18" xfId="0" applyFont="1" applyBorder="1" applyAlignment="1">
      <alignment horizontal="right"/>
    </xf>
    <xf numFmtId="3" fontId="14" fillId="0" borderId="18" xfId="0" applyNumberFormat="1" applyFont="1" applyBorder="1" applyAlignment="1">
      <alignment horizontal="right"/>
    </xf>
    <xf numFmtId="165" fontId="14" fillId="0" borderId="18" xfId="0" applyNumberFormat="1" applyFont="1" applyBorder="1" applyAlignment="1">
      <alignment horizontal="right"/>
    </xf>
    <xf numFmtId="0" fontId="1" fillId="0" borderId="17" xfId="0" applyFont="1" applyBorder="1" applyAlignment="1">
      <alignment horizontal="left" indent="1"/>
    </xf>
    <xf numFmtId="9" fontId="14" fillId="0" borderId="18" xfId="0" applyNumberFormat="1" applyFont="1" applyBorder="1" applyAlignment="1">
      <alignment horizontal="right"/>
    </xf>
    <xf numFmtId="10" fontId="14" fillId="0" borderId="18" xfId="0" applyNumberFormat="1" applyFont="1" applyBorder="1" applyAlignment="1">
      <alignment horizontal="right"/>
    </xf>
    <xf numFmtId="14" fontId="1" fillId="0" borderId="18" xfId="0" applyNumberFormat="1" applyFont="1" applyBorder="1" applyAlignment="1">
      <alignment horizontal="right"/>
    </xf>
    <xf numFmtId="0" fontId="1" fillId="0" borderId="19" xfId="0" applyFont="1" applyBorder="1"/>
    <xf numFmtId="0" fontId="0" fillId="0" borderId="13" xfId="0" applyBorder="1"/>
    <xf numFmtId="3" fontId="14" fillId="0" borderId="20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168" fontId="17" fillId="3" borderId="0" xfId="0" applyNumberFormat="1" applyFont="1" applyFill="1"/>
    <xf numFmtId="43" fontId="17" fillId="3" borderId="0" xfId="0" applyNumberFormat="1" applyFont="1" applyFill="1"/>
    <xf numFmtId="0" fontId="15" fillId="0" borderId="0" xfId="0" applyFont="1" applyAlignment="1">
      <alignment horizontal="right"/>
    </xf>
    <xf numFmtId="164" fontId="15" fillId="0" borderId="11" xfId="0" applyNumberFormat="1" applyFont="1" applyBorder="1"/>
    <xf numFmtId="0" fontId="14" fillId="0" borderId="1" xfId="0" applyFont="1" applyBorder="1" applyAlignment="1">
      <alignment horizontal="right"/>
    </xf>
    <xf numFmtId="0" fontId="24" fillId="0" borderId="0" xfId="2"/>
    <xf numFmtId="0" fontId="24" fillId="0" borderId="0" xfId="2" applyAlignment="1">
      <alignment horizontal="left"/>
    </xf>
    <xf numFmtId="0" fontId="24" fillId="0" borderId="0" xfId="2" applyAlignment="1">
      <alignment horizontal="right"/>
    </xf>
    <xf numFmtId="49" fontId="24" fillId="0" borderId="0" xfId="2" applyNumberFormat="1"/>
    <xf numFmtId="49" fontId="24" fillId="0" borderId="0" xfId="2" applyNumberFormat="1" applyAlignment="1">
      <alignment horizontal="left"/>
    </xf>
    <xf numFmtId="4" fontId="24" fillId="0" borderId="0" xfId="2" applyNumberFormat="1"/>
    <xf numFmtId="171" fontId="24" fillId="0" borderId="0" xfId="2" applyNumberFormat="1"/>
    <xf numFmtId="168" fontId="24" fillId="0" borderId="0" xfId="2" applyNumberFormat="1"/>
    <xf numFmtId="4" fontId="24" fillId="0" borderId="0" xfId="2" applyNumberFormat="1" applyAlignment="1">
      <alignment horizontal="right"/>
    </xf>
    <xf numFmtId="172" fontId="24" fillId="0" borderId="0" xfId="2" applyNumberFormat="1"/>
    <xf numFmtId="0" fontId="25" fillId="0" borderId="0" xfId="2" applyFont="1"/>
    <xf numFmtId="49" fontId="25" fillId="0" borderId="0" xfId="2" applyNumberFormat="1" applyFont="1"/>
    <xf numFmtId="49" fontId="25" fillId="0" borderId="0" xfId="2" applyNumberFormat="1" applyFont="1" applyAlignment="1">
      <alignment horizontal="left"/>
    </xf>
    <xf numFmtId="4" fontId="25" fillId="0" borderId="0" xfId="2" applyNumberFormat="1" applyFont="1"/>
    <xf numFmtId="171" fontId="25" fillId="0" borderId="0" xfId="2" applyNumberFormat="1" applyFont="1"/>
    <xf numFmtId="168" fontId="25" fillId="0" borderId="0" xfId="2" applyNumberFormat="1" applyFont="1"/>
    <xf numFmtId="4" fontId="25" fillId="0" borderId="0" xfId="2" applyNumberFormat="1" applyFont="1" applyAlignment="1">
      <alignment horizontal="right"/>
    </xf>
    <xf numFmtId="0" fontId="25" fillId="0" borderId="0" xfId="2" applyFont="1" applyAlignment="1">
      <alignment horizontal="right"/>
    </xf>
    <xf numFmtId="0" fontId="23" fillId="0" borderId="22" xfId="2" applyFont="1" applyBorder="1"/>
    <xf numFmtId="49" fontId="23" fillId="0" borderId="22" xfId="2" applyNumberFormat="1" applyFont="1" applyBorder="1"/>
    <xf numFmtId="49" fontId="23" fillId="0" borderId="22" xfId="2" applyNumberFormat="1" applyFont="1" applyBorder="1" applyAlignment="1">
      <alignment horizontal="left"/>
    </xf>
    <xf numFmtId="4" fontId="23" fillId="0" borderId="22" xfId="2" applyNumberFormat="1" applyFont="1" applyBorder="1"/>
    <xf numFmtId="171" fontId="23" fillId="0" borderId="22" xfId="2" applyNumberFormat="1" applyFont="1" applyBorder="1"/>
    <xf numFmtId="168" fontId="23" fillId="0" borderId="22" xfId="2" applyNumberFormat="1" applyFont="1" applyBorder="1"/>
    <xf numFmtId="4" fontId="23" fillId="0" borderId="22" xfId="2" applyNumberFormat="1" applyFont="1" applyBorder="1" applyAlignment="1">
      <alignment horizontal="right"/>
    </xf>
    <xf numFmtId="0" fontId="23" fillId="0" borderId="22" xfId="2" applyFont="1" applyBorder="1" applyAlignment="1">
      <alignment horizontal="right"/>
    </xf>
    <xf numFmtId="172" fontId="23" fillId="0" borderId="22" xfId="2" applyNumberFormat="1" applyFont="1" applyBorder="1"/>
    <xf numFmtId="0" fontId="23" fillId="0" borderId="0" xfId="2" applyFont="1"/>
    <xf numFmtId="49" fontId="23" fillId="0" borderId="0" xfId="2" applyNumberFormat="1" applyFont="1"/>
    <xf numFmtId="49" fontId="23" fillId="0" borderId="0" xfId="2" applyNumberFormat="1" applyFont="1" applyAlignment="1">
      <alignment horizontal="left"/>
    </xf>
    <xf numFmtId="4" fontId="23" fillId="0" borderId="0" xfId="2" applyNumberFormat="1" applyFont="1"/>
    <xf numFmtId="171" fontId="23" fillId="0" borderId="0" xfId="2" applyNumberFormat="1" applyFont="1"/>
    <xf numFmtId="168" fontId="23" fillId="0" borderId="0" xfId="2" applyNumberFormat="1" applyFont="1"/>
    <xf numFmtId="4" fontId="23" fillId="0" borderId="0" xfId="2" applyNumberFormat="1" applyFont="1" applyAlignment="1">
      <alignment horizontal="right"/>
    </xf>
    <xf numFmtId="0" fontId="23" fillId="0" borderId="0" xfId="2" applyFont="1" applyAlignment="1">
      <alignment horizontal="right"/>
    </xf>
    <xf numFmtId="172" fontId="23" fillId="0" borderId="0" xfId="2" applyNumberFormat="1" applyFont="1"/>
    <xf numFmtId="0" fontId="23" fillId="0" borderId="23" xfId="2" applyFont="1" applyBorder="1"/>
    <xf numFmtId="49" fontId="23" fillId="0" borderId="23" xfId="2" applyNumberFormat="1" applyFont="1" applyBorder="1"/>
    <xf numFmtId="49" fontId="23" fillId="0" borderId="23" xfId="2" applyNumberFormat="1" applyFont="1" applyBorder="1" applyAlignment="1">
      <alignment horizontal="left"/>
    </xf>
    <xf numFmtId="4" fontId="23" fillId="0" borderId="23" xfId="2" applyNumberFormat="1" applyFont="1" applyBorder="1"/>
    <xf numFmtId="171" fontId="23" fillId="0" borderId="23" xfId="2" applyNumberFormat="1" applyFont="1" applyBorder="1"/>
    <xf numFmtId="168" fontId="23" fillId="0" borderId="23" xfId="2" applyNumberFormat="1" applyFont="1" applyBorder="1"/>
    <xf numFmtId="4" fontId="23" fillId="0" borderId="23" xfId="2" applyNumberFormat="1" applyFont="1" applyBorder="1" applyAlignment="1">
      <alignment horizontal="right"/>
    </xf>
    <xf numFmtId="0" fontId="23" fillId="0" borderId="23" xfId="2" applyFont="1" applyBorder="1" applyAlignment="1">
      <alignment horizontal="right"/>
    </xf>
    <xf numFmtId="172" fontId="23" fillId="0" borderId="23" xfId="2" applyNumberFormat="1" applyFont="1" applyBorder="1"/>
    <xf numFmtId="171" fontId="24" fillId="0" borderId="0" xfId="2" applyNumberFormat="1" applyAlignment="1">
      <alignment horizontal="left"/>
    </xf>
    <xf numFmtId="173" fontId="0" fillId="0" borderId="0" xfId="1" applyNumberFormat="1" applyFont="1" applyAlignment="1">
      <alignment horizontal="right"/>
    </xf>
    <xf numFmtId="174" fontId="24" fillId="0" borderId="0" xfId="2" applyNumberFormat="1" applyAlignment="1">
      <alignment horizontal="left"/>
    </xf>
    <xf numFmtId="0" fontId="24" fillId="0" borderId="0" xfId="2" applyAlignment="1">
      <alignment wrapText="1"/>
    </xf>
    <xf numFmtId="0" fontId="1" fillId="0" borderId="0" xfId="2" applyFont="1" applyAlignment="1">
      <alignment horizontal="center"/>
    </xf>
    <xf numFmtId="0" fontId="1" fillId="0" borderId="0" xfId="2" applyFont="1"/>
    <xf numFmtId="1" fontId="1" fillId="0" borderId="0" xfId="2" applyNumberFormat="1" applyFont="1"/>
    <xf numFmtId="0" fontId="26" fillId="0" borderId="0" xfId="2" applyFont="1"/>
    <xf numFmtId="0" fontId="23" fillId="0" borderId="24" xfId="2" applyFont="1" applyBorder="1"/>
    <xf numFmtId="0" fontId="23" fillId="0" borderId="24" xfId="2" applyFont="1" applyBorder="1" applyAlignment="1">
      <alignment horizontal="center"/>
    </xf>
    <xf numFmtId="0" fontId="23" fillId="0" borderId="25" xfId="2" applyFont="1" applyBorder="1" applyAlignment="1">
      <alignment horizontal="center"/>
    </xf>
    <xf numFmtId="0" fontId="23" fillId="0" borderId="21" xfId="2" applyFont="1" applyBorder="1" applyAlignment="1">
      <alignment horizontal="right"/>
    </xf>
    <xf numFmtId="0" fontId="26" fillId="0" borderId="0" xfId="2" applyFont="1" applyAlignment="1">
      <alignment horizontal="right"/>
    </xf>
    <xf numFmtId="0" fontId="23" fillId="0" borderId="1" xfId="2" applyFont="1" applyBorder="1"/>
    <xf numFmtId="0" fontId="23" fillId="0" borderId="26" xfId="2" applyFont="1" applyBorder="1"/>
    <xf numFmtId="0" fontId="23" fillId="0" borderId="2" xfId="2" applyFont="1" applyBorder="1" applyAlignment="1">
      <alignment horizontal="center"/>
    </xf>
    <xf numFmtId="165" fontId="27" fillId="0" borderId="3" xfId="2" applyNumberFormat="1" applyFont="1" applyBorder="1" applyAlignment="1">
      <alignment horizontal="right"/>
    </xf>
    <xf numFmtId="165" fontId="27" fillId="0" borderId="1" xfId="2" applyNumberFormat="1" applyFont="1" applyBorder="1" applyAlignment="1">
      <alignment horizontal="right"/>
    </xf>
    <xf numFmtId="0" fontId="23" fillId="0" borderId="27" xfId="2" applyFont="1" applyBorder="1"/>
    <xf numFmtId="0" fontId="23" fillId="4" borderId="27" xfId="2" applyFont="1" applyFill="1" applyBorder="1"/>
    <xf numFmtId="0" fontId="23" fillId="4" borderId="28" xfId="2" applyFont="1" applyFill="1" applyBorder="1"/>
    <xf numFmtId="0" fontId="23" fillId="4" borderId="8" xfId="2" applyFont="1" applyFill="1" applyBorder="1" applyAlignment="1">
      <alignment horizontal="center"/>
    </xf>
    <xf numFmtId="165" fontId="27" fillId="4" borderId="0" xfId="2" applyNumberFormat="1" applyFont="1" applyFill="1" applyAlignment="1">
      <alignment horizontal="right"/>
    </xf>
    <xf numFmtId="165" fontId="27" fillId="4" borderId="27" xfId="2" applyNumberFormat="1" applyFont="1" applyFill="1" applyBorder="1" applyAlignment="1">
      <alignment horizontal="right"/>
    </xf>
    <xf numFmtId="0" fontId="23" fillId="0" borderId="29" xfId="2" applyFont="1" applyBorder="1"/>
    <xf numFmtId="0" fontId="23" fillId="0" borderId="30" xfId="2" applyFont="1" applyBorder="1"/>
    <xf numFmtId="0" fontId="28" fillId="0" borderId="31" xfId="2" applyFont="1" applyBorder="1" applyAlignment="1">
      <alignment horizontal="center"/>
    </xf>
    <xf numFmtId="165" fontId="27" fillId="0" borderId="32" xfId="2" applyNumberFormat="1" applyFont="1" applyBorder="1" applyAlignment="1">
      <alignment horizontal="right"/>
    </xf>
    <xf numFmtId="165" fontId="27" fillId="0" borderId="29" xfId="2" applyNumberFormat="1" applyFont="1" applyBorder="1" applyAlignment="1">
      <alignment horizontal="right"/>
    </xf>
    <xf numFmtId="0" fontId="23" fillId="5" borderId="29" xfId="2" applyFont="1" applyFill="1" applyBorder="1"/>
    <xf numFmtId="0" fontId="28" fillId="5" borderId="31" xfId="2" applyFont="1" applyFill="1" applyBorder="1" applyAlignment="1">
      <alignment horizontal="center"/>
    </xf>
    <xf numFmtId="165" fontId="27" fillId="5" borderId="32" xfId="2" applyNumberFormat="1" applyFont="1" applyFill="1" applyBorder="1" applyAlignment="1">
      <alignment horizontal="right"/>
    </xf>
    <xf numFmtId="165" fontId="27" fillId="5" borderId="29" xfId="2" applyNumberFormat="1" applyFont="1" applyFill="1" applyBorder="1" applyAlignment="1">
      <alignment horizontal="right"/>
    </xf>
    <xf numFmtId="0" fontId="23" fillId="5" borderId="30" xfId="2" applyFont="1" applyFill="1" applyBorder="1"/>
    <xf numFmtId="0" fontId="28" fillId="5" borderId="33" xfId="2" applyFont="1" applyFill="1" applyBorder="1" applyAlignment="1">
      <alignment horizontal="center"/>
    </xf>
    <xf numFmtId="165" fontId="27" fillId="5" borderId="34" xfId="2" applyNumberFormat="1" applyFont="1" applyFill="1" applyBorder="1" applyAlignment="1">
      <alignment horizontal="right"/>
    </xf>
    <xf numFmtId="165" fontId="27" fillId="5" borderId="30" xfId="2" applyNumberFormat="1" applyFont="1" applyFill="1" applyBorder="1" applyAlignment="1">
      <alignment horizontal="right"/>
    </xf>
    <xf numFmtId="0" fontId="26" fillId="0" borderId="0" xfId="2" applyFont="1" applyAlignment="1">
      <alignment horizontal="center"/>
    </xf>
    <xf numFmtId="1" fontId="26" fillId="0" borderId="0" xfId="2" applyNumberFormat="1" applyFont="1"/>
    <xf numFmtId="41" fontId="6" fillId="0" borderId="3" xfId="0" applyNumberFormat="1" applyFont="1" applyBorder="1" applyAlignment="1">
      <alignment horizontal="right" vertical="center" wrapText="1" shrinkToFit="1" readingOrder="1"/>
    </xf>
    <xf numFmtId="10" fontId="5" fillId="0" borderId="0" xfId="0" applyNumberFormat="1" applyFont="1"/>
    <xf numFmtId="8" fontId="1" fillId="0" borderId="9" xfId="0" applyNumberFormat="1" applyFont="1" applyBorder="1"/>
    <xf numFmtId="14" fontId="1" fillId="0" borderId="7" xfId="0" applyNumberFormat="1" applyFont="1" applyBorder="1" applyAlignment="1">
      <alignment horizontal="right"/>
    </xf>
    <xf numFmtId="14" fontId="1" fillId="0" borderId="9" xfId="0" applyNumberFormat="1" applyFont="1" applyBorder="1" applyAlignment="1">
      <alignment horizontal="right"/>
    </xf>
    <xf numFmtId="175" fontId="15" fillId="6" borderId="0" xfId="0" applyNumberFormat="1" applyFont="1" applyFill="1"/>
    <xf numFmtId="176" fontId="4" fillId="0" borderId="0" xfId="0" applyNumberFormat="1" applyFont="1" applyAlignment="1">
      <alignment horizontal="center"/>
    </xf>
    <xf numFmtId="0" fontId="4" fillId="0" borderId="1" xfId="0" applyFont="1" applyBorder="1"/>
    <xf numFmtId="14" fontId="4" fillId="0" borderId="0" xfId="0" applyNumberFormat="1" applyFont="1" applyAlignment="1">
      <alignment horizontal="center"/>
    </xf>
    <xf numFmtId="0" fontId="29" fillId="0" borderId="2" xfId="0" applyFont="1" applyBorder="1" applyAlignment="1">
      <alignment horizontal="center"/>
    </xf>
    <xf numFmtId="9" fontId="30" fillId="0" borderId="3" xfId="4" applyFont="1" applyBorder="1"/>
    <xf numFmtId="0" fontId="4" fillId="0" borderId="4" xfId="0" applyFont="1" applyBorder="1"/>
    <xf numFmtId="0" fontId="4" fillId="0" borderId="0" xfId="0" applyFont="1" applyAlignment="1">
      <alignment horizontal="right"/>
    </xf>
    <xf numFmtId="41" fontId="4" fillId="7" borderId="1" xfId="3" applyNumberFormat="1" applyFont="1" applyFill="1" applyBorder="1"/>
    <xf numFmtId="0" fontId="4" fillId="7" borderId="0" xfId="0" applyFont="1" applyFill="1"/>
    <xf numFmtId="0" fontId="32" fillId="0" borderId="21" xfId="0" applyFont="1" applyBorder="1" applyAlignment="1">
      <alignment horizontal="center"/>
    </xf>
    <xf numFmtId="3" fontId="33" fillId="0" borderId="7" xfId="4" applyNumberFormat="1" applyFont="1" applyBorder="1" applyAlignment="1">
      <alignment horizontal="center"/>
    </xf>
    <xf numFmtId="0" fontId="4" fillId="0" borderId="9" xfId="0" applyFont="1" applyBorder="1"/>
    <xf numFmtId="0" fontId="32" fillId="0" borderId="8" xfId="0" applyFont="1" applyBorder="1"/>
    <xf numFmtId="169" fontId="34" fillId="0" borderId="0" xfId="0" applyNumberFormat="1" applyFont="1" applyAlignment="1">
      <alignment horizontal="center"/>
    </xf>
    <xf numFmtId="169" fontId="34" fillId="0" borderId="9" xfId="0" applyNumberFormat="1" applyFont="1" applyBorder="1" applyAlignment="1">
      <alignment horizontal="center"/>
    </xf>
    <xf numFmtId="166" fontId="35" fillId="0" borderId="1" xfId="0" applyNumberFormat="1" applyFont="1" applyBorder="1"/>
    <xf numFmtId="41" fontId="4" fillId="5" borderId="0" xfId="3" applyNumberFormat="1" applyFont="1" applyFill="1" applyBorder="1"/>
    <xf numFmtId="41" fontId="4" fillId="5" borderId="0" xfId="3" applyNumberFormat="1" applyFont="1" applyFill="1"/>
    <xf numFmtId="0" fontId="4" fillId="0" borderId="5" xfId="0" applyFont="1" applyBorder="1"/>
    <xf numFmtId="9" fontId="36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3" fontId="35" fillId="0" borderId="0" xfId="0" applyNumberFormat="1" applyFont="1" applyAlignment="1">
      <alignment horizontal="center"/>
    </xf>
    <xf numFmtId="3" fontId="37" fillId="0" borderId="9" xfId="0" applyNumberFormat="1" applyFont="1" applyBorder="1" applyAlignment="1">
      <alignment horizontal="center"/>
    </xf>
    <xf numFmtId="169" fontId="38" fillId="0" borderId="0" xfId="0" applyNumberFormat="1" applyFont="1"/>
    <xf numFmtId="9" fontId="36" fillId="0" borderId="0" xfId="0" applyNumberFormat="1" applyFont="1"/>
    <xf numFmtId="3" fontId="39" fillId="0" borderId="1" xfId="0" applyNumberFormat="1" applyFont="1" applyBorder="1" applyAlignment="1">
      <alignment horizontal="center"/>
    </xf>
    <xf numFmtId="0" fontId="29" fillId="0" borderId="0" xfId="0" applyFont="1"/>
    <xf numFmtId="41" fontId="4" fillId="6" borderId="0" xfId="0" applyNumberFormat="1" applyFont="1" applyFill="1"/>
    <xf numFmtId="0" fontId="4" fillId="0" borderId="8" xfId="0" applyFont="1" applyBorder="1" applyAlignment="1">
      <alignment horizontal="left" indent="1"/>
    </xf>
    <xf numFmtId="10" fontId="37" fillId="0" borderId="9" xfId="0" applyNumberFormat="1" applyFont="1" applyBorder="1"/>
    <xf numFmtId="41" fontId="4" fillId="0" borderId="0" xfId="0" applyNumberFormat="1" applyFont="1"/>
    <xf numFmtId="0" fontId="29" fillId="0" borderId="8" xfId="0" applyFont="1" applyBorder="1" applyAlignment="1">
      <alignment horizontal="left"/>
    </xf>
    <xf numFmtId="168" fontId="37" fillId="0" borderId="9" xfId="0" applyNumberFormat="1" applyFont="1" applyBorder="1"/>
    <xf numFmtId="0" fontId="4" fillId="0" borderId="0" xfId="0" applyFont="1" applyAlignment="1">
      <alignment horizontal="left" indent="1"/>
    </xf>
    <xf numFmtId="41" fontId="40" fillId="0" borderId="0" xfId="0" applyNumberFormat="1" applyFont="1"/>
    <xf numFmtId="166" fontId="41" fillId="0" borderId="9" xfId="0" applyNumberFormat="1" applyFont="1" applyBorder="1"/>
    <xf numFmtId="0" fontId="2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1" fontId="4" fillId="0" borderId="11" xfId="0" applyNumberFormat="1" applyFont="1" applyBorder="1"/>
    <xf numFmtId="173" fontId="39" fillId="0" borderId="0" xfId="1" applyNumberFormat="1" applyFont="1" applyFill="1"/>
    <xf numFmtId="10" fontId="36" fillId="0" borderId="0" xfId="0" applyNumberFormat="1" applyFont="1"/>
    <xf numFmtId="10" fontId="36" fillId="0" borderId="9" xfId="0" applyNumberFormat="1" applyFont="1" applyBorder="1"/>
    <xf numFmtId="177" fontId="37" fillId="0" borderId="9" xfId="0" applyNumberFormat="1" applyFont="1" applyBorder="1"/>
    <xf numFmtId="9" fontId="36" fillId="0" borderId="9" xfId="0" applyNumberFormat="1" applyFont="1" applyBorder="1"/>
    <xf numFmtId="177" fontId="35" fillId="0" borderId="9" xfId="0" applyNumberFormat="1" applyFont="1" applyBorder="1"/>
    <xf numFmtId="168" fontId="4" fillId="0" borderId="0" xfId="0" applyNumberFormat="1" applyFont="1"/>
    <xf numFmtId="9" fontId="4" fillId="0" borderId="0" xfId="0" applyNumberFormat="1" applyFont="1"/>
    <xf numFmtId="178" fontId="4" fillId="0" borderId="0" xfId="0" applyNumberFormat="1" applyFont="1"/>
    <xf numFmtId="0" fontId="4" fillId="0" borderId="10" xfId="0" applyFont="1" applyBorder="1"/>
    <xf numFmtId="3" fontId="0" fillId="0" borderId="11" xfId="0" applyNumberFormat="1" applyBorder="1" applyAlignment="1">
      <alignment horizontal="center"/>
    </xf>
    <xf numFmtId="0" fontId="4" fillId="0" borderId="12" xfId="0" applyFont="1" applyBorder="1"/>
    <xf numFmtId="10" fontId="37" fillId="0" borderId="9" xfId="0" applyNumberFormat="1" applyFont="1" applyBorder="1" applyAlignment="1">
      <alignment horizontal="center"/>
    </xf>
    <xf numFmtId="10" fontId="4" fillId="0" borderId="0" xfId="0" applyNumberFormat="1" applyFont="1"/>
    <xf numFmtId="0" fontId="4" fillId="0" borderId="6" xfId="0" applyFont="1" applyBorder="1" applyAlignment="1">
      <alignment horizontal="right"/>
    </xf>
    <xf numFmtId="173" fontId="39" fillId="0" borderId="6" xfId="1" applyNumberFormat="1" applyFont="1" applyFill="1" applyBorder="1"/>
    <xf numFmtId="3" fontId="4" fillId="0" borderId="0" xfId="0" applyNumberFormat="1" applyFont="1"/>
    <xf numFmtId="0" fontId="29" fillId="0" borderId="8" xfId="0" applyFont="1" applyBorder="1"/>
    <xf numFmtId="0" fontId="35" fillId="0" borderId="9" xfId="0" applyFont="1" applyBorder="1"/>
    <xf numFmtId="0" fontId="4" fillId="0" borderId="11" xfId="0" applyFont="1" applyBorder="1" applyAlignment="1">
      <alignment horizontal="right"/>
    </xf>
    <xf numFmtId="173" fontId="39" fillId="0" borderId="11" xfId="1" applyNumberFormat="1" applyFont="1" applyFill="1" applyBorder="1"/>
    <xf numFmtId="8" fontId="4" fillId="0" borderId="0" xfId="0" applyNumberFormat="1" applyFont="1"/>
    <xf numFmtId="3" fontId="34" fillId="0" borderId="0" xfId="0" applyNumberFormat="1" applyFont="1" applyAlignment="1">
      <alignment horizontal="center"/>
    </xf>
    <xf numFmtId="4" fontId="37" fillId="0" borderId="9" xfId="0" applyNumberFormat="1" applyFont="1" applyBorder="1"/>
    <xf numFmtId="9" fontId="37" fillId="0" borderId="9" xfId="0" applyNumberFormat="1" applyFont="1" applyBorder="1"/>
    <xf numFmtId="3" fontId="34" fillId="0" borderId="11" xfId="0" applyNumberFormat="1" applyFont="1" applyBorder="1" applyAlignment="1">
      <alignment horizontal="center"/>
    </xf>
    <xf numFmtId="41" fontId="41" fillId="0" borderId="1" xfId="0" applyNumberFormat="1" applyFont="1" applyBorder="1"/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173" fontId="4" fillId="0" borderId="3" xfId="0" applyNumberFormat="1" applyFont="1" applyBorder="1"/>
    <xf numFmtId="173" fontId="4" fillId="0" borderId="0" xfId="0" applyNumberFormat="1" applyFont="1"/>
    <xf numFmtId="0" fontId="31" fillId="0" borderId="0" xfId="0" applyFont="1" applyAlignment="1">
      <alignment horizontal="right"/>
    </xf>
    <xf numFmtId="173" fontId="4" fillId="0" borderId="11" xfId="0" applyNumberFormat="1" applyFont="1" applyBorder="1"/>
    <xf numFmtId="43" fontId="4" fillId="0" borderId="0" xfId="0" applyNumberFormat="1" applyFont="1"/>
    <xf numFmtId="0" fontId="7" fillId="0" borderId="0" xfId="2" applyFont="1"/>
    <xf numFmtId="3" fontId="7" fillId="0" borderId="0" xfId="2" applyNumberFormat="1" applyFont="1"/>
    <xf numFmtId="0" fontId="42" fillId="0" borderId="0" xfId="2" applyFont="1"/>
    <xf numFmtId="9" fontId="42" fillId="0" borderId="0" xfId="2" applyNumberFormat="1" applyFont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2" xfId="2" applyFont="1" applyBorder="1"/>
    <xf numFmtId="9" fontId="7" fillId="8" borderId="4" xfId="2" applyNumberFormat="1" applyFont="1" applyFill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7" fillId="0" borderId="0" xfId="2" applyFont="1" applyAlignment="1">
      <alignment horizontal="center"/>
    </xf>
    <xf numFmtId="9" fontId="7" fillId="0" borderId="5" xfId="2" applyNumberFormat="1" applyFont="1" applyBorder="1"/>
    <xf numFmtId="0" fontId="7" fillId="0" borderId="8" xfId="2" applyFont="1" applyBorder="1"/>
    <xf numFmtId="0" fontId="7" fillId="0" borderId="10" xfId="2" applyFont="1" applyBorder="1"/>
    <xf numFmtId="6" fontId="7" fillId="0" borderId="6" xfId="2" applyNumberFormat="1" applyFont="1" applyBorder="1" applyAlignment="1">
      <alignment horizontal="center"/>
    </xf>
    <xf numFmtId="8" fontId="42" fillId="0" borderId="7" xfId="2" applyNumberFormat="1" applyFont="1" applyBorder="1"/>
    <xf numFmtId="9" fontId="42" fillId="0" borderId="27" xfId="2" applyNumberFormat="1" applyFont="1" applyBorder="1" applyAlignment="1">
      <alignment horizontal="center"/>
    </xf>
    <xf numFmtId="10" fontId="7" fillId="0" borderId="2" xfId="2" applyNumberFormat="1" applyFont="1" applyBorder="1"/>
    <xf numFmtId="10" fontId="7" fillId="0" borderId="3" xfId="2" applyNumberFormat="1" applyFont="1" applyBorder="1"/>
    <xf numFmtId="10" fontId="7" fillId="0" borderId="4" xfId="2" applyNumberFormat="1" applyFont="1" applyBorder="1"/>
    <xf numFmtId="9" fontId="7" fillId="0" borderId="21" xfId="2" applyNumberFormat="1" applyFont="1" applyBorder="1" applyAlignment="1">
      <alignment horizontal="left"/>
    </xf>
    <xf numFmtId="0" fontId="7" fillId="0" borderId="27" xfId="2" applyFont="1" applyBorder="1" applyAlignment="1">
      <alignment horizontal="left"/>
    </xf>
    <xf numFmtId="0" fontId="7" fillId="0" borderId="35" xfId="2" applyFont="1" applyBorder="1" applyAlignment="1">
      <alignment horizontal="left"/>
    </xf>
    <xf numFmtId="0" fontId="7" fillId="0" borderId="5" xfId="2" applyFont="1" applyBorder="1" applyAlignment="1">
      <alignment horizontal="center"/>
    </xf>
    <xf numFmtId="3" fontId="7" fillId="0" borderId="6" xfId="2" applyNumberFormat="1" applyFont="1" applyBorder="1" applyAlignment="1">
      <alignment horizontal="center"/>
    </xf>
    <xf numFmtId="6" fontId="7" fillId="0" borderId="0" xfId="2" applyNumberFormat="1" applyFont="1" applyAlignment="1">
      <alignment horizontal="center"/>
    </xf>
    <xf numFmtId="8" fontId="42" fillId="0" borderId="9" xfId="2" applyNumberFormat="1" applyFont="1" applyBorder="1"/>
    <xf numFmtId="0" fontId="7" fillId="0" borderId="8" xfId="2" applyFont="1" applyBorder="1" applyAlignment="1">
      <alignment horizontal="center"/>
    </xf>
    <xf numFmtId="6" fontId="7" fillId="0" borderId="11" xfId="2" applyNumberFormat="1" applyFont="1" applyBorder="1" applyAlignment="1">
      <alignment horizontal="center"/>
    </xf>
    <xf numFmtId="8" fontId="42" fillId="0" borderId="12" xfId="2" applyNumberFormat="1" applyFont="1" applyBorder="1"/>
    <xf numFmtId="9" fontId="42" fillId="0" borderId="35" xfId="2" applyNumberFormat="1" applyFont="1" applyBorder="1" applyAlignment="1">
      <alignment horizontal="center"/>
    </xf>
    <xf numFmtId="0" fontId="7" fillId="0" borderId="10" xfId="2" applyFont="1" applyBorder="1" applyAlignment="1">
      <alignment horizontal="center"/>
    </xf>
    <xf numFmtId="3" fontId="7" fillId="0" borderId="11" xfId="2" applyNumberFormat="1" applyFont="1" applyBorder="1" applyAlignment="1">
      <alignment horizontal="center"/>
    </xf>
    <xf numFmtId="0" fontId="7" fillId="0" borderId="11" xfId="2" applyFont="1" applyBorder="1" applyAlignment="1">
      <alignment horizontal="center"/>
    </xf>
    <xf numFmtId="9" fontId="7" fillId="0" borderId="0" xfId="2" applyNumberFormat="1" applyFont="1"/>
    <xf numFmtId="0" fontId="42" fillId="0" borderId="0" xfId="2" applyFont="1" applyAlignment="1">
      <alignment horizontal="center"/>
    </xf>
    <xf numFmtId="179" fontId="14" fillId="0" borderId="9" xfId="0" applyNumberFormat="1" applyFont="1" applyBorder="1" applyAlignment="1">
      <alignment horizontal="right"/>
    </xf>
    <xf numFmtId="3" fontId="7" fillId="0" borderId="0" xfId="2" applyNumberFormat="1" applyFont="1" applyAlignment="1">
      <alignment horizontal="center"/>
    </xf>
    <xf numFmtId="6" fontId="7" fillId="0" borderId="21" xfId="2" applyNumberFormat="1" applyFont="1" applyBorder="1"/>
    <xf numFmtId="6" fontId="7" fillId="0" borderId="27" xfId="2" applyNumberFormat="1" applyFont="1" applyBorder="1"/>
    <xf numFmtId="6" fontId="7" fillId="0" borderId="35" xfId="2" applyNumberFormat="1" applyFont="1" applyBorder="1"/>
    <xf numFmtId="9" fontId="7" fillId="0" borderId="7" xfId="2" applyNumberFormat="1" applyFont="1" applyBorder="1" applyAlignment="1">
      <alignment horizontal="center"/>
    </xf>
    <xf numFmtId="9" fontId="7" fillId="0" borderId="9" xfId="2" applyNumberFormat="1" applyFont="1" applyBorder="1" applyAlignment="1">
      <alignment horizontal="center"/>
    </xf>
    <xf numFmtId="9" fontId="7" fillId="0" borderId="12" xfId="2" applyNumberFormat="1" applyFont="1" applyBorder="1" applyAlignment="1">
      <alignment horizontal="center"/>
    </xf>
    <xf numFmtId="8" fontId="7" fillId="0" borderId="0" xfId="2" applyNumberFormat="1" applyFont="1" applyAlignment="1">
      <alignment horizontal="center"/>
    </xf>
    <xf numFmtId="8" fontId="7" fillId="0" borderId="21" xfId="2" applyNumberFormat="1" applyFont="1" applyBorder="1"/>
    <xf numFmtId="8" fontId="7" fillId="0" borderId="27" xfId="2" applyNumberFormat="1" applyFont="1" applyBorder="1"/>
    <xf numFmtId="8" fontId="7" fillId="0" borderId="35" xfId="2" applyNumberFormat="1" applyFont="1" applyBorder="1"/>
    <xf numFmtId="10" fontId="7" fillId="0" borderId="3" xfId="2" applyNumberFormat="1" applyFont="1" applyBorder="1" applyAlignment="1">
      <alignment horizontal="center"/>
    </xf>
    <xf numFmtId="180" fontId="4" fillId="0" borderId="11" xfId="0" applyNumberFormat="1" applyFont="1" applyBorder="1"/>
    <xf numFmtId="10" fontId="4" fillId="0" borderId="0" xfId="0" applyNumberFormat="1" applyFont="1" applyAlignment="1">
      <alignment horizontal="center"/>
    </xf>
    <xf numFmtId="0" fontId="31" fillId="0" borderId="0" xfId="0" applyFont="1"/>
    <xf numFmtId="0" fontId="7" fillId="9" borderId="3" xfId="2" applyFont="1" applyFill="1" applyBorder="1"/>
    <xf numFmtId="6" fontId="7" fillId="9" borderId="3" xfId="2" applyNumberFormat="1" applyFont="1" applyFill="1" applyBorder="1"/>
    <xf numFmtId="9" fontId="42" fillId="9" borderId="0" xfId="2" applyNumberFormat="1" applyFont="1" applyFill="1" applyAlignment="1">
      <alignment horizontal="center"/>
    </xf>
    <xf numFmtId="0" fontId="7" fillId="9" borderId="1" xfId="2" applyFont="1" applyFill="1" applyBorder="1" applyAlignment="1">
      <alignment horizontal="center"/>
    </xf>
    <xf numFmtId="0" fontId="7" fillId="9" borderId="1" xfId="2" applyFont="1" applyFill="1" applyBorder="1"/>
    <xf numFmtId="0" fontId="42" fillId="9" borderId="1" xfId="2" applyFont="1" applyFill="1" applyBorder="1"/>
    <xf numFmtId="0" fontId="7" fillId="9" borderId="2" xfId="2" applyFont="1" applyFill="1" applyBorder="1"/>
    <xf numFmtId="0" fontId="3" fillId="9" borderId="2" xfId="2" applyFont="1" applyFill="1" applyBorder="1"/>
    <xf numFmtId="10" fontId="7" fillId="0" borderId="21" xfId="2" applyNumberFormat="1" applyFont="1" applyBorder="1" applyAlignment="1">
      <alignment horizontal="center"/>
    </xf>
    <xf numFmtId="10" fontId="7" fillId="0" borderId="27" xfId="2" applyNumberFormat="1" applyFont="1" applyBorder="1" applyAlignment="1">
      <alignment horizontal="center"/>
    </xf>
    <xf numFmtId="10" fontId="7" fillId="0" borderId="35" xfId="2" applyNumberFormat="1" applyFont="1" applyBorder="1" applyAlignment="1">
      <alignment horizontal="center"/>
    </xf>
    <xf numFmtId="3" fontId="7" fillId="0" borderId="21" xfId="2" applyNumberFormat="1" applyFont="1" applyBorder="1" applyAlignment="1">
      <alignment horizontal="center"/>
    </xf>
    <xf numFmtId="3" fontId="7" fillId="0" borderId="27" xfId="2" applyNumberFormat="1" applyFont="1" applyBorder="1" applyAlignment="1">
      <alignment horizontal="center"/>
    </xf>
    <xf numFmtId="3" fontId="7" fillId="0" borderId="35" xfId="2" applyNumberFormat="1" applyFont="1" applyBorder="1" applyAlignment="1">
      <alignment horizontal="center"/>
    </xf>
    <xf numFmtId="3" fontId="7" fillId="9" borderId="1" xfId="2" applyNumberFormat="1" applyFont="1" applyFill="1" applyBorder="1" applyAlignment="1">
      <alignment horizontal="center"/>
    </xf>
    <xf numFmtId="0" fontId="7" fillId="9" borderId="3" xfId="2" applyFont="1" applyFill="1" applyBorder="1" applyAlignment="1">
      <alignment horizontal="center"/>
    </xf>
    <xf numFmtId="15" fontId="7" fillId="0" borderId="6" xfId="2" applyNumberFormat="1" applyFont="1" applyBorder="1" applyAlignment="1">
      <alignment horizontal="center"/>
    </xf>
    <xf numFmtId="15" fontId="7" fillId="0" borderId="0" xfId="2" applyNumberFormat="1" applyFont="1" applyAlignment="1">
      <alignment horizontal="center"/>
    </xf>
    <xf numFmtId="15" fontId="7" fillId="0" borderId="11" xfId="2" applyNumberFormat="1" applyFont="1" applyBorder="1" applyAlignment="1">
      <alignment horizontal="center"/>
    </xf>
    <xf numFmtId="0" fontId="7" fillId="0" borderId="21" xfId="2" applyFont="1" applyBorder="1"/>
    <xf numFmtId="0" fontId="7" fillId="0" borderId="27" xfId="2" applyFont="1" applyBorder="1"/>
    <xf numFmtId="0" fontId="7" fillId="0" borderId="35" xfId="2" applyFont="1" applyBorder="1"/>
    <xf numFmtId="168" fontId="7" fillId="9" borderId="1" xfId="2" applyNumberFormat="1" applyFont="1" applyFill="1" applyBorder="1"/>
    <xf numFmtId="0" fontId="42" fillId="9" borderId="3" xfId="2" applyFont="1" applyFill="1" applyBorder="1"/>
    <xf numFmtId="10" fontId="3" fillId="9" borderId="1" xfId="2" applyNumberFormat="1" applyFont="1" applyFill="1" applyBorder="1" applyAlignment="1">
      <alignment horizontal="center"/>
    </xf>
    <xf numFmtId="3" fontId="3" fillId="9" borderId="1" xfId="2" applyNumberFormat="1" applyFont="1" applyFill="1" applyBorder="1" applyAlignment="1">
      <alignment horizontal="center"/>
    </xf>
    <xf numFmtId="6" fontId="3" fillId="9" borderId="2" xfId="2" applyNumberFormat="1" applyFont="1" applyFill="1" applyBorder="1"/>
    <xf numFmtId="6" fontId="3" fillId="9" borderId="3" xfId="2" applyNumberFormat="1" applyFont="1" applyFill="1" applyBorder="1" applyAlignment="1">
      <alignment horizontal="center"/>
    </xf>
    <xf numFmtId="6" fontId="3" fillId="9" borderId="3" xfId="2" applyNumberFormat="1" applyFont="1" applyFill="1" applyBorder="1"/>
    <xf numFmtId="8" fontId="3" fillId="9" borderId="4" xfId="2" applyNumberFormat="1" applyFont="1" applyFill="1" applyBorder="1"/>
    <xf numFmtId="41" fontId="15" fillId="7" borderId="0" xfId="3" applyNumberFormat="1" applyFont="1" applyFill="1"/>
    <xf numFmtId="0" fontId="7" fillId="8" borderId="21" xfId="2" applyFont="1" applyFill="1" applyBorder="1" applyAlignment="1">
      <alignment horizontal="left"/>
    </xf>
    <xf numFmtId="0" fontId="7" fillId="8" borderId="5" xfId="2" applyFont="1" applyFill="1" applyBorder="1" applyAlignment="1">
      <alignment horizontal="center"/>
    </xf>
    <xf numFmtId="0" fontId="7" fillId="8" borderId="6" xfId="2" applyFont="1" applyFill="1" applyBorder="1" applyAlignment="1">
      <alignment horizontal="center"/>
    </xf>
    <xf numFmtId="0" fontId="7" fillId="8" borderId="7" xfId="2" applyFont="1" applyFill="1" applyBorder="1" applyAlignment="1">
      <alignment horizontal="center"/>
    </xf>
    <xf numFmtId="0" fontId="7" fillId="8" borderId="21" xfId="2" applyFont="1" applyFill="1" applyBorder="1" applyAlignment="1">
      <alignment horizontal="center"/>
    </xf>
    <xf numFmtId="0" fontId="7" fillId="8" borderId="1" xfId="2" applyFont="1" applyFill="1" applyBorder="1" applyAlignment="1">
      <alignment horizontal="center"/>
    </xf>
    <xf numFmtId="0" fontId="3" fillId="8" borderId="2" xfId="2" applyFont="1" applyFill="1" applyBorder="1"/>
    <xf numFmtId="0" fontId="3" fillId="8" borderId="11" xfId="2" applyFont="1" applyFill="1" applyBorder="1"/>
    <xf numFmtId="6" fontId="3" fillId="8" borderId="35" xfId="2" applyNumberFormat="1" applyFont="1" applyFill="1" applyBorder="1" applyAlignment="1">
      <alignment horizontal="center"/>
    </xf>
    <xf numFmtId="6" fontId="3" fillId="8" borderId="1" xfId="2" applyNumberFormat="1" applyFont="1" applyFill="1" applyBorder="1" applyAlignment="1">
      <alignment horizontal="center"/>
    </xf>
    <xf numFmtId="9" fontId="3" fillId="8" borderId="1" xfId="2" applyNumberFormat="1" applyFont="1" applyFill="1" applyBorder="1" applyAlignment="1">
      <alignment horizontal="center"/>
    </xf>
    <xf numFmtId="0" fontId="13" fillId="9" borderId="5" xfId="0" applyFont="1" applyFill="1" applyBorder="1"/>
    <xf numFmtId="0" fontId="0" fillId="9" borderId="6" xfId="0" applyFill="1" applyBorder="1"/>
    <xf numFmtId="0" fontId="1" fillId="9" borderId="7" xfId="0" applyFont="1" applyFill="1" applyBorder="1" applyAlignment="1">
      <alignment horizontal="right"/>
    </xf>
    <xf numFmtId="0" fontId="13" fillId="9" borderId="2" xfId="0" applyFont="1" applyFill="1" applyBorder="1"/>
    <xf numFmtId="0" fontId="13" fillId="9" borderId="3" xfId="0" applyFont="1" applyFill="1" applyBorder="1"/>
    <xf numFmtId="0" fontId="4" fillId="9" borderId="3" xfId="0" applyFont="1" applyFill="1" applyBorder="1" applyAlignment="1">
      <alignment horizontal="center"/>
    </xf>
    <xf numFmtId="0" fontId="1" fillId="9" borderId="3" xfId="0" applyFont="1" applyFill="1" applyBorder="1"/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3" fillId="9" borderId="6" xfId="0" applyFont="1" applyFill="1" applyBorder="1"/>
    <xf numFmtId="0" fontId="13" fillId="9" borderId="7" xfId="0" applyFont="1" applyFill="1" applyBorder="1"/>
    <xf numFmtId="0" fontId="4" fillId="9" borderId="7" xfId="0" applyFont="1" applyFill="1" applyBorder="1" applyAlignment="1">
      <alignment horizontal="center"/>
    </xf>
    <xf numFmtId="0" fontId="14" fillId="9" borderId="7" xfId="0" applyFont="1" applyFill="1" applyBorder="1" applyAlignment="1">
      <alignment horizontal="right"/>
    </xf>
    <xf numFmtId="0" fontId="0" fillId="0" borderId="6" xfId="0" applyBorder="1" applyAlignment="1">
      <alignment horizontal="center"/>
    </xf>
    <xf numFmtId="3" fontId="14" fillId="0" borderId="7" xfId="0" applyNumberFormat="1" applyFont="1" applyBorder="1" applyAlignment="1">
      <alignment horizontal="right"/>
    </xf>
    <xf numFmtId="0" fontId="0" fillId="0" borderId="11" xfId="0" applyBorder="1"/>
    <xf numFmtId="10" fontId="14" fillId="0" borderId="12" xfId="0" applyNumberFormat="1" applyFont="1" applyBorder="1" applyAlignment="1">
      <alignment horizontal="right"/>
    </xf>
    <xf numFmtId="181" fontId="14" fillId="0" borderId="9" xfId="0" applyNumberFormat="1" applyFont="1" applyBorder="1" applyAlignment="1">
      <alignment horizontal="right"/>
    </xf>
    <xf numFmtId="177" fontId="14" fillId="0" borderId="12" xfId="0" applyNumberFormat="1" applyFont="1" applyBorder="1" applyAlignment="1">
      <alignment horizontal="right"/>
    </xf>
    <xf numFmtId="10" fontId="1" fillId="0" borderId="0" xfId="4" applyNumberFormat="1" applyFont="1"/>
    <xf numFmtId="10" fontId="1" fillId="0" borderId="0" xfId="4" applyNumberFormat="1" applyFont="1" applyAlignment="1">
      <alignment horizontal="right"/>
    </xf>
    <xf numFmtId="10" fontId="0" fillId="0" borderId="0" xfId="4" applyNumberFormat="1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177" fontId="14" fillId="0" borderId="0" xfId="0" applyNumberFormat="1" applyFont="1" applyAlignment="1">
      <alignment horizontal="right"/>
    </xf>
    <xf numFmtId="0" fontId="31" fillId="9" borderId="5" xfId="0" applyFont="1" applyFill="1" applyBorder="1"/>
    <xf numFmtId="0" fontId="4" fillId="9" borderId="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165" fontId="1" fillId="0" borderId="0" xfId="4" applyNumberFormat="1" applyFont="1"/>
    <xf numFmtId="165" fontId="1" fillId="0" borderId="0" xfId="4" applyNumberFormat="1" applyFont="1" applyAlignment="1">
      <alignment horizontal="right"/>
    </xf>
    <xf numFmtId="0" fontId="13" fillId="0" borderId="2" xfId="2" applyFont="1" applyBorder="1" applyAlignment="1">
      <alignment horizontal="left"/>
    </xf>
    <xf numFmtId="0" fontId="13" fillId="0" borderId="3" xfId="2" applyFont="1" applyBorder="1" applyAlignment="1">
      <alignment horizontal="left"/>
    </xf>
    <xf numFmtId="0" fontId="13" fillId="0" borderId="4" xfId="2" applyFont="1" applyBorder="1" applyAlignment="1">
      <alignment horizontal="left"/>
    </xf>
  </cellXfs>
  <cellStyles count="5">
    <cellStyle name="Comma" xfId="1" builtinId="3"/>
    <cellStyle name="Currency" xfId="3" builtinId="4"/>
    <cellStyle name="Normal" xfId="0" builtinId="0"/>
    <cellStyle name="Normal 2" xfId="2" xr:uid="{CD9C67EB-F7AF-4AF0-8AED-358457436E59}"/>
    <cellStyle name="Percent" xfId="4" builtinId="5"/>
  </cellStyles>
  <dxfs count="165">
    <dxf>
      <fill>
        <patternFill>
          <bgColor theme="3" tint="0.89996032593768116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74" formatCode="\$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74" formatCode="\$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71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right"/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f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numFmt numFmtId="165" formatCode="&quot;$&quot;#,##0.00"/>
    </dxf>
    <dxf>
      <font>
        <color auto="1"/>
      </font>
    </dxf>
    <dxf>
      <font>
        <sz val="10"/>
      </font>
    </dxf>
    <dxf>
      <numFmt numFmtId="165" formatCode="&quot;$&quot;#,##0.00"/>
    </dxf>
    <dxf>
      <numFmt numFmtId="165" formatCode="&quot;$&quot;#,##0.00"/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right"/>
    </dxf>
    <dxf>
      <border>
        <bottom style="thin">
          <color indexed="64"/>
        </bottom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97F45964-9095-4E26-9BAA-ABD268CF030D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6593CF"/>
      <rgbColor rgb="00B0C4DE"/>
      <rgbColor rgb="00808080"/>
      <rgbColor rgb="00000000"/>
    </indexedColors>
    <mruColors>
      <color rgb="FF0000FF"/>
      <color rgb="FFFFC1C1"/>
      <color rgb="FF7B0B0E"/>
      <color rgb="FF9C0A0A"/>
      <color rgb="FF990000"/>
      <color rgb="FFFFC72C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96995</xdr:colOff>
      <xdr:row>19</xdr:row>
      <xdr:rowOff>227040</xdr:rowOff>
    </xdr:from>
    <xdr:to>
      <xdr:col>4</xdr:col>
      <xdr:colOff>126155</xdr:colOff>
      <xdr:row>20</xdr:row>
      <xdr:rowOff>10880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30424FE-9D72-46DF-A54A-AC4C05D17FE1}"/>
                </a:ext>
              </a:extLst>
            </xdr14:cNvPr>
            <xdr14:cNvContentPartPr/>
          </xdr14:nvContentPartPr>
          <xdr14:nvPr macro=""/>
          <xdr14:xfrm>
            <a:off x="4109040" y="4037040"/>
            <a:ext cx="29160" cy="21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2920" y="4030920"/>
              <a:ext cx="41400" cy="34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96995</xdr:colOff>
      <xdr:row>19</xdr:row>
      <xdr:rowOff>227040</xdr:rowOff>
    </xdr:from>
    <xdr:to>
      <xdr:col>4</xdr:col>
      <xdr:colOff>126155</xdr:colOff>
      <xdr:row>20</xdr:row>
      <xdr:rowOff>10880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14:cNvPr>
            <xdr14:cNvContentPartPr/>
          </xdr14:nvContentPartPr>
          <xdr14:nvPr macro=""/>
          <xdr14:xfrm>
            <a:off x="4109040" y="4037040"/>
            <a:ext cx="29160" cy="21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24BD2F0-76E1-E931-905E-3728E4154A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02920" y="4030920"/>
              <a:ext cx="41400" cy="34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c\Home\Library\CloudStorage\OneDrive-UniversityofSouthernCalifornia\Semesters\Spring%202025\RED%20437\Cases\Case%203\Selected%20Data\Rent%20Comps%20Summary.xlsx" TargetMode="External"/><Relationship Id="rId1" Type="http://schemas.openxmlformats.org/officeDocument/2006/relationships/externalLinkPath" Target="/Library/CloudStorage/OneDrive-UniversityofSouthernCalifornia/Semesters/Spring%202025/RED%20437/Cases/Case%203/Selected%20Data/Rent%20Comps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t Summary"/>
      <sheetName val="Sheet1"/>
      <sheetName val="Rent Table"/>
      <sheetName val="Torrance"/>
      <sheetName val="Redlands"/>
      <sheetName val="Torrance Comp Analysis"/>
      <sheetName val="Redlands Comp Analysis"/>
      <sheetName val="Rent Comp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1T03:27:58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32,'0'0'0,"-80"60"0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03T23:32:06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32,'0'0'0,"-80"60"0</inkml:trace>
</inkml: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yle" refreshedDate="45714.576996180556" backgroundQuery="1" createdVersion="8" refreshedVersion="8" minRefreshableVersion="3" recordCount="0" supportSubquery="1" supportAdvancedDrill="1" xr:uid="{4BAEC38C-0BE6-4E45-B04D-F26558FA06C1}">
  <cacheSource type="external" connectionId="1"/>
  <cacheFields count="8">
    <cacheField name="[Measures].[Count of Effective Rent* ($/Size Type)]" caption="Count of Effective Rent* ($/Size Type)" numFmtId="0" hierarchy="21" level="32767"/>
    <cacheField name="[Measures].[Average of Effective Rent* ($/Size Type)]" caption="Average of Effective Rent* ($/Size Type)" numFmtId="0" hierarchy="22" level="32767"/>
    <cacheField name="[Appended].[Market].[Market]" caption="Market" numFmtId="0" hierarchy="4" level="1">
      <sharedItems count="2">
        <s v="Inland Empire"/>
        <s v="Los Angeles"/>
      </sharedItems>
    </cacheField>
    <cacheField name="[Appended].[City].[City]" caption="City" numFmtId="0" hierarchy="1" level="1">
      <sharedItems count="7">
        <s v="Colton"/>
        <s v="Loma Linda"/>
        <s v="Redlands"/>
        <s v="San Bernardino"/>
        <s v="Carson"/>
        <s v="Gardena"/>
        <s v="Torrance"/>
      </sharedItems>
    </cacheField>
    <cacheField name="[Appended].[Size (SF)].[Size (SF)]" caption="Size (SF)" numFmtId="0" hierarchy="18" level="1">
      <sharedItems count="8">
        <s v="250,001-350,000"/>
        <s v="50,001-150,000"/>
        <s v="0-50,000"/>
        <s v="150,001-250,000"/>
        <s v="350,001-450,000"/>
        <s v="450,001-600,000"/>
        <s v="600,001-750,000"/>
        <s v="750,000+"/>
      </sharedItems>
    </cacheField>
    <cacheField name="[Measures].[Min of Effective Rent* ($/Size Type)]" caption="Min of Effective Rent* ($/Size Type)" numFmtId="0" hierarchy="25" level="32767"/>
    <cacheField name="[Measures].[Max of Effective Rent* ($/Size Type)]" caption="Max of Effective Rent* ($/Size Type)" numFmtId="0" hierarchy="26" level="32767"/>
    <cacheField name="[Measures].[StdDev of Effective Rent* ($/Size Type)]" caption="StdDev of Effective Rent* ($/Size Type)" numFmtId="0" hierarchy="27" level="32767"/>
  </cacheFields>
  <cacheHierarchies count="28">
    <cacheHierarchy uniqueName="[Appended].[Street Address]" caption="Street Address" attribute="1" defaultMemberUniqueName="[Appended].[Street Address].[All]" allUniqueName="[Appended].[Street Address].[All]" dimensionUniqueName="[Appended]" displayFolder="" count="0" memberValueDatatype="130" unbalanced="0"/>
    <cacheHierarchy uniqueName="[Appended].[City]" caption="City" attribute="1" defaultMemberUniqueName="[Appended].[City].[All]" allUniqueName="[Appended].[City].[All]" dimensionUniqueName="[Appended]" displayFolder="" count="2" memberValueDatatype="130" unbalanced="0">
      <fieldsUsage count="2">
        <fieldUsage x="-1"/>
        <fieldUsage x="3"/>
      </fieldsUsage>
    </cacheHierarchy>
    <cacheHierarchy uniqueName="[Appended].[State]" caption="State" attribute="1" defaultMemberUniqueName="[Appended].[State].[All]" allUniqueName="[Appended].[State].[All]" dimensionUniqueName="[Appended]" displayFolder="" count="0" memberValueDatatype="130" unbalanced="0"/>
    <cacheHierarchy uniqueName="[Appended].[Zip Code]" caption="Zip Code" attribute="1" defaultMemberUniqueName="[Appended].[Zip Code].[All]" allUniqueName="[Appended].[Zip Code].[All]" dimensionUniqueName="[Appended]" displayFolder="" count="0" memberValueDatatype="130" unbalanced="0"/>
    <cacheHierarchy uniqueName="[Appended].[Market]" caption="Market" attribute="1" defaultMemberUniqueName="[Appended].[Market].[All]" allUniqueName="[Appended].[Market].[All]" dimensionUniqueName="[Appended]" displayFolder="" count="2" memberValueDatatype="130" unbalanced="0">
      <fieldsUsage count="2">
        <fieldUsage x="-1"/>
        <fieldUsage x="2"/>
      </fieldsUsage>
    </cacheHierarchy>
    <cacheHierarchy uniqueName="[Appended].[Sector]" caption="Sector" attribute="1" defaultMemberUniqueName="[Appended].[Sector].[All]" allUniqueName="[Appended].[Sector].[All]" dimensionUniqueName="[Appended]" displayFolder="" count="0" memberValueDatatype="130" unbalanced="0"/>
    <cacheHierarchy uniqueName="[Appended].[Date As Of]" caption="Date As Of" attribute="1" time="1" defaultMemberUniqueName="[Appended].[Date As Of].[All]" allUniqueName="[Appended].[Date As Of].[All]" dimensionUniqueName="[Appended]" displayFolder="" count="0" memberValueDatatype="7" unbalanced="0"/>
    <cacheHierarchy uniqueName="[Appended].[Zip Code Grade]" caption="Zip Code Grade" attribute="1" defaultMemberUniqueName="[Appended].[Zip Code Grade].[All]" allUniqueName="[Appended].[Zip Code Grade].[All]" dimensionUniqueName="[Appended]" displayFolder="" count="0" memberValueDatatype="130" unbalanced="0"/>
    <cacheHierarchy uniqueName="[Appended].[Size]" caption="Size" attribute="1" defaultMemberUniqueName="[Appended].[Size].[All]" allUniqueName="[Appended].[Size].[All]" dimensionUniqueName="[Appended]" displayFolder="" count="0" memberValueDatatype="20" unbalanced="0"/>
    <cacheHierarchy uniqueName="[Appended].[Size Type]" caption="Size Type" attribute="1" defaultMemberUniqueName="[Appended].[Size Type].[All]" allUniqueName="[Appended].[Size Type].[All]" dimensionUniqueName="[Appended]" displayFolder="" count="0" memberValueDatatype="130" unbalanced="0"/>
    <cacheHierarchy uniqueName="[Appended].[Effective Rent* ($/Size Type)]" caption="Effective Rent* ($/Size Type)" attribute="1" defaultMemberUniqueName="[Appended].[Effective Rent* ($/Size Type)].[All]" allUniqueName="[Appended].[Effective Rent* ($/Size Type)].[All]" dimensionUniqueName="[Appended]" displayFolder="" count="0" memberValueDatatype="5" unbalanced="0"/>
    <cacheHierarchy uniqueName="[Appended].[Avg. Transaction Size]" caption="Avg. Transaction Size" attribute="1" defaultMemberUniqueName="[Appended].[Avg. Transaction Size].[All]" allUniqueName="[Appended].[Avg. Transaction Size].[All]" dimensionUniqueName="[Appended]" displayFolder="" count="0" memberValueDatatype="5" unbalanced="0"/>
    <cacheHierarchy uniqueName="[Appended].[Avg. Lease Terms (Months)]" caption="Avg. Lease Terms (Months)" attribute="1" defaultMemberUniqueName="[Appended].[Avg. Lease Terms (Months)].[All]" allUniqueName="[Appended].[Avg. Lease Terms (Months)].[All]" dimensionUniqueName="[Appended]" displayFolder="" count="0" memberValueDatatype="5" unbalanced="0"/>
    <cacheHierarchy uniqueName="[Appended].[Avg. Work Value ($/Size Type)]" caption="Avg. Work Value ($/Size Type)" attribute="1" defaultMemberUniqueName="[Appended].[Avg. Work Value ($/Size Type)].[All]" allUniqueName="[Appended].[Avg. Work Value ($/Size Type)].[All]" dimensionUniqueName="[Appended]" displayFolder="" count="0" memberValueDatatype="130" unbalanced="0"/>
    <cacheHierarchy uniqueName="[Appended].[Avg. Free Months]" caption="Avg. Free Months" attribute="1" defaultMemberUniqueName="[Appended].[Avg. Free Months].[All]" allUniqueName="[Appended].[Avg. Free Months].[All]" dimensionUniqueName="[Appended]" displayFolder="" count="0" memberValueDatatype="130" unbalanced="0"/>
    <cacheHierarchy uniqueName="[Appended].[Floors]" caption="Floors" attribute="1" defaultMemberUniqueName="[Appended].[Floors].[All]" allUniqueName="[Appended].[Floors].[All]" dimensionUniqueName="[Appended]" displayFolder="" count="0" memberValueDatatype="130" unbalanced="0"/>
    <cacheHierarchy uniqueName="[Appended].[Year Built]" caption="Year Built" attribute="1" defaultMemberUniqueName="[Appended].[Year Built].[All]" allUniqueName="[Appended].[Year Built].[All]" dimensionUniqueName="[Appended]" displayFolder="" count="0" memberValueDatatype="20" unbalanced="0"/>
    <cacheHierarchy uniqueName="[Appended].[Year Renovated]" caption="Year Renovated" attribute="1" defaultMemberUniqueName="[Appended].[Year Renovated].[All]" allUniqueName="[Appended].[Year Renovated].[All]" dimensionUniqueName="[Appended]" displayFolder="" count="0" memberValueDatatype="130" unbalanced="0"/>
    <cacheHierarchy uniqueName="[Appended].[Size (SF)]" caption="Size (SF)" attribute="1" defaultMemberUniqueName="[Appended].[Size (SF)].[All]" allUniqueName="[Appended].[Size (SF)].[All]" dimensionUniqueName="[Appended]" displayFolder="" count="2" memberValueDatatype="130" unbalanced="0">
      <fieldsUsage count="2">
        <fieldUsage x="-1"/>
        <fieldUsage x="4"/>
      </fieldsUsage>
    </cacheHierarchy>
    <cacheHierarchy uniqueName="[Measures].[__XL_Count Appended]" caption="__XL_Count Appended" measure="1" displayFolder="" measureGroup="Appended" count="0" hidden="1"/>
    <cacheHierarchy uniqueName="[Measures].[__No measures defined]" caption="__No measures defined" measure="1" displayFolder="" count="0" hidden="1"/>
    <cacheHierarchy uniqueName="[Measures].[Count of Effective Rent* ($/Size Type)]" caption="Count of Effective Rent* ($/Size Type)" measure="1" displayFolder="" measureGroup="Append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Effective Rent* ($/Size Type)]" caption="Average of Effective Rent* ($/Size Type)" measure="1" displayFolder="" measureGroup="Append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g. Lease Terms (Months)]" caption="Average of Avg. Lease Terms (Months)" measure="1" displayFolder="" measureGroup="Appended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ffective Rent* ($/Size Type)]" caption="Sum of Effective Rent* ($/Size Type)" measure="1" displayFolder="" measureGroup="Appende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Effective Rent* ($/Size Type)]" caption="Min of Effective Rent* ($/Size Type)" measure="1" displayFolder="" measureGroup="Appended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Effective Rent* ($/Size Type)]" caption="Max of Effective Rent* ($/Size Type)" measure="1" displayFolder="" measureGroup="Appended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tdDev of Effective Rent* ($/Size Type)]" caption="StdDev of Effective Rent* ($/Size Type)" measure="1" displayFolder="" measureGroup="Appended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Appended" uniqueName="[Appended]" caption="Appended"/>
    <dimension measure="1" name="Measures" uniqueName="[Measures]" caption="Measures"/>
  </dimensions>
  <measureGroups count="1">
    <measureGroup name="Appended" caption="Append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94810-A6B0-4B1D-B33D-7CC86312CDF0}" name="RentSummary" cacheId="17" applyNumberFormats="0" applyBorderFormats="0" applyFontFormats="0" applyPatternFormats="0" applyAlignmentFormats="0" applyWidthHeightFormats="1" dataCaption="Values" showError="1" updatedVersion="8" minRefreshableVersion="3" showDrill="0" rowGrandTotals="0" colGrandTotals="0" itemPrintTitles="1" createdVersion="8" indent="0" showHeaders="0" compact="0" outline="1" outlineData="1" compactData="0" multipleFieldFilters="0" chartFormat="5">
  <location ref="B3:I40" firstHeaderRow="0" firstDataRow="1" firstDataCol="3"/>
  <pivotFields count="8">
    <pivotField dataField="1" compact="0" showAll="0" defaultSubtotal="0"/>
    <pivotField dataField="1" compact="0" showAll="0" defaultSubtotal="0"/>
    <pivotField axis="axisRow" compact="0" allDrilled="1" showAll="0" dataSourceSort="1" defaultAttributeDrillState="1">
      <items count="3">
        <item x="0"/>
        <item x="1"/>
        <item t="default"/>
      </items>
    </pivotField>
    <pivotField axis="axisRow" compact="0" allDrilled="1" showAll="0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showAll="0"/>
    <pivotField dataField="1" compact="0" showAll="0"/>
    <pivotField dataField="1" compact="0" showAll="0"/>
  </pivotFields>
  <rowFields count="3">
    <field x="2"/>
    <field x="3"/>
    <field x="4"/>
  </rowFields>
  <rowItems count="37">
    <i>
      <x/>
    </i>
    <i r="1">
      <x/>
    </i>
    <i r="2">
      <x/>
    </i>
    <i r="1">
      <x v="1"/>
    </i>
    <i r="2">
      <x/>
    </i>
    <i r="2">
      <x v="1"/>
    </i>
    <i r="1">
      <x v="2"/>
    </i>
    <i r="2">
      <x v="2"/>
    </i>
    <i r="2">
      <x v="3"/>
    </i>
    <i r="2">
      <x/>
    </i>
    <i r="2">
      <x v="4"/>
    </i>
    <i r="2">
      <x v="5"/>
    </i>
    <i r="2">
      <x v="1"/>
    </i>
    <i r="2">
      <x v="6"/>
    </i>
    <i r="2">
      <x v="7"/>
    </i>
    <i r="1">
      <x v="3"/>
    </i>
    <i r="2">
      <x v="2"/>
    </i>
    <i r="2">
      <x/>
    </i>
    <i r="2">
      <x v="5"/>
    </i>
    <i r="2">
      <x v="1"/>
    </i>
    <i>
      <x v="1"/>
    </i>
    <i r="1">
      <x v="4"/>
    </i>
    <i r="2">
      <x v="2"/>
    </i>
    <i r="2">
      <x v="3"/>
    </i>
    <i r="2">
      <x/>
    </i>
    <i r="2">
      <x v="1"/>
    </i>
    <i r="1">
      <x v="5"/>
    </i>
    <i r="2">
      <x v="2"/>
    </i>
    <i r="2">
      <x v="1"/>
    </i>
    <i r="1">
      <x v="6"/>
    </i>
    <i r="2">
      <x v="2"/>
    </i>
    <i r="2">
      <x v="3"/>
    </i>
    <i r="2">
      <x/>
    </i>
    <i r="2">
      <x v="4"/>
    </i>
    <i r="2">
      <x v="1"/>
    </i>
    <i r="2">
      <x v="6"/>
    </i>
    <i r="2"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" fld="0" subtotal="count" baseField="0" baseItem="0"/>
    <dataField name="Min" fld="5" subtotal="min" baseField="2" baseItem="0" numFmtId="165"/>
    <dataField name="Max" fld="6" subtotal="max" baseField="2" baseItem="0" numFmtId="165"/>
    <dataField name="SD" fld="7" subtotal="stdDev" baseField="2" baseItem="0" numFmtId="165"/>
    <dataField name="Average Effective Rent" fld="1" subtotal="average" baseField="4" baseItem="0" numFmtId="165"/>
  </dataFields>
  <formats count="98">
    <format dxfId="164">
      <pivotArea fieldPosition="0">
        <references count="1">
          <reference field="2" count="1">
            <x v="0"/>
          </reference>
        </references>
      </pivotArea>
    </format>
    <format dxfId="163">
      <pivotArea dataOnly="0" labelOnly="1" outline="0" fieldPosition="0">
        <references count="1">
          <reference field="2" count="1">
            <x v="0"/>
          </reference>
        </references>
      </pivotArea>
    </format>
    <format dxfId="162">
      <pivotArea fieldPosition="0">
        <references count="1">
          <reference field="2" count="1">
            <x v="0"/>
          </reference>
        </references>
      </pivotArea>
    </format>
    <format dxfId="161">
      <pivotArea fieldPosition="0">
        <references count="1">
          <reference field="2" count="1">
            <x v="1"/>
          </reference>
        </references>
      </pivotArea>
    </format>
    <format dxfId="160">
      <pivotArea dataOnly="0" labelOnly="1" outline="0" fieldPosition="0">
        <references count="1">
          <reference field="2" count="1">
            <x v="1"/>
          </reference>
        </references>
      </pivotArea>
    </format>
    <format dxfId="159">
      <pivotArea fieldPosition="0">
        <references count="1">
          <reference field="2" count="1">
            <x v="1"/>
          </reference>
        </references>
      </pivotArea>
    </format>
    <format dxfId="158">
      <pivotArea outline="0" collapsedLevelsAreSubtotals="1" fieldPosition="0"/>
    </format>
    <format dxfId="157">
      <pivotArea dataOnly="0" labelOnly="1" outline="0" fieldPosition="0">
        <references count="1">
          <reference field="2" count="0"/>
        </references>
      </pivotArea>
    </format>
    <format dxfId="156">
      <pivotArea dataOnly="0" labelOnly="1" outline="0" fieldPosition="0">
        <references count="2">
          <reference field="2" count="1" selected="0">
            <x v="0"/>
          </reference>
          <reference field="3" count="4">
            <x v="0"/>
            <x v="1"/>
            <x v="2"/>
            <x v="3"/>
          </reference>
        </references>
      </pivotArea>
    </format>
    <format dxfId="155">
      <pivotArea dataOnly="0" labelOnly="1" outline="0" fieldPosition="0">
        <references count="2">
          <reference field="2" count="1" selected="0">
            <x v="1"/>
          </reference>
          <reference field="3" count="3">
            <x v="4"/>
            <x v="5"/>
            <x v="6"/>
          </reference>
        </references>
      </pivotArea>
    </format>
    <format dxfId="154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53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0"/>
            <x v="1"/>
          </reference>
        </references>
      </pivotArea>
    </format>
    <format dxfId="152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0"/>
        </references>
      </pivotArea>
    </format>
    <format dxfId="151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4">
            <x v="0"/>
            <x v="1"/>
            <x v="2"/>
            <x v="5"/>
          </reference>
        </references>
      </pivotArea>
    </format>
    <format dxfId="150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4">
            <x v="0"/>
            <x v="1"/>
            <x v="2"/>
            <x v="3"/>
          </reference>
        </references>
      </pivotArea>
    </format>
    <format dxfId="149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2">
            <x v="1"/>
            <x v="2"/>
          </reference>
        </references>
      </pivotArea>
    </format>
    <format dxfId="148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7">
            <x v="0"/>
            <x v="1"/>
            <x v="2"/>
            <x v="3"/>
            <x v="4"/>
            <x v="6"/>
            <x v="7"/>
          </reference>
        </references>
      </pivotArea>
    </format>
    <format dxfId="147">
      <pivotArea dataOnly="0" labelOnly="1" outline="0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145">
      <pivotArea dataOnly="0" labelOnly="1" outline="0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144">
      <pivotArea dataOnly="0" labelOnly="1" outline="0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143">
      <pivotArea dataOnly="0" labelOnly="1" outline="0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142">
      <pivotArea dataOnly="0" labelOnly="1" outline="0" fieldPosition="0">
        <references count="2">
          <reference field="2" count="1" selected="0">
            <x v="1"/>
          </reference>
          <reference field="3" count="1">
            <x v="5"/>
          </reference>
        </references>
      </pivotArea>
    </format>
    <format dxfId="141">
      <pivotArea dataOnly="0" labelOnly="1" outline="0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140">
      <pivotArea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139">
      <pivotArea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>
            <x v="5"/>
          </reference>
        </references>
      </pivotArea>
    </format>
    <format dxfId="138">
      <pivotArea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>
            <x v="4"/>
          </reference>
        </references>
      </pivotArea>
    </format>
    <format dxfId="137">
      <pivotArea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136">
      <pivotArea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135">
      <pivotArea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1"/>
          </reference>
        </references>
      </pivotArea>
    </format>
    <format dxfId="134">
      <pivotArea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33">
      <pivotArea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32">
      <pivotArea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0"/>
            <x v="1"/>
          </reference>
        </references>
      </pivotArea>
    </format>
    <format dxfId="131">
      <pivotArea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0"/>
        </references>
      </pivotArea>
    </format>
    <format dxfId="130">
      <pivotArea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4">
            <x v="0"/>
            <x v="1"/>
            <x v="2"/>
            <x v="5"/>
          </reference>
        </references>
      </pivotArea>
    </format>
    <format dxfId="129">
      <pivotArea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4">
            <x v="0"/>
            <x v="1"/>
            <x v="2"/>
            <x v="3"/>
          </reference>
        </references>
      </pivotArea>
    </format>
    <format dxfId="128">
      <pivotArea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2">
            <x v="1"/>
            <x v="2"/>
          </reference>
        </references>
      </pivotArea>
    </format>
    <format dxfId="127">
      <pivotArea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7">
            <x v="0"/>
            <x v="1"/>
            <x v="2"/>
            <x v="3"/>
            <x v="4"/>
            <x v="6"/>
            <x v="7"/>
          </reference>
        </references>
      </pivotArea>
    </format>
    <format dxfId="126">
      <pivotArea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1">
            <x v="7"/>
          </reference>
        </references>
      </pivotArea>
    </format>
    <format dxfId="125">
      <pivotArea dataOnly="0" labelOnly="1" outline="0" fieldPosition="0">
        <references count="1">
          <reference field="4294967294" count="2">
            <x v="1"/>
            <x v="4"/>
          </reference>
        </references>
      </pivotArea>
    </format>
    <format dxfId="124">
      <pivotArea outline="0" fieldPosition="0">
        <references count="1">
          <reference field="4294967294" count="1" selected="0">
            <x v="0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2">
      <pivotArea dataOnly="0" labelOnly="1" outline="0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121">
      <pivotArea dataOnly="0" labelOnly="1" outline="0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120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119">
      <pivotArea dataOnly="0" labelOnly="1" outline="0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18">
      <pivotArea outline="0" fieldPosition="0">
        <references count="1">
          <reference field="4294967294" count="1">
            <x v="1"/>
          </reference>
        </references>
      </pivotArea>
    </format>
    <format dxfId="117">
      <pivotArea outline="0" fieldPosition="0">
        <references count="1">
          <reference field="4294967294" count="1">
            <x v="2"/>
          </reference>
        </references>
      </pivotArea>
    </format>
    <format dxfId="116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15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14">
      <pivotArea outline="0" fieldPosition="0">
        <references count="1">
          <reference field="4294967294" count="1">
            <x v="3"/>
          </reference>
        </references>
      </pivotArea>
    </format>
    <format dxfId="113">
      <pivotArea fieldPosition="0">
        <references count="1">
          <reference field="2" count="1">
            <x v="0"/>
          </reference>
        </references>
      </pivotArea>
    </format>
    <format dxfId="112">
      <pivotArea dataOnly="0" labelOnly="1" outline="0" fieldPosition="0">
        <references count="1">
          <reference field="2" count="1">
            <x v="0"/>
          </reference>
        </references>
      </pivotArea>
    </format>
    <format dxfId="111">
      <pivotArea fieldPosition="0">
        <references count="1">
          <reference field="2" count="1">
            <x v="1"/>
          </reference>
        </references>
      </pivotArea>
    </format>
    <format dxfId="110">
      <pivotArea dataOnly="0" labelOnly="1" outline="0" fieldPosition="0">
        <references count="1">
          <reference field="2" count="1">
            <x v="1"/>
          </reference>
        </references>
      </pivotArea>
    </format>
    <format dxfId="109">
      <pivotArea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107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106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05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104">
      <pivotArea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102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5"/>
          </reference>
        </references>
      </pivotArea>
    </format>
    <format dxfId="101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outline="0" fieldPosition="0">
        <references count="1">
          <reference field="2" count="0"/>
        </references>
      </pivotArea>
    </format>
    <format dxfId="97">
      <pivotArea dataOnly="0" labelOnly="1" outline="0" fieldPosition="0">
        <references count="2">
          <reference field="2" count="1" selected="0">
            <x v="0"/>
          </reference>
          <reference field="3" count="4">
            <x v="0"/>
            <x v="1"/>
            <x v="2"/>
            <x v="3"/>
          </reference>
        </references>
      </pivotArea>
    </format>
    <format dxfId="96">
      <pivotArea dataOnly="0" labelOnly="1" outline="0" fieldPosition="0">
        <references count="2">
          <reference field="2" count="1" selected="0">
            <x v="1"/>
          </reference>
          <reference field="3" count="3">
            <x v="4"/>
            <x v="5"/>
            <x v="6"/>
          </reference>
        </references>
      </pivotArea>
    </format>
    <format dxfId="9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94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0"/>
            <x v="1"/>
          </reference>
        </references>
      </pivotArea>
    </format>
    <format dxfId="93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0"/>
        </references>
      </pivotArea>
    </format>
    <format dxfId="92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3"/>
          </reference>
          <reference field="4" count="4">
            <x v="0"/>
            <x v="1"/>
            <x v="2"/>
            <x v="5"/>
          </reference>
        </references>
      </pivotArea>
    </format>
    <format dxfId="91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4">
            <x v="0"/>
            <x v="1"/>
            <x v="2"/>
            <x v="3"/>
          </reference>
        </references>
      </pivotArea>
    </format>
    <format dxfId="90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5"/>
          </reference>
          <reference field="4" count="2">
            <x v="1"/>
            <x v="2"/>
          </reference>
        </references>
      </pivotArea>
    </format>
    <format dxfId="89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7">
            <x v="0"/>
            <x v="1"/>
            <x v="2"/>
            <x v="3"/>
            <x v="4"/>
            <x v="6"/>
            <x v="7"/>
          </reference>
        </references>
      </pivotArea>
    </format>
    <format dxfId="8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7">
      <pivotArea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86">
      <pivotArea dataOnly="0" labelOnly="1" outline="0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85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84">
      <pivotArea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83">
      <pivotArea dataOnly="0" labelOnly="1" outline="0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82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5"/>
          </reference>
        </references>
      </pivotArea>
    </format>
    <format dxfId="81">
      <pivotArea dataOnly="0" labelOnly="1" outline="0" offset="A256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80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79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78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77">
      <pivotArea dataOnly="0" labelOnly="1" outline="0" offset="A256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76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7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4">
      <pivotArea outline="0" fieldPosition="0">
        <references count="1">
          <reference field="4294967294" count="1" selected="0">
            <x v="4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2">
      <pivotArea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3">
            <x v="0"/>
            <x v="3"/>
            <x v="4"/>
          </reference>
        </references>
      </pivotArea>
    </format>
    <format dxfId="71">
      <pivotArea dataOnly="0" labelOnly="1" outline="0" offset="IV2:IV4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70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3">
            <x v="0"/>
            <x v="3"/>
            <x v="4"/>
          </reference>
        </references>
      </pivotArea>
    </format>
    <format dxfId="69">
      <pivotArea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2">
            <x v="6"/>
            <x v="7"/>
          </reference>
        </references>
      </pivotArea>
    </format>
    <format dxfId="68">
      <pivotArea dataOnly="0" labelOnly="1" outline="0" offset="IV6:IV256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  <format dxfId="6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4" count="2">
            <x v="6"/>
            <x v="7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"/>
    <pivotHierarchy dragToData="1" caption="Average Effective Rent"/>
    <pivotHierarchy dragToData="1" caption="Avg. Lease"/>
    <pivotHierarchy dragToData="1"/>
    <pivotHierarchy dragToData="1" caption="Min"/>
    <pivotHierarchy dragToData="1" caption="Max"/>
    <pivotHierarchy dragToData="1" caption="SD"/>
  </pivotHierarchies>
  <pivotTableStyleInfo showRowHeaders="1" showColHeaders="1" showRowStripes="0" showColStripes="0" showLastColumn="1"/>
  <rowHierarchiesUsage count="3">
    <rowHierarchyUsage hierarchyUsage="4"/>
    <rowHierarchyUsage hierarchyUsage="1"/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nt_comps_torrance_redlands.xlsx!Appended">
        <x15:activeTabTopLevelEntity name="[Appended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45475-176B-44E0-8DF7-C866E55D8AF5}" name="Appended" displayName="Appended" ref="A1:S101" totalsRowShown="0" headerRowDxfId="66" dataDxfId="65" dataCellStyle="Normal 2">
  <autoFilter ref="A1:S101" xr:uid="{31D13198-6459-47CF-948B-3BB298FA49E1}"/>
  <tableColumns count="19">
    <tableColumn id="1" xr3:uid="{65CB0161-CC91-45AC-8E68-1C842C00F42B}" name="Street Address" dataDxfId="64" dataCellStyle="Normal 2"/>
    <tableColumn id="2" xr3:uid="{094DBA11-6E57-436D-8CE7-6E58BC521AFC}" name="City" dataDxfId="63" dataCellStyle="Normal 2"/>
    <tableColumn id="3" xr3:uid="{C3871CB4-184E-4F60-AC63-5228D31537F7}" name="State" dataDxfId="62" dataCellStyle="Normal 2"/>
    <tableColumn id="4" xr3:uid="{B8873CBA-A370-4464-B8DF-D433FEA573DC}" name="Zip Code" dataDxfId="61" dataCellStyle="Normal 2"/>
    <tableColumn id="5" xr3:uid="{34D4C869-C7FF-4A3F-834E-269979AF465E}" name="Market" dataDxfId="60" dataCellStyle="Normal 2"/>
    <tableColumn id="6" xr3:uid="{10CA2FE5-8CAD-4258-8BFF-EE5EA2B1A35D}" name="Sector" dataDxfId="59" dataCellStyle="Normal 2"/>
    <tableColumn id="7" xr3:uid="{67A3CD3F-4531-4557-A4BA-553EC8F6413C}" name="Date As Of" dataDxfId="58" dataCellStyle="Normal 2"/>
    <tableColumn id="8" xr3:uid="{D0228A5F-88DA-4AAB-9A9C-C33413059648}" name="Zip Code Grade" dataDxfId="57" dataCellStyle="Normal 2"/>
    <tableColumn id="9" xr3:uid="{468CC650-D62F-4C22-90C7-C56AF013DD68}" name="Size" dataDxfId="56" dataCellStyle="Normal 2"/>
    <tableColumn id="10" xr3:uid="{711E24AD-173C-405D-830A-511E4F03C060}" name="Size Type" dataDxfId="55" dataCellStyle="Normal 2"/>
    <tableColumn id="11" xr3:uid="{243AFF59-FC81-4A65-BBEC-CE1F03A66F2C}" name="Effective Rent* ($/Size Type)" dataDxfId="54" dataCellStyle="Normal 2"/>
    <tableColumn id="12" xr3:uid="{2C780C63-D5C3-4DD3-BFE5-E942A0E29A4C}" name="Avg. Transaction Size" dataDxfId="53" dataCellStyle="Normal 2"/>
    <tableColumn id="13" xr3:uid="{2F6F34FA-94BD-4984-A3F8-E18F32CB85D2}" name="Avg. Lease Terms (Months)" dataDxfId="52" dataCellStyle="Normal 2"/>
    <tableColumn id="14" xr3:uid="{58029FFB-F16E-4F62-B4F2-323933312A62}" name="Avg. Work Value ($/Size Type)" dataDxfId="51" dataCellStyle="Normal 2"/>
    <tableColumn id="15" xr3:uid="{90C8FE72-0761-446C-A9B2-9CC9AB7EBA73}" name="Avg. Free Months" dataDxfId="50" dataCellStyle="Normal 2"/>
    <tableColumn id="16" xr3:uid="{9E4DE132-7D55-495B-8A1C-F8A915DF5FB1}" name="Floors" dataDxfId="49" dataCellStyle="Normal 2"/>
    <tableColumn id="17" xr3:uid="{46BEA1BA-8781-4219-9D85-69AA97C4EF87}" name="Year Built" dataDxfId="48" dataCellStyle="Normal 2"/>
    <tableColumn id="18" xr3:uid="{55559F6E-28D3-42C1-8C10-D10A04454AA0}" name="Year Renovated" dataDxfId="47" dataCellStyle="Normal 2"/>
    <tableColumn id="19" xr3:uid="{B36519B6-0EE5-4F24-BC63-8B81ED7A0AA9}" name="Size (SF)" dataDxfId="46" dataCellStyle="Normal 2">
      <calculatedColumnFormula array="1">_xlfn.IFS(AND('Rent Table'!$I2&gt;0,'Rent Table'!$I2&lt;=50000),"0-50,000",
AND('Rent Table'!$I2 &gt; 50000, 'Rent Table'!$I2 &lt;= 150000), "50,001-150,000",
AND('Rent Table'!$I2 &gt; 150000, 'Rent Table'!$I2 &lt;= 250000), "150,001-250,000",
AND('Rent Table'!$I2 &gt; 250000, 'Rent Table'!$I2 &lt;= 350000), "250,001-350,000",
AND('Rent Table'!$I2 &gt; 350000, 'Rent Table'!$I2 &lt;= 450000), "350,001-450,000",
AND('Rent Table'!$I2 &gt; 450000, 'Rent Table'!$I2 &lt;= 600000), "450,001-600,000",
AND('Rent Table'!$I2 &gt; 600000, 'Rent Table'!$I2 &lt;= 750000), "600,001-750,000",'Rent Table'!$I2 &gt; 750000, "750,000+",
TRUE, "Undefined"
         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F2CF5-4C51-4655-8DE0-7330217006E9}" name="AppendedTable" displayName="AppendedTable" ref="B4:AR96" totalsRowShown="0" headerRowDxfId="45" dataDxfId="44">
  <autoFilter ref="B4:AR96" xr:uid="{7B5CC7BA-BD5B-4E3F-80F9-6B17CBD52959}"/>
  <tableColumns count="43">
    <tableColumn id="1" xr3:uid="{EAFA7C37-1D6E-4B16-B3A6-2994FC9B045F}" name="Portfolio / Property Name" dataDxfId="43"/>
    <tableColumn id="2" xr3:uid="{9B2C42A3-A5A6-4AEE-B030-5E61757C1D20}" name="Street Address" dataDxfId="42"/>
    <tableColumn id="3" xr3:uid="{6814C807-8A08-419E-8B81-DF3A833302D6}" name="City" dataDxfId="41"/>
    <tableColumn id="4" xr3:uid="{18E90DC8-30D7-487B-90A9-3C99E327561C}" name="State" dataDxfId="40"/>
    <tableColumn id="5" xr3:uid="{00372601-7805-43B6-BAC3-648A3922E3A7}" name="Country" dataDxfId="39"/>
    <tableColumn id="6" xr3:uid="{3006D5A4-3CF6-4F72-AEBB-2E9E6F0CA70D}" name="Zip Code" dataDxfId="38"/>
    <tableColumn id="7" xr3:uid="{FD76CC11-7021-4022-BA80-B36EB8AF7D20}" name="Sector" dataDxfId="37"/>
    <tableColumn id="8" xr3:uid="{19EE3E4C-F1E5-4EED-9E6B-99ED8D82D2D8}" name="Subsector" dataDxfId="36"/>
    <tableColumn id="9" xr3:uid="{FE85EB52-C2E3-448C-88EC-DD0F65C2FE07}" name="Sector Attribute" dataDxfId="35"/>
    <tableColumn id="10" xr3:uid="{65DD7519-268F-4459-8325-0C4022A087C2}" name="Part of Mixed Use Development" dataDxfId="34"/>
    <tableColumn id="11" xr3:uid="{FDA2B7D6-65B1-426F-80FF-A172BF03A5D4}" name="Market" dataDxfId="33"/>
    <tableColumn id="12" xr3:uid="{6E31EF52-60D5-46D9-99DC-E905269A8350}" name="Submarket" dataDxfId="32"/>
    <tableColumn id="13" xr3:uid="{57ADBF1D-C993-48E5-B608-1FB9D6491D08}" name="Size" dataDxfId="31"/>
    <tableColumn id="14" xr3:uid="{4AE8A0E3-DA0D-492F-9196-339712DBCAAE}" name="Size Type" dataDxfId="30"/>
    <tableColumn id="15" xr3:uid="{62A7F4A6-02B0-4F63-A37B-87DAB95C159D}" name="Sale Date" dataDxfId="29"/>
    <tableColumn id="16" xr3:uid="{36F16AAE-B933-482B-A02D-841B6DCC6748}" name="Stake Sold" dataDxfId="28"/>
    <tableColumn id="17" xr3:uid="{498BF9F2-C86B-4AB1-9238-1FC4CD80D043}" name="Local Currency Sale Price (M)" dataDxfId="27"/>
    <tableColumn id="18" xr3:uid="{90AF3673-00CD-480A-A59C-2A5CBCAA9A7E}" name="Local Currency Symbol" dataDxfId="26"/>
    <tableColumn id="19" xr3:uid="{C08C3D29-C3C6-4ED5-A13F-F0E99D152489}" name="Sale Price Per (in Local Currency)" dataDxfId="25"/>
    <tableColumn id="20" xr3:uid="{409816F4-D97D-4728-91B8-ADB8AB70FBB5}" name="Selected Currency Sale Price ($) (M)" dataDxfId="24"/>
    <tableColumn id="21" xr3:uid="{4B2D9FFA-BD63-4733-BF40-9E0D7C5B097C}" name="Submarket Grade" dataDxfId="23"/>
    <tableColumn id="22" xr3:uid="{CE651ACE-7023-4441-B2C0-529F975AF894}" name="Property Cap Rate" dataDxfId="22"/>
    <tableColumn id="23" xr3:uid="{D56C3DB1-9E66-484D-B4EA-B3A70743F3CE}" name="Property Cap Rate Type" dataDxfId="21"/>
    <tableColumn id="24" xr3:uid="{B5C03DE9-F02C-4081-BDBD-52F7B640C1EA}" name="Part of a Portfolio?" dataDxfId="20"/>
    <tableColumn id="25" xr3:uid="{4BF60ECA-924D-40F5-8241-81AFB74FBA8B}" name="Buyer" dataDxfId="19"/>
    <tableColumn id="26" xr3:uid="{752CEF6C-6D0A-4151-BDF2-1B85104DB2CF}" name="Seller" dataDxfId="18"/>
    <tableColumn id="27" xr3:uid="{ECC39262-892C-4414-B6F5-1105C2FFE190}" name="Buyer Objective" dataDxfId="17"/>
    <tableColumn id="28" xr3:uid="{0C10E376-38BA-4A62-93D3-B681F7471F7F}" name="To be demolished" dataDxfId="16"/>
    <tableColumn id="29" xr3:uid="{695A7447-3170-4376-9D60-0013AFA69AFB}" name="Buyer Broker" dataDxfId="15"/>
    <tableColumn id="30" xr3:uid="{1EB53D1E-E0E0-42E7-89B6-044284F30364}" name="Seller Broker" dataDxfId="14"/>
    <tableColumn id="31" xr3:uid="{6F7222F0-F8D8-40CF-83DB-E4C9B9D463C2}" name="Land Area (acres)" dataDxfId="13"/>
    <tableColumn id="32" xr3:uid="{E5047F1F-ECD1-4BF9-A14E-883488619813}" name="Stories" dataDxfId="12"/>
    <tableColumn id="33" xr3:uid="{43DB4113-9A1C-40B7-B0B0-5215F09D0A78}" name="Parking" dataDxfId="11"/>
    <tableColumn id="34" xr3:uid="{9BAE646F-521A-479D-AD6A-424AD2C493CA}" name="Buildings" dataDxfId="10"/>
    <tableColumn id="35" xr3:uid="{924F8521-A302-41B5-B535-275FD5DD7EF6}" name="Year Built" dataDxfId="9"/>
    <tableColumn id="36" xr3:uid="{829F9CF5-2705-406B-BA15-7A8327BEFB5D}" name="Year Renovated" dataDxfId="8"/>
    <tableColumn id="37" xr3:uid="{EE143C74-6B6D-45F3-873D-616F9D0007E8}" name="Occupancy" dataDxfId="7"/>
    <tableColumn id="38" xr3:uid="{90758FAC-53A7-4C34-80BF-4AA75AE43BC3}" name="Green Street Market Cap Rate" dataDxfId="6"/>
    <tableColumn id="39" xr3:uid="{965461AE-523B-4738-924B-0D8F35E57758}" name="Submarket Cap Rate" dataDxfId="5"/>
    <tableColumn id="40" xr3:uid="{070F976C-7E81-4376-9332-2E4D4F408896}" name="Zip Code Cap Rate" dataDxfId="4"/>
    <tableColumn id="41" xr3:uid="{321AEC09-F85F-4B34-9C70-02E9D32E83E7}" name="Lender" dataDxfId="3"/>
    <tableColumn id="42" xr3:uid="{9A50FB99-5C4B-4314-A080-E2810443AA38}" name="1st Mortgage" dataDxfId="2"/>
    <tableColumn id="43" xr3:uid="{AB96EC35-CEF2-4E94-A43E-64BED0724EC2}" name="Verified?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85AF-AF5B-4DE8-82F7-D2DD9DC2E841}">
  <sheetPr>
    <tabColor rgb="FFC00000"/>
    <outlinePr summaryBelow="0"/>
  </sheetPr>
  <dimension ref="A1:M75"/>
  <sheetViews>
    <sheetView showGridLines="0" topLeftCell="A50" zoomScale="70" zoomScaleNormal="70" workbookViewId="0">
      <selection activeCell="Q13" sqref="Q13"/>
    </sheetView>
  </sheetViews>
  <sheetFormatPr defaultColWidth="13.59765625" defaultRowHeight="19.149999999999999" customHeight="1" outlineLevelRow="1" x14ac:dyDescent="0.4"/>
  <cols>
    <col min="1" max="1" width="28.86328125" style="5" bestFit="1" customWidth="1"/>
    <col min="2" max="2" width="14.73046875" style="5" customWidth="1"/>
    <col min="3" max="16384" width="13.59765625" style="5"/>
  </cols>
  <sheetData>
    <row r="1" spans="1:13" ht="19.149999999999999" hidden="1" customHeight="1" outlineLevel="1" collapsed="1" x14ac:dyDescent="0.4">
      <c r="C1" s="48" t="s">
        <v>0</v>
      </c>
      <c r="D1" s="48" t="s">
        <v>1</v>
      </c>
    </row>
    <row r="2" spans="1:13" ht="19.149999999999999" hidden="1" customHeight="1" outlineLevel="1" x14ac:dyDescent="0.4">
      <c r="A2" s="5" t="s">
        <v>2</v>
      </c>
      <c r="C2" s="36">
        <v>0.03</v>
      </c>
      <c r="D2" s="36">
        <v>2.1999999999999999E-2</v>
      </c>
      <c r="E2" s="36"/>
      <c r="F2" s="36"/>
      <c r="G2" s="36"/>
      <c r="H2" s="36"/>
      <c r="I2" s="36"/>
      <c r="J2" s="36"/>
      <c r="K2" s="36"/>
      <c r="L2" s="36"/>
      <c r="M2" s="36"/>
    </row>
    <row r="3" spans="1:13" ht="19.149999999999999" hidden="1" customHeight="1" outlineLevel="1" x14ac:dyDescent="0.4">
      <c r="A3" s="5" t="s">
        <v>3</v>
      </c>
      <c r="C3" s="36">
        <v>2.5000000000000001E-2</v>
      </c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19.149999999999999" customHeight="1" x14ac:dyDescent="0.4">
      <c r="A4" s="2" t="s">
        <v>4</v>
      </c>
    </row>
    <row r="5" spans="1:13" ht="19.149999999999999" customHeight="1" x14ac:dyDescent="0.4">
      <c r="A5" s="6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3" ht="12.75" customHeight="1" x14ac:dyDescent="0.4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5.4" customHeight="1" x14ac:dyDescent="0.4">
      <c r="B7" s="50" t="s">
        <v>6</v>
      </c>
      <c r="C7" s="50" t="s">
        <v>7</v>
      </c>
      <c r="D7" s="50" t="s">
        <v>7</v>
      </c>
      <c r="E7" s="50" t="s">
        <v>7</v>
      </c>
      <c r="F7" s="50" t="s">
        <v>7</v>
      </c>
      <c r="G7" s="50" t="s">
        <v>7</v>
      </c>
      <c r="H7" s="50" t="s">
        <v>7</v>
      </c>
      <c r="I7" s="50" t="s">
        <v>7</v>
      </c>
      <c r="J7" s="50" t="s">
        <v>7</v>
      </c>
      <c r="K7" s="50" t="s">
        <v>7</v>
      </c>
      <c r="L7" s="50" t="s">
        <v>7</v>
      </c>
      <c r="M7" s="50" t="s">
        <v>7</v>
      </c>
    </row>
    <row r="8" spans="1:13" ht="19.149999999999999" customHeight="1" x14ac:dyDescent="0.4">
      <c r="B8" s="51">
        <f>ROUNDUP(B$9/12,0)</f>
        <v>0</v>
      </c>
      <c r="C8" s="51">
        <v>1</v>
      </c>
      <c r="D8" s="51">
        <f>C8+1</f>
        <v>2</v>
      </c>
      <c r="E8" s="51">
        <f t="shared" ref="E8:M8" si="0">D8+1</f>
        <v>3</v>
      </c>
      <c r="F8" s="51">
        <f t="shared" si="0"/>
        <v>4</v>
      </c>
      <c r="G8" s="51">
        <f t="shared" si="0"/>
        <v>5</v>
      </c>
      <c r="H8" s="51">
        <f t="shared" si="0"/>
        <v>6</v>
      </c>
      <c r="I8" s="51">
        <f t="shared" si="0"/>
        <v>7</v>
      </c>
      <c r="J8" s="51">
        <f t="shared" si="0"/>
        <v>8</v>
      </c>
      <c r="K8" s="51">
        <f t="shared" si="0"/>
        <v>9</v>
      </c>
      <c r="L8" s="51">
        <f t="shared" si="0"/>
        <v>10</v>
      </c>
      <c r="M8" s="51">
        <f t="shared" si="0"/>
        <v>11</v>
      </c>
    </row>
    <row r="9" spans="1:13" ht="19.149999999999999" customHeight="1" x14ac:dyDescent="0.4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</row>
    <row r="10" spans="1:13" ht="19.149999999999999" customHeight="1" x14ac:dyDescent="0.4">
      <c r="A10" s="6" t="s">
        <v>8</v>
      </c>
      <c r="B10" s="53">
        <f>EOMONTH(C10,-12)</f>
        <v>45322</v>
      </c>
      <c r="C10" s="53">
        <f>EOMONTH('Redlands Inputs'!D14,0)</f>
        <v>45688</v>
      </c>
      <c r="D10" s="53">
        <f>EOMONTH(C10,12)</f>
        <v>46053</v>
      </c>
      <c r="E10" s="53">
        <f t="shared" ref="E10:M10" si="1">EOMONTH(D10,12)</f>
        <v>46418</v>
      </c>
      <c r="F10" s="53">
        <f t="shared" si="1"/>
        <v>46783</v>
      </c>
      <c r="G10" s="53">
        <f t="shared" si="1"/>
        <v>47149</v>
      </c>
      <c r="H10" s="53">
        <f t="shared" si="1"/>
        <v>47514</v>
      </c>
      <c r="I10" s="53">
        <f t="shared" si="1"/>
        <v>47879</v>
      </c>
      <c r="J10" s="53">
        <f t="shared" si="1"/>
        <v>48244</v>
      </c>
      <c r="K10" s="53">
        <f t="shared" si="1"/>
        <v>48610</v>
      </c>
      <c r="L10" s="53">
        <f t="shared" si="1"/>
        <v>48975</v>
      </c>
      <c r="M10" s="53">
        <f t="shared" si="1"/>
        <v>49340</v>
      </c>
    </row>
    <row r="12" spans="1:13" ht="19.149999999999999" customHeight="1" x14ac:dyDescent="0.55000000000000004">
      <c r="A12" s="3" t="s">
        <v>9</v>
      </c>
      <c r="B12" s="3"/>
      <c r="C12" s="4" t="s">
        <v>10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9.149999999999999" customHeight="1" x14ac:dyDescent="0.55000000000000004">
      <c r="A13" s="7" t="s">
        <v>11</v>
      </c>
      <c r="B13" s="264">
        <f>SUMIF('Redlands Pro Forma'!$B$8:$ED$8,'Annual Projections'!B$8,'Redlands Pro Forma'!$B13:$ED13)</f>
        <v>0</v>
      </c>
      <c r="C13" s="264">
        <f>SUMIF('Redlands Pro Forma'!$B$8:$ED$8,'Annual Projections'!C$8,'Redlands Pro Forma'!$B13:$ED13)</f>
        <v>77.997314054507569</v>
      </c>
      <c r="D13" s="264">
        <f>SUMIF('Redlands Pro Forma'!$B$8:$ED$8,'Annual Projections'!D$8,'Redlands Pro Forma'!$B13:$ED13)</f>
        <v>79.557260335597732</v>
      </c>
      <c r="E13" s="264">
        <f>SUMIF('Redlands Pro Forma'!$B$8:$ED$8,'Annual Projections'!E$8,'Redlands Pro Forma'!$B13:$ED13)</f>
        <v>81.148405542309703</v>
      </c>
      <c r="F13" s="264">
        <f>SUMIF('Redlands Pro Forma'!$B$8:$ED$8,'Annual Projections'!F$8,'Redlands Pro Forma'!$B13:$ED13)</f>
        <v>82.771373653155834</v>
      </c>
      <c r="G13" s="264">
        <f>SUMIF('Redlands Pro Forma'!$B$8:$ED$8,'Annual Projections'!G$8,'Redlands Pro Forma'!$B13:$ED13)</f>
        <v>84.42680112621899</v>
      </c>
      <c r="H13" s="264">
        <f>SUMIF('Redlands Pro Forma'!$B$8:$ED$8,'Annual Projections'!H$8,'Redlands Pro Forma'!$B13:$ED13)</f>
        <v>86.115337148743379</v>
      </c>
      <c r="I13" s="264">
        <f>SUMIF('Redlands Pro Forma'!$B$8:$ED$8,'Annual Projections'!I$8,'Redlands Pro Forma'!$B13:$ED13)</f>
        <v>87.837643891718244</v>
      </c>
      <c r="J13" s="264">
        <f>SUMIF('Redlands Pro Forma'!$B$8:$ED$8,'Annual Projections'!J$8,'Redlands Pro Forma'!$B13:$ED13)</f>
        <v>125.14608934394911</v>
      </c>
      <c r="K13" s="264">
        <f>SUMIF('Redlands Pro Forma'!$B$8:$ED$8,'Annual Projections'!K$8,'Redlands Pro Forma'!$B13:$ED13)</f>
        <v>131.58751293107113</v>
      </c>
      <c r="L13" s="264">
        <f>SUMIF('Redlands Pro Forma'!$B$8:$ED$8,'Annual Projections'!L$8,'Redlands Pro Forma'!$B13:$ED13)</f>
        <v>134.87720075434783</v>
      </c>
      <c r="M13" s="264">
        <f>SUMIF('Redlands Pro Forma'!$B$8:$ED$8,'Annual Projections'!M$8,'Redlands Pro Forma'!$B13:$ED13)</f>
        <v>138.24913077320659</v>
      </c>
    </row>
    <row r="14" spans="1:13" ht="19.149999999999999" customHeight="1" x14ac:dyDescent="0.55000000000000004">
      <c r="A14" s="9" t="s">
        <v>12</v>
      </c>
      <c r="B14" s="264">
        <f>SUMIF('Redlands Pro Forma'!$B$8:$ED$8,'Annual Projections'!B$8,'Redlands Pro Forma'!$B14:$ED14)</f>
        <v>0</v>
      </c>
      <c r="C14" s="264">
        <f>SUMIF('Redlands Pro Forma'!$B$8:$ED$8,'Annual Projections'!C$8,'Redlands Pro Forma'!$B14:$ED14)</f>
        <v>3899865.7027253788</v>
      </c>
      <c r="D14" s="264">
        <f>SUMIF('Redlands Pro Forma'!$B$8:$ED$8,'Annual Projections'!D$8,'Redlands Pro Forma'!$B14:$ED14)</f>
        <v>3977863.0167798852</v>
      </c>
      <c r="E14" s="264">
        <f>SUMIF('Redlands Pro Forma'!$B$8:$ED$8,'Annual Projections'!E$8,'Redlands Pro Forma'!$B14:$ED14)</f>
        <v>4057420.2771154833</v>
      </c>
      <c r="F14" s="264">
        <f>SUMIF('Redlands Pro Forma'!$B$8:$ED$8,'Annual Projections'!F$8,'Redlands Pro Forma'!$B14:$ED14)</f>
        <v>4138568.6826577932</v>
      </c>
      <c r="G14" s="264">
        <f>SUMIF('Redlands Pro Forma'!$B$8:$ED$8,'Annual Projections'!G$8,'Redlands Pro Forma'!$B14:$ED14)</f>
        <v>4221340.0563109508</v>
      </c>
      <c r="H14" s="264">
        <f>SUMIF('Redlands Pro Forma'!$B$8:$ED$8,'Annual Projections'!H$8,'Redlands Pro Forma'!$B14:$ED14)</f>
        <v>4305766.8574371682</v>
      </c>
      <c r="I14" s="264">
        <f>SUMIF('Redlands Pro Forma'!$B$8:$ED$8,'Annual Projections'!I$8,'Redlands Pro Forma'!$B14:$ED14)</f>
        <v>4391882.1945859129</v>
      </c>
      <c r="J14" s="264">
        <f>SUMIF('Redlands Pro Forma'!$B$8:$ED$8,'Annual Projections'!J$8,'Redlands Pro Forma'!$B14:$ED14)</f>
        <v>6257304.4671974536</v>
      </c>
      <c r="K14" s="264">
        <f>SUMIF('Redlands Pro Forma'!$B$8:$ED$8,'Annual Projections'!K$8,'Redlands Pro Forma'!$B14:$ED14)</f>
        <v>6579375.6465535564</v>
      </c>
      <c r="L14" s="264">
        <f>SUMIF('Redlands Pro Forma'!$B$8:$ED$8,'Annual Projections'!L$8,'Redlands Pro Forma'!$B14:$ED14)</f>
        <v>6743860.0377173908</v>
      </c>
      <c r="M14" s="264">
        <f>SUMIF('Redlands Pro Forma'!$B$8:$ED$8,'Annual Projections'!M$8,'Redlands Pro Forma'!$B14:$ED14)</f>
        <v>6912456.538660326</v>
      </c>
    </row>
    <row r="15" spans="1:13" ht="19.149999999999999" customHeight="1" x14ac:dyDescent="0.4">
      <c r="A15" s="9" t="s">
        <v>13</v>
      </c>
      <c r="B15" s="40"/>
      <c r="C15" s="40">
        <f>SUMIF('Redlands Pro Forma'!$B$8:$ED$8,'Annual Projections'!C$8,'Redlands Pro Forma'!$B15:$ED15)</f>
        <v>0</v>
      </c>
      <c r="D15" s="40">
        <f>SUMIF('Redlands Pro Forma'!$B$8:$ED$8,'Annual Projections'!D$8,'Redlands Pro Forma'!$B15:$ED15)</f>
        <v>0</v>
      </c>
      <c r="E15" s="40">
        <f>SUMIF('Redlands Pro Forma'!$B$8:$ED$8,'Annual Projections'!E$8,'Redlands Pro Forma'!$B15:$ED15)</f>
        <v>0</v>
      </c>
      <c r="F15" s="40">
        <f>SUMIF('Redlands Pro Forma'!$B$8:$ED$8,'Annual Projections'!F$8,'Redlands Pro Forma'!$B15:$ED15)</f>
        <v>0</v>
      </c>
      <c r="G15" s="40">
        <f>SUMIF('Redlands Pro Forma'!$B$8:$ED$8,'Annual Projections'!G$8,'Redlands Pro Forma'!$B15:$ED15)</f>
        <v>0</v>
      </c>
      <c r="H15" s="40">
        <f>SUMIF('Redlands Pro Forma'!$B$8:$ED$8,'Annual Projections'!H$8,'Redlands Pro Forma'!$B15:$ED15)</f>
        <v>0</v>
      </c>
      <c r="I15" s="40">
        <f>SUMIF('Redlands Pro Forma'!$B$8:$ED$8,'Annual Projections'!I$8,'Redlands Pro Forma'!$B15:$ED15)</f>
        <v>0</v>
      </c>
      <c r="J15" s="40">
        <f>SUMIF('Redlands Pro Forma'!$B$8:$ED$8,'Annual Projections'!J$8,'Redlands Pro Forma'!$B15:$ED15)</f>
        <v>0</v>
      </c>
      <c r="K15" s="40">
        <f>SUMIF('Redlands Pro Forma'!$B$8:$ED$8,'Annual Projections'!K$8,'Redlands Pro Forma'!$B15:$ED15)</f>
        <v>0</v>
      </c>
      <c r="L15" s="40">
        <f>SUMIF('Redlands Pro Forma'!$B$8:$ED$8,'Annual Projections'!L$8,'Redlands Pro Forma'!$B15:$ED15)</f>
        <v>0</v>
      </c>
      <c r="M15" s="40">
        <f>SUMIF('Redlands Pro Forma'!$B$8:$ED$8,'Annual Projections'!M$8,'Redlands Pro Forma'!$B15:$ED15)</f>
        <v>0</v>
      </c>
    </row>
    <row r="16" spans="1:13" ht="19.149999999999999" customHeight="1" x14ac:dyDescent="0.4">
      <c r="A16" s="9" t="s">
        <v>14</v>
      </c>
      <c r="B16" s="80"/>
      <c r="C16" s="80">
        <f>SUMIF('Redlands Pro Forma'!$B$8:$ED$8,'Annual Projections'!C$8,'Redlands Pro Forma'!$B16:$ED16)</f>
        <v>0</v>
      </c>
      <c r="D16" s="80">
        <f>SUMIF('Redlands Pro Forma'!$B$8:$ED$8,'Annual Projections'!D$8,'Redlands Pro Forma'!$B16:$ED16)</f>
        <v>0</v>
      </c>
      <c r="E16" s="80">
        <f>SUMIF('Redlands Pro Forma'!$B$8:$ED$8,'Annual Projections'!E$8,'Redlands Pro Forma'!$B16:$ED16)</f>
        <v>0</v>
      </c>
      <c r="F16" s="80">
        <f>SUMIF('Redlands Pro Forma'!$B$8:$ED$8,'Annual Projections'!F$8,'Redlands Pro Forma'!$B16:$ED16)</f>
        <v>0</v>
      </c>
      <c r="G16" s="80">
        <f>SUMIF('Redlands Pro Forma'!$B$8:$ED$8,'Annual Projections'!G$8,'Redlands Pro Forma'!$B16:$ED16)</f>
        <v>0</v>
      </c>
      <c r="H16" s="80">
        <f>SUMIF('Redlands Pro Forma'!$B$8:$ED$8,'Annual Projections'!H$8,'Redlands Pro Forma'!$B16:$ED16)</f>
        <v>0</v>
      </c>
      <c r="I16" s="80">
        <f>SUMIF('Redlands Pro Forma'!$B$8:$ED$8,'Annual Projections'!I$8,'Redlands Pro Forma'!$B16:$ED16)</f>
        <v>0</v>
      </c>
      <c r="J16" s="80">
        <f>SUMIF('Redlands Pro Forma'!$B$8:$ED$8,'Annual Projections'!J$8,'Redlands Pro Forma'!$B16:$ED16)</f>
        <v>0</v>
      </c>
      <c r="K16" s="80">
        <f>SUMIF('Redlands Pro Forma'!$B$8:$ED$8,'Annual Projections'!K$8,'Redlands Pro Forma'!$B16:$ED16)</f>
        <v>0</v>
      </c>
      <c r="L16" s="80">
        <f>SUMIF('Redlands Pro Forma'!$B$8:$ED$8,'Annual Projections'!L$8,'Redlands Pro Forma'!$B16:$ED16)</f>
        <v>0</v>
      </c>
      <c r="M16" s="80">
        <f>SUMIF('Redlands Pro Forma'!$B$8:$ED$8,'Annual Projections'!M$8,'Redlands Pro Forma'!$B16:$ED16)</f>
        <v>0</v>
      </c>
    </row>
    <row r="17" spans="1:13" ht="19.149999999999999" customHeight="1" x14ac:dyDescent="0.4">
      <c r="A17" s="8" t="s">
        <v>15</v>
      </c>
      <c r="B17" s="80"/>
      <c r="C17" s="80">
        <f>SUMIF('Redlands Pro Forma'!$B$8:$ED$8,'Annual Projections'!C$8,'Redlands Pro Forma'!$B17:$ED17)</f>
        <v>3899865.7027253788</v>
      </c>
      <c r="D17" s="80">
        <f>SUMIF('Redlands Pro Forma'!$B$8:$ED$8,'Annual Projections'!D$8,'Redlands Pro Forma'!$B17:$ED17)</f>
        <v>3977863.0167798852</v>
      </c>
      <c r="E17" s="80">
        <f>SUMIF('Redlands Pro Forma'!$B$8:$ED$8,'Annual Projections'!E$8,'Redlands Pro Forma'!$B17:$ED17)</f>
        <v>4057420.2771154833</v>
      </c>
      <c r="F17" s="80">
        <f>SUMIF('Redlands Pro Forma'!$B$8:$ED$8,'Annual Projections'!F$8,'Redlands Pro Forma'!$B17:$ED17)</f>
        <v>4138568.6826577932</v>
      </c>
      <c r="G17" s="80">
        <f>SUMIF('Redlands Pro Forma'!$B$8:$ED$8,'Annual Projections'!G$8,'Redlands Pro Forma'!$B17:$ED17)</f>
        <v>4221340.0563109508</v>
      </c>
      <c r="H17" s="80">
        <f>SUMIF('Redlands Pro Forma'!$B$8:$ED$8,'Annual Projections'!H$8,'Redlands Pro Forma'!$B17:$ED17)</f>
        <v>4305766.8574371682</v>
      </c>
      <c r="I17" s="80">
        <f>SUMIF('Redlands Pro Forma'!$B$8:$ED$8,'Annual Projections'!I$8,'Redlands Pro Forma'!$B17:$ED17)</f>
        <v>4391882.1945859129</v>
      </c>
      <c r="J17" s="80">
        <f>SUMIF('Redlands Pro Forma'!$B$8:$ED$8,'Annual Projections'!J$8,'Redlands Pro Forma'!$B17:$ED17)</f>
        <v>6257304.4671974536</v>
      </c>
      <c r="K17" s="80">
        <f>SUMIF('Redlands Pro Forma'!$B$8:$ED$8,'Annual Projections'!K$8,'Redlands Pro Forma'!$B17:$ED17)</f>
        <v>6579375.6465535564</v>
      </c>
      <c r="L17" s="80">
        <f>SUMIF('Redlands Pro Forma'!$B$8:$ED$8,'Annual Projections'!L$8,'Redlands Pro Forma'!$B17:$ED17)</f>
        <v>6743860.0377173908</v>
      </c>
      <c r="M17" s="80">
        <f>SUMIF('Redlands Pro Forma'!$B$8:$ED$8,'Annual Projections'!M$8,'Redlands Pro Forma'!$B17:$ED17)</f>
        <v>6912456.538660326</v>
      </c>
    </row>
    <row r="18" spans="1:13" ht="19.149999999999999" customHeight="1" x14ac:dyDescent="0.4">
      <c r="A18" s="7" t="s">
        <v>16</v>
      </c>
      <c r="B18" s="80"/>
      <c r="C18" s="80">
        <f>SUMIF('Redlands Pro Forma'!$B$8:$ED$8,'Annual Projections'!C$8,'Redlands Pro Forma'!$B18:$ED18)</f>
        <v>3899865.7027253788</v>
      </c>
      <c r="D18" s="80">
        <f>SUMIF('Redlands Pro Forma'!$B$8:$ED$8,'Annual Projections'!D$8,'Redlands Pro Forma'!$B18:$ED18)</f>
        <v>3977863.0167798852</v>
      </c>
      <c r="E18" s="80">
        <f>SUMIF('Redlands Pro Forma'!$B$8:$ED$8,'Annual Projections'!E$8,'Redlands Pro Forma'!$B18:$ED18)</f>
        <v>4057420.2771154833</v>
      </c>
      <c r="F18" s="80">
        <f>SUMIF('Redlands Pro Forma'!$B$8:$ED$8,'Annual Projections'!F$8,'Redlands Pro Forma'!$B18:$ED18)</f>
        <v>4138568.6826577932</v>
      </c>
      <c r="G18" s="80">
        <f>SUMIF('Redlands Pro Forma'!$B$8:$ED$8,'Annual Projections'!G$8,'Redlands Pro Forma'!$B18:$ED18)</f>
        <v>4221340.0563109508</v>
      </c>
      <c r="H18" s="80">
        <f>SUMIF('Redlands Pro Forma'!$B$8:$ED$8,'Annual Projections'!H$8,'Redlands Pro Forma'!$B18:$ED18)</f>
        <v>4305766.8574371682</v>
      </c>
      <c r="I18" s="80">
        <f>SUMIF('Redlands Pro Forma'!$B$8:$ED$8,'Annual Projections'!I$8,'Redlands Pro Forma'!$B18:$ED18)</f>
        <v>4391882.1945859129</v>
      </c>
      <c r="J18" s="80">
        <f>SUMIF('Redlands Pro Forma'!$B$8:$ED$8,'Annual Projections'!J$8,'Redlands Pro Forma'!$B18:$ED18)</f>
        <v>6257304.4671974536</v>
      </c>
      <c r="K18" s="80">
        <f>SUMIF('Redlands Pro Forma'!$B$8:$ED$8,'Annual Projections'!K$8,'Redlands Pro Forma'!$B18:$ED18)</f>
        <v>6579375.6465535564</v>
      </c>
      <c r="L18" s="80">
        <f>SUMIF('Redlands Pro Forma'!$B$8:$ED$8,'Annual Projections'!L$8,'Redlands Pro Forma'!$B18:$ED18)</f>
        <v>6743860.0377173908</v>
      </c>
      <c r="M18" s="80">
        <f>SUMIF('Redlands Pro Forma'!$B$8:$ED$8,'Annual Projections'!M$8,'Redlands Pro Forma'!$B18:$ED18)</f>
        <v>6912456.538660326</v>
      </c>
    </row>
    <row r="19" spans="1:13" ht="19.149999999999999" customHeight="1" x14ac:dyDescent="0.4">
      <c r="A19" s="5" t="s">
        <v>17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1:13" ht="19.149999999999999" customHeight="1" x14ac:dyDescent="0.4">
      <c r="A20" s="2" t="s">
        <v>18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3" ht="19.149999999999999" customHeight="1" x14ac:dyDescent="0.4">
      <c r="A21" s="11" t="s">
        <v>19</v>
      </c>
      <c r="B21" s="39"/>
      <c r="C21" s="39">
        <f>SUMIF('Redlands Pro Forma'!$B$8:$ED$8,'Annual Projections'!C$8,'Redlands Pro Forma'!$B21:$ED21)</f>
        <v>45000</v>
      </c>
      <c r="D21" s="39">
        <f>SUMIF('Redlands Pro Forma'!$B$8:$ED$8,'Annual Projections'!D$8,'Redlands Pro Forma'!$B21:$ED21)</f>
        <v>45000</v>
      </c>
      <c r="E21" s="39">
        <f>SUMIF('Redlands Pro Forma'!$B$8:$ED$8,'Annual Projections'!E$8,'Redlands Pro Forma'!$B21:$ED21)</f>
        <v>45000</v>
      </c>
      <c r="F21" s="39">
        <f>SUMIF('Redlands Pro Forma'!$B$8:$ED$8,'Annual Projections'!F$8,'Redlands Pro Forma'!$B21:$ED21)</f>
        <v>45000</v>
      </c>
      <c r="G21" s="39">
        <f>SUMIF('Redlands Pro Forma'!$B$8:$ED$8,'Annual Projections'!G$8,'Redlands Pro Forma'!$B21:$ED21)</f>
        <v>45000</v>
      </c>
      <c r="H21" s="39">
        <f>SUMIF('Redlands Pro Forma'!$B$8:$ED$8,'Annual Projections'!H$8,'Redlands Pro Forma'!$B21:$ED21)</f>
        <v>45000</v>
      </c>
      <c r="I21" s="39">
        <f>SUMIF('Redlands Pro Forma'!$B$8:$ED$8,'Annual Projections'!I$8,'Redlands Pro Forma'!$B21:$ED21)</f>
        <v>45000</v>
      </c>
      <c r="J21" s="39">
        <f>SUMIF('Redlands Pro Forma'!$B$8:$ED$8,'Annual Projections'!J$8,'Redlands Pro Forma'!$B21:$ED21)</f>
        <v>45000</v>
      </c>
      <c r="K21" s="39">
        <f>SUMIF('Redlands Pro Forma'!$B$8:$ED$8,'Annual Projections'!K$8,'Redlands Pro Forma'!$B21:$ED21)</f>
        <v>45000</v>
      </c>
      <c r="L21" s="39">
        <f>SUMIF('Redlands Pro Forma'!$B$8:$ED$8,'Annual Projections'!L$8,'Redlands Pro Forma'!$B21:$ED21)</f>
        <v>45000</v>
      </c>
      <c r="M21" s="39">
        <f>SUMIF('Redlands Pro Forma'!$B$8:$ED$8,'Annual Projections'!M$8,'Redlands Pro Forma'!$B21:$ED21)</f>
        <v>45000</v>
      </c>
    </row>
    <row r="22" spans="1:13" ht="19.149999999999999" customHeight="1" x14ac:dyDescent="0.4">
      <c r="A22" s="11" t="s">
        <v>20</v>
      </c>
      <c r="B22" s="39"/>
      <c r="C22" s="39">
        <f>SUMIF('Redlands Pro Forma'!$B$8:$ED$8,'Annual Projections'!C$8,'Redlands Pro Forma'!$B22:$ED22)</f>
        <v>45000</v>
      </c>
      <c r="D22" s="39">
        <f>SUMIF('Redlands Pro Forma'!$B$8:$ED$8,'Annual Projections'!D$8,'Redlands Pro Forma'!$B22:$ED22)</f>
        <v>45000</v>
      </c>
      <c r="E22" s="39">
        <f>SUMIF('Redlands Pro Forma'!$B$8:$ED$8,'Annual Projections'!E$8,'Redlands Pro Forma'!$B22:$ED22)</f>
        <v>45000</v>
      </c>
      <c r="F22" s="39">
        <f>SUMIF('Redlands Pro Forma'!$B$8:$ED$8,'Annual Projections'!F$8,'Redlands Pro Forma'!$B22:$ED22)</f>
        <v>45000</v>
      </c>
      <c r="G22" s="39">
        <f>SUMIF('Redlands Pro Forma'!$B$8:$ED$8,'Annual Projections'!G$8,'Redlands Pro Forma'!$B22:$ED22)</f>
        <v>45000</v>
      </c>
      <c r="H22" s="39">
        <f>SUMIF('Redlands Pro Forma'!$B$8:$ED$8,'Annual Projections'!H$8,'Redlands Pro Forma'!$B22:$ED22)</f>
        <v>45000</v>
      </c>
      <c r="I22" s="39">
        <f>SUMIF('Redlands Pro Forma'!$B$8:$ED$8,'Annual Projections'!I$8,'Redlands Pro Forma'!$B22:$ED22)</f>
        <v>45000</v>
      </c>
      <c r="J22" s="39">
        <f>SUMIF('Redlands Pro Forma'!$B$8:$ED$8,'Annual Projections'!J$8,'Redlands Pro Forma'!$B22:$ED22)</f>
        <v>45000</v>
      </c>
      <c r="K22" s="39">
        <f>SUMIF('Redlands Pro Forma'!$B$8:$ED$8,'Annual Projections'!K$8,'Redlands Pro Forma'!$B22:$ED22)</f>
        <v>45000</v>
      </c>
      <c r="L22" s="39">
        <f>SUMIF('Redlands Pro Forma'!$B$8:$ED$8,'Annual Projections'!L$8,'Redlands Pro Forma'!$B22:$ED22)</f>
        <v>45000</v>
      </c>
      <c r="M22" s="39">
        <f>SUMIF('Redlands Pro Forma'!$B$8:$ED$8,'Annual Projections'!M$8,'Redlands Pro Forma'!$B22:$ED22)</f>
        <v>45000</v>
      </c>
    </row>
    <row r="23" spans="1:13" ht="19.149999999999999" customHeight="1" x14ac:dyDescent="0.4">
      <c r="A23" s="11" t="s">
        <v>21</v>
      </c>
      <c r="B23" s="39"/>
      <c r="C23" s="39">
        <f>SUMIF('Redlands Pro Forma'!$B$8:$ED$8,'Annual Projections'!C$8,'Redlands Pro Forma'!$B23:$ED23)</f>
        <v>20000</v>
      </c>
      <c r="D23" s="39">
        <f>SUMIF('Redlands Pro Forma'!$B$8:$ED$8,'Annual Projections'!D$8,'Redlands Pro Forma'!$B23:$ED23)</f>
        <v>20000</v>
      </c>
      <c r="E23" s="39">
        <f>SUMIF('Redlands Pro Forma'!$B$8:$ED$8,'Annual Projections'!E$8,'Redlands Pro Forma'!$B23:$ED23)</f>
        <v>20000</v>
      </c>
      <c r="F23" s="39">
        <f>SUMIF('Redlands Pro Forma'!$B$8:$ED$8,'Annual Projections'!F$8,'Redlands Pro Forma'!$B23:$ED23)</f>
        <v>20000</v>
      </c>
      <c r="G23" s="39">
        <f>SUMIF('Redlands Pro Forma'!$B$8:$ED$8,'Annual Projections'!G$8,'Redlands Pro Forma'!$B23:$ED23)</f>
        <v>20000</v>
      </c>
      <c r="H23" s="39">
        <f>SUMIF('Redlands Pro Forma'!$B$8:$ED$8,'Annual Projections'!H$8,'Redlands Pro Forma'!$B23:$ED23)</f>
        <v>20000</v>
      </c>
      <c r="I23" s="39">
        <f>SUMIF('Redlands Pro Forma'!$B$8:$ED$8,'Annual Projections'!I$8,'Redlands Pro Forma'!$B23:$ED23)</f>
        <v>20000</v>
      </c>
      <c r="J23" s="39">
        <f>SUMIF('Redlands Pro Forma'!$B$8:$ED$8,'Annual Projections'!J$8,'Redlands Pro Forma'!$B23:$ED23)</f>
        <v>20000</v>
      </c>
      <c r="K23" s="39">
        <f>SUMIF('Redlands Pro Forma'!$B$8:$ED$8,'Annual Projections'!K$8,'Redlands Pro Forma'!$B23:$ED23)</f>
        <v>20000</v>
      </c>
      <c r="L23" s="39">
        <f>SUMIF('Redlands Pro Forma'!$B$8:$ED$8,'Annual Projections'!L$8,'Redlands Pro Forma'!$B23:$ED23)</f>
        <v>20000</v>
      </c>
      <c r="M23" s="39">
        <f>SUMIF('Redlands Pro Forma'!$B$8:$ED$8,'Annual Projections'!M$8,'Redlands Pro Forma'!$B23:$ED23)</f>
        <v>20000</v>
      </c>
    </row>
    <row r="24" spans="1:13" ht="19.149999999999999" customHeight="1" x14ac:dyDescent="0.4">
      <c r="A24" s="11" t="s">
        <v>22</v>
      </c>
      <c r="B24" s="39"/>
      <c r="C24" s="39">
        <f>SUMIF('Redlands Pro Forma'!$B$8:$ED$8,'Annual Projections'!C$8,'Redlands Pro Forma'!$B24:$ED24)</f>
        <v>150000</v>
      </c>
      <c r="D24" s="39">
        <f>SUMIF('Redlands Pro Forma'!$B$8:$ED$8,'Annual Projections'!D$8,'Redlands Pro Forma'!$B24:$ED24)</f>
        <v>153000</v>
      </c>
      <c r="E24" s="39">
        <f>SUMIF('Redlands Pro Forma'!$B$8:$ED$8,'Annual Projections'!E$8,'Redlands Pro Forma'!$B24:$ED24)</f>
        <v>156060</v>
      </c>
      <c r="F24" s="39">
        <f>SUMIF('Redlands Pro Forma'!$B$8:$ED$8,'Annual Projections'!F$8,'Redlands Pro Forma'!$B24:$ED24)</f>
        <v>159181.20000000004</v>
      </c>
      <c r="G24" s="39">
        <f>SUMIF('Redlands Pro Forma'!$B$8:$ED$8,'Annual Projections'!G$8,'Redlands Pro Forma'!$B24:$ED24)</f>
        <v>162364.82399999999</v>
      </c>
      <c r="H24" s="39">
        <f>SUMIF('Redlands Pro Forma'!$B$8:$ED$8,'Annual Projections'!H$8,'Redlands Pro Forma'!$B24:$ED24)</f>
        <v>165612.12047999995</v>
      </c>
      <c r="I24" s="39">
        <f>SUMIF('Redlands Pro Forma'!$B$8:$ED$8,'Annual Projections'!I$8,'Redlands Pro Forma'!$B24:$ED24)</f>
        <v>168924.36288960002</v>
      </c>
      <c r="J24" s="39">
        <f>SUMIF('Redlands Pro Forma'!$B$8:$ED$8,'Annual Projections'!J$8,'Redlands Pro Forma'!$B24:$ED24)</f>
        <v>850119.28891387873</v>
      </c>
      <c r="K24" s="39">
        <f>SUMIF('Redlands Pro Forma'!$B$8:$ED$8,'Annual Projections'!K$8,'Redlands Pro Forma'!$B24:$ED24)</f>
        <v>867121.67469215684</v>
      </c>
      <c r="L24" s="39">
        <f>SUMIF('Redlands Pro Forma'!$B$8:$ED$8,'Annual Projections'!L$8,'Redlands Pro Forma'!$B24:$ED24)</f>
        <v>884464.10818599991</v>
      </c>
      <c r="M24" s="39">
        <f>SUMIF('Redlands Pro Forma'!$B$8:$ED$8,'Annual Projections'!M$8,'Redlands Pro Forma'!$B24:$ED24)</f>
        <v>902153.39034972002</v>
      </c>
    </row>
    <row r="25" spans="1:13" ht="19.149999999999999" customHeight="1" x14ac:dyDescent="0.4">
      <c r="A25" s="10" t="s">
        <v>23</v>
      </c>
      <c r="B25" s="185"/>
      <c r="C25" s="185">
        <f>SUMIF('Redlands Pro Forma'!$B$8:$ED$8,'Annual Projections'!C$8,'Redlands Pro Forma'!$B25:$ED25)</f>
        <v>259999.99999999991</v>
      </c>
      <c r="D25" s="185">
        <f>SUMIF('Redlands Pro Forma'!$B$8:$ED$8,'Annual Projections'!D$8,'Redlands Pro Forma'!$B25:$ED25)</f>
        <v>262999.99999999994</v>
      </c>
      <c r="E25" s="185">
        <f>SUMIF('Redlands Pro Forma'!$B$8:$ED$8,'Annual Projections'!E$8,'Redlands Pro Forma'!$B25:$ED25)</f>
        <v>266059.99999999994</v>
      </c>
      <c r="F25" s="185">
        <f>SUMIF('Redlands Pro Forma'!$B$8:$ED$8,'Annual Projections'!F$8,'Redlands Pro Forma'!$B25:$ED25)</f>
        <v>269181.19999999995</v>
      </c>
      <c r="G25" s="185">
        <f>SUMIF('Redlands Pro Forma'!$B$8:$ED$8,'Annual Projections'!G$8,'Redlands Pro Forma'!$B25:$ED25)</f>
        <v>272364.82399999996</v>
      </c>
      <c r="H25" s="185">
        <f>SUMIF('Redlands Pro Forma'!$B$8:$ED$8,'Annual Projections'!H$8,'Redlands Pro Forma'!$B25:$ED25)</f>
        <v>275612.12047999993</v>
      </c>
      <c r="I25" s="185">
        <f>SUMIF('Redlands Pro Forma'!$B$8:$ED$8,'Annual Projections'!I$8,'Redlands Pro Forma'!$B25:$ED25)</f>
        <v>278924.36288959993</v>
      </c>
      <c r="J25" s="185">
        <f>SUMIF('Redlands Pro Forma'!$B$8:$ED$8,'Annual Projections'!J$8,'Redlands Pro Forma'!$B25:$ED25)</f>
        <v>960119.28891387919</v>
      </c>
      <c r="K25" s="185">
        <f>SUMIF('Redlands Pro Forma'!$B$8:$ED$8,'Annual Projections'!K$8,'Redlands Pro Forma'!$B25:$ED25)</f>
        <v>977121.67469215672</v>
      </c>
      <c r="L25" s="185">
        <f>SUMIF('Redlands Pro Forma'!$B$8:$ED$8,'Annual Projections'!L$8,'Redlands Pro Forma'!$B25:$ED25)</f>
        <v>994464.10818599968</v>
      </c>
      <c r="M25" s="185">
        <f>SUMIF('Redlands Pro Forma'!$B$8:$ED$8,'Annual Projections'!M$8,'Redlands Pro Forma'!$B25:$ED25)</f>
        <v>1012153.3903497198</v>
      </c>
    </row>
    <row r="26" spans="1:13" ht="19.149999999999999" customHeight="1" x14ac:dyDescent="0.4">
      <c r="A26" s="6" t="s">
        <v>24</v>
      </c>
      <c r="B26" s="80"/>
      <c r="C26" s="80">
        <f>SUMIF('Redlands Pro Forma'!$B$8:$ED$8,'Annual Projections'!C$8,'Redlands Pro Forma'!$B26:$ED26)</f>
        <v>259999.99999999991</v>
      </c>
      <c r="D26" s="80">
        <f>SUMIF('Redlands Pro Forma'!$B$8:$ED$8,'Annual Projections'!D$8,'Redlands Pro Forma'!$B26:$ED26)</f>
        <v>262999.99999999994</v>
      </c>
      <c r="E26" s="80">
        <f>SUMIF('Redlands Pro Forma'!$B$8:$ED$8,'Annual Projections'!E$8,'Redlands Pro Forma'!$B26:$ED26)</f>
        <v>266059.99999999994</v>
      </c>
      <c r="F26" s="80">
        <f>SUMIF('Redlands Pro Forma'!$B$8:$ED$8,'Annual Projections'!F$8,'Redlands Pro Forma'!$B26:$ED26)</f>
        <v>269181.19999999995</v>
      </c>
      <c r="G26" s="80">
        <f>SUMIF('Redlands Pro Forma'!$B$8:$ED$8,'Annual Projections'!G$8,'Redlands Pro Forma'!$B26:$ED26)</f>
        <v>272364.82399999996</v>
      </c>
      <c r="H26" s="80">
        <f>SUMIF('Redlands Pro Forma'!$B$8:$ED$8,'Annual Projections'!H$8,'Redlands Pro Forma'!$B26:$ED26)</f>
        <v>275612.12047999993</v>
      </c>
      <c r="I26" s="80">
        <f>SUMIF('Redlands Pro Forma'!$B$8:$ED$8,'Annual Projections'!I$8,'Redlands Pro Forma'!$B26:$ED26)</f>
        <v>278924.36288959993</v>
      </c>
      <c r="J26" s="80">
        <f>SUMIF('Redlands Pro Forma'!$B$8:$ED$8,'Annual Projections'!J$8,'Redlands Pro Forma'!$B26:$ED26)</f>
        <v>960119.28891387919</v>
      </c>
      <c r="K26" s="80">
        <f>SUMIF('Redlands Pro Forma'!$B$8:$ED$8,'Annual Projections'!K$8,'Redlands Pro Forma'!$B26:$ED26)</f>
        <v>977121.67469215672</v>
      </c>
      <c r="L26" s="80">
        <f>SUMIF('Redlands Pro Forma'!$B$8:$ED$8,'Annual Projections'!L$8,'Redlands Pro Forma'!$B26:$ED26)</f>
        <v>994464.10818599968</v>
      </c>
      <c r="M26" s="80">
        <f>SUMIF('Redlands Pro Forma'!$B$8:$ED$8,'Annual Projections'!M$8,'Redlands Pro Forma'!$B26:$ED26)</f>
        <v>1012153.3903497198</v>
      </c>
    </row>
    <row r="27" spans="1:13" ht="19.149999999999999" customHeight="1" x14ac:dyDescent="0.4">
      <c r="A27" s="5" t="s">
        <v>17</v>
      </c>
      <c r="B27" s="38"/>
      <c r="C27" s="38">
        <f>SUMIF('Redlands Pro Forma'!$B$8:$ED$8,'Annual Projections'!C$8,'Redlands Pro Forma'!$B27:$ED27)</f>
        <v>0</v>
      </c>
      <c r="D27" s="38">
        <f>SUMIF('Redlands Pro Forma'!$B$8:$ED$8,'Annual Projections'!D$8,'Redlands Pro Forma'!$B27:$ED27)</f>
        <v>0</v>
      </c>
      <c r="E27" s="38">
        <f>SUMIF('Redlands Pro Forma'!$B$8:$ED$8,'Annual Projections'!E$8,'Redlands Pro Forma'!$B27:$ED27)</f>
        <v>0</v>
      </c>
      <c r="F27" s="38">
        <f>SUMIF('Redlands Pro Forma'!$B$8:$ED$8,'Annual Projections'!F$8,'Redlands Pro Forma'!$B27:$ED27)</f>
        <v>0</v>
      </c>
      <c r="G27" s="38">
        <f>SUMIF('Redlands Pro Forma'!$B$8:$ED$8,'Annual Projections'!G$8,'Redlands Pro Forma'!$B27:$ED27)</f>
        <v>0</v>
      </c>
      <c r="H27" s="38">
        <f>SUMIF('Redlands Pro Forma'!$B$8:$ED$8,'Annual Projections'!H$8,'Redlands Pro Forma'!$B27:$ED27)</f>
        <v>0</v>
      </c>
      <c r="I27" s="38">
        <f>SUMIF('Redlands Pro Forma'!$B$8:$ED$8,'Annual Projections'!I$8,'Redlands Pro Forma'!$B27:$ED27)</f>
        <v>0</v>
      </c>
      <c r="J27" s="38">
        <f>SUMIF('Redlands Pro Forma'!$B$8:$ED$8,'Annual Projections'!J$8,'Redlands Pro Forma'!$B27:$ED27)</f>
        <v>0</v>
      </c>
      <c r="K27" s="38">
        <f>SUMIF('Redlands Pro Forma'!$B$8:$ED$8,'Annual Projections'!K$8,'Redlands Pro Forma'!$B27:$ED27)</f>
        <v>0</v>
      </c>
      <c r="L27" s="38">
        <f>SUMIF('Redlands Pro Forma'!$B$8:$ED$8,'Annual Projections'!L$8,'Redlands Pro Forma'!$B27:$ED27)</f>
        <v>0</v>
      </c>
      <c r="M27" s="38">
        <f>SUMIF('Redlands Pro Forma'!$B$8:$ED$8,'Annual Projections'!M$8,'Redlands Pro Forma'!$B27:$ED27)</f>
        <v>0</v>
      </c>
    </row>
    <row r="28" spans="1:13" ht="19.149999999999999" customHeight="1" x14ac:dyDescent="0.4">
      <c r="A28" s="6" t="s">
        <v>25</v>
      </c>
      <c r="B28" s="80"/>
      <c r="C28" s="80">
        <f>SUMIF('Redlands Pro Forma'!$B$8:$ED$8,'Annual Projections'!C$8,'Redlands Pro Forma'!$B28:$ED28)</f>
        <v>4159865.7027253783</v>
      </c>
      <c r="D28" s="80">
        <f>SUMIF('Redlands Pro Forma'!$B$8:$ED$8,'Annual Projections'!D$8,'Redlands Pro Forma'!$B28:$ED28)</f>
        <v>4240863.0167798875</v>
      </c>
      <c r="E28" s="80">
        <f>SUMIF('Redlands Pro Forma'!$B$8:$ED$8,'Annual Projections'!E$8,'Redlands Pro Forma'!$B28:$ED28)</f>
        <v>4323480.2771154856</v>
      </c>
      <c r="F28" s="80">
        <f>SUMIF('Redlands Pro Forma'!$B$8:$ED$8,'Annual Projections'!F$8,'Redlands Pro Forma'!$B28:$ED28)</f>
        <v>4407749.8826577934</v>
      </c>
      <c r="G28" s="80">
        <f>SUMIF('Redlands Pro Forma'!$B$8:$ED$8,'Annual Projections'!G$8,'Redlands Pro Forma'!$B28:$ED28)</f>
        <v>4493704.8803109508</v>
      </c>
      <c r="H28" s="80">
        <f>SUMIF('Redlands Pro Forma'!$B$8:$ED$8,'Annual Projections'!H$8,'Redlands Pro Forma'!$B28:$ED28)</f>
        <v>4581378.9779171683</v>
      </c>
      <c r="I28" s="80">
        <f>SUMIF('Redlands Pro Forma'!$B$8:$ED$8,'Annual Projections'!I$8,'Redlands Pro Forma'!$B28:$ED28)</f>
        <v>4670806.5574755138</v>
      </c>
      <c r="J28" s="80">
        <f>SUMIF('Redlands Pro Forma'!$B$8:$ED$8,'Annual Projections'!J$8,'Redlands Pro Forma'!$B28:$ED28)</f>
        <v>7217423.756111335</v>
      </c>
      <c r="K28" s="80">
        <f>SUMIF('Redlands Pro Forma'!$B$8:$ED$8,'Annual Projections'!K$8,'Redlands Pro Forma'!$B28:$ED28)</f>
        <v>7556497.3212457122</v>
      </c>
      <c r="L28" s="80">
        <f>SUMIF('Redlands Pro Forma'!$B$8:$ED$8,'Annual Projections'!L$8,'Redlands Pro Forma'!$B28:$ED28)</f>
        <v>7738324.1459033927</v>
      </c>
      <c r="M28" s="80">
        <f>SUMIF('Redlands Pro Forma'!$B$8:$ED$8,'Annual Projections'!M$8,'Redlands Pro Forma'!$B28:$ED28)</f>
        <v>7924609.9290100457</v>
      </c>
    </row>
    <row r="29" spans="1:13" ht="19.149999999999999" customHeight="1" x14ac:dyDescent="0.4">
      <c r="A29" s="5" t="s">
        <v>17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 ht="19.149999999999999" customHeight="1" x14ac:dyDescent="0.4">
      <c r="A30" s="6" t="s">
        <v>26</v>
      </c>
      <c r="B30" s="80"/>
      <c r="C30" s="80">
        <f>SUMIF('Redlands Pro Forma'!$B$8:$ED$8,'Annual Projections'!C$8,'Redlands Pro Forma'!$B30:$ED30)</f>
        <v>4159865.7027253783</v>
      </c>
      <c r="D30" s="80">
        <f>SUMIF('Redlands Pro Forma'!$B$8:$ED$8,'Annual Projections'!D$8,'Redlands Pro Forma'!$B30:$ED30)</f>
        <v>4240863.0167798875</v>
      </c>
      <c r="E30" s="80">
        <f>SUMIF('Redlands Pro Forma'!$B$8:$ED$8,'Annual Projections'!E$8,'Redlands Pro Forma'!$B30:$ED30)</f>
        <v>4323480.2771154856</v>
      </c>
      <c r="F30" s="80">
        <f>SUMIF('Redlands Pro Forma'!$B$8:$ED$8,'Annual Projections'!F$8,'Redlands Pro Forma'!$B30:$ED30)</f>
        <v>4407749.8826577934</v>
      </c>
      <c r="G30" s="80">
        <f>SUMIF('Redlands Pro Forma'!$B$8:$ED$8,'Annual Projections'!G$8,'Redlands Pro Forma'!$B30:$ED30)</f>
        <v>4493704.8803109508</v>
      </c>
      <c r="H30" s="80">
        <f>SUMIF('Redlands Pro Forma'!$B$8:$ED$8,'Annual Projections'!H$8,'Redlands Pro Forma'!$B30:$ED30)</f>
        <v>4581378.9779171683</v>
      </c>
      <c r="I30" s="80">
        <f>SUMIF('Redlands Pro Forma'!$B$8:$ED$8,'Annual Projections'!I$8,'Redlands Pro Forma'!$B30:$ED30)</f>
        <v>4670806.5574755138</v>
      </c>
      <c r="J30" s="80">
        <f>SUMIF('Redlands Pro Forma'!$B$8:$ED$8,'Annual Projections'!J$8,'Redlands Pro Forma'!$B30:$ED30)</f>
        <v>7217423.756111335</v>
      </c>
      <c r="K30" s="80">
        <f>SUMIF('Redlands Pro Forma'!$B$8:$ED$8,'Annual Projections'!K$8,'Redlands Pro Forma'!$B30:$ED30)</f>
        <v>7556497.3212457122</v>
      </c>
      <c r="L30" s="80">
        <f>SUMIF('Redlands Pro Forma'!$B$8:$ED$8,'Annual Projections'!L$8,'Redlands Pro Forma'!$B30:$ED30)</f>
        <v>7738324.1459033927</v>
      </c>
      <c r="M30" s="80">
        <f>SUMIF('Redlands Pro Forma'!$B$8:$ED$8,'Annual Projections'!M$8,'Redlands Pro Forma'!$B30:$ED30)</f>
        <v>7924609.9290100457</v>
      </c>
    </row>
    <row r="31" spans="1:13" ht="19.149999999999999" customHeight="1" x14ac:dyDescent="0.4">
      <c r="A31" s="5" t="s">
        <v>17</v>
      </c>
      <c r="B31" s="38"/>
      <c r="C31" s="38">
        <f>SUMIF('Redlands Pro Forma'!$B$8:$ED$8,'Annual Projections'!C$8,'Redlands Pro Forma'!$B31:$ED31)</f>
        <v>0</v>
      </c>
      <c r="D31" s="38">
        <f>SUMIF('Redlands Pro Forma'!$B$8:$ED$8,'Annual Projections'!D$8,'Redlands Pro Forma'!$B31:$ED31)</f>
        <v>0</v>
      </c>
      <c r="E31" s="38">
        <f>SUMIF('Redlands Pro Forma'!$B$8:$ED$8,'Annual Projections'!E$8,'Redlands Pro Forma'!$B31:$ED31)</f>
        <v>0</v>
      </c>
      <c r="F31" s="38">
        <f>SUMIF('Redlands Pro Forma'!$B$8:$ED$8,'Annual Projections'!F$8,'Redlands Pro Forma'!$B31:$ED31)</f>
        <v>0</v>
      </c>
      <c r="G31" s="38">
        <f>SUMIF('Redlands Pro Forma'!$B$8:$ED$8,'Annual Projections'!G$8,'Redlands Pro Forma'!$B31:$ED31)</f>
        <v>0</v>
      </c>
      <c r="H31" s="38">
        <f>SUMIF('Redlands Pro Forma'!$B$8:$ED$8,'Annual Projections'!H$8,'Redlands Pro Forma'!$B31:$ED31)</f>
        <v>0</v>
      </c>
      <c r="I31" s="38">
        <f>SUMIF('Redlands Pro Forma'!$B$8:$ED$8,'Annual Projections'!I$8,'Redlands Pro Forma'!$B31:$ED31)</f>
        <v>0</v>
      </c>
      <c r="J31" s="38">
        <f>SUMIF('Redlands Pro Forma'!$B$8:$ED$8,'Annual Projections'!J$8,'Redlands Pro Forma'!$B31:$ED31)</f>
        <v>0</v>
      </c>
      <c r="K31" s="38">
        <f>SUMIF('Redlands Pro Forma'!$B$8:$ED$8,'Annual Projections'!K$8,'Redlands Pro Forma'!$B31:$ED31)</f>
        <v>0</v>
      </c>
      <c r="L31" s="38">
        <f>SUMIF('Redlands Pro Forma'!$B$8:$ED$8,'Annual Projections'!L$8,'Redlands Pro Forma'!$B31:$ED31)</f>
        <v>0</v>
      </c>
      <c r="M31" s="38">
        <f>SUMIF('Redlands Pro Forma'!$B$8:$ED$8,'Annual Projections'!M$8,'Redlands Pro Forma'!$B31:$ED31)</f>
        <v>0</v>
      </c>
    </row>
    <row r="32" spans="1:13" ht="19.149999999999999" customHeight="1" x14ac:dyDescent="0.4">
      <c r="A32" s="2" t="s">
        <v>27</v>
      </c>
      <c r="B32" s="38"/>
      <c r="C32" s="38">
        <f>SUMIF('Redlands Pro Forma'!$B$8:$ED$8,'Annual Projections'!C$8,'Redlands Pro Forma'!$B32:$ED32)</f>
        <v>0</v>
      </c>
      <c r="D32" s="38">
        <f>SUMIF('Redlands Pro Forma'!$B$8:$ED$8,'Annual Projections'!D$8,'Redlands Pro Forma'!$B32:$ED32)</f>
        <v>0</v>
      </c>
      <c r="E32" s="38">
        <f>SUMIF('Redlands Pro Forma'!$B$8:$ED$8,'Annual Projections'!E$8,'Redlands Pro Forma'!$B32:$ED32)</f>
        <v>0</v>
      </c>
      <c r="F32" s="38">
        <f>SUMIF('Redlands Pro Forma'!$B$8:$ED$8,'Annual Projections'!F$8,'Redlands Pro Forma'!$B32:$ED32)</f>
        <v>0</v>
      </c>
      <c r="G32" s="38">
        <f>SUMIF('Redlands Pro Forma'!$B$8:$ED$8,'Annual Projections'!G$8,'Redlands Pro Forma'!$B32:$ED32)</f>
        <v>0</v>
      </c>
      <c r="H32" s="38">
        <f>SUMIF('Redlands Pro Forma'!$B$8:$ED$8,'Annual Projections'!H$8,'Redlands Pro Forma'!$B32:$ED32)</f>
        <v>0</v>
      </c>
      <c r="I32" s="38">
        <f>SUMIF('Redlands Pro Forma'!$B$8:$ED$8,'Annual Projections'!I$8,'Redlands Pro Forma'!$B32:$ED32)</f>
        <v>0</v>
      </c>
      <c r="J32" s="38">
        <f>SUMIF('Redlands Pro Forma'!$B$8:$ED$8,'Annual Projections'!J$8,'Redlands Pro Forma'!$B32:$ED32)</f>
        <v>0</v>
      </c>
      <c r="K32" s="38">
        <f>SUMIF('Redlands Pro Forma'!$B$8:$ED$8,'Annual Projections'!K$8,'Redlands Pro Forma'!$B32:$ED32)</f>
        <v>0</v>
      </c>
      <c r="L32" s="38">
        <f>SUMIF('Redlands Pro Forma'!$B$8:$ED$8,'Annual Projections'!L$8,'Redlands Pro Forma'!$B32:$ED32)</f>
        <v>0</v>
      </c>
      <c r="M32" s="38">
        <f>SUMIF('Redlands Pro Forma'!$B$8:$ED$8,'Annual Projections'!M$8,'Redlands Pro Forma'!$B32:$ED32)</f>
        <v>0</v>
      </c>
    </row>
    <row r="33" spans="1:13" ht="19.149999999999999" customHeight="1" x14ac:dyDescent="0.4">
      <c r="A33" s="10" t="s">
        <v>28</v>
      </c>
      <c r="B33" s="80"/>
      <c r="C33" s="80">
        <f>SUMIF('Redlands Pro Forma'!$B$8:$ED$8,'Annual Projections'!C$8,'Redlands Pro Forma'!$B33:$ED33)</f>
        <v>-415986.57027253805</v>
      </c>
      <c r="D33" s="80">
        <f>SUMIF('Redlands Pro Forma'!$B$8:$ED$8,'Annual Projections'!D$8,'Redlands Pro Forma'!$B33:$ED33)</f>
        <v>-424086.30167798878</v>
      </c>
      <c r="E33" s="80">
        <f>SUMIF('Redlands Pro Forma'!$B$8:$ED$8,'Annual Projections'!E$8,'Redlands Pro Forma'!$B33:$ED33)</f>
        <v>-432348.02771154844</v>
      </c>
      <c r="F33" s="80">
        <f>SUMIF('Redlands Pro Forma'!$B$8:$ED$8,'Annual Projections'!F$8,'Redlands Pro Forma'!$B33:$ED33)</f>
        <v>-440774.98826577928</v>
      </c>
      <c r="G33" s="80">
        <f>SUMIF('Redlands Pro Forma'!$B$8:$ED$8,'Annual Projections'!G$8,'Redlands Pro Forma'!$B33:$ED33)</f>
        <v>-449370.48803109507</v>
      </c>
      <c r="H33" s="80">
        <f>SUMIF('Redlands Pro Forma'!$B$8:$ED$8,'Annual Projections'!H$8,'Redlands Pro Forma'!$B33:$ED33)</f>
        <v>-458137.89779171691</v>
      </c>
      <c r="I33" s="80">
        <f>SUMIF('Redlands Pro Forma'!$B$8:$ED$8,'Annual Projections'!I$8,'Redlands Pro Forma'!$B33:$ED33)</f>
        <v>-467080.65574755141</v>
      </c>
      <c r="J33" s="80">
        <f>SUMIF('Redlands Pro Forma'!$B$8:$ED$8,'Annual Projections'!J$8,'Redlands Pro Forma'!$B33:$ED33)</f>
        <v>-721742.37561113329</v>
      </c>
      <c r="K33" s="80">
        <f>SUMIF('Redlands Pro Forma'!$B$8:$ED$8,'Annual Projections'!K$8,'Redlands Pro Forma'!$B33:$ED33)</f>
        <v>-755649.73212457157</v>
      </c>
      <c r="L33" s="80">
        <f>SUMIF('Redlands Pro Forma'!$B$8:$ED$8,'Annual Projections'!L$8,'Redlands Pro Forma'!$B33:$ED33)</f>
        <v>-773832.41459033953</v>
      </c>
      <c r="M33" s="80">
        <f>SUMIF('Redlands Pro Forma'!$B$8:$ED$8,'Annual Projections'!M$8,'Redlands Pro Forma'!$B33:$ED33)</f>
        <v>-792460.99290100497</v>
      </c>
    </row>
    <row r="34" spans="1:13" ht="19.149999999999999" customHeight="1" x14ac:dyDescent="0.4">
      <c r="A34" s="6" t="s">
        <v>29</v>
      </c>
      <c r="B34" s="80"/>
      <c r="C34" s="80">
        <f>SUMIF('Redlands Pro Forma'!$B$8:$ED$8,'Annual Projections'!C$8,'Redlands Pro Forma'!$B34:$ED34)</f>
        <v>-415986.57027253805</v>
      </c>
      <c r="D34" s="80">
        <f>SUMIF('Redlands Pro Forma'!$B$8:$ED$8,'Annual Projections'!D$8,'Redlands Pro Forma'!$B34:$ED34)</f>
        <v>-424086.30167798878</v>
      </c>
      <c r="E34" s="80">
        <f>SUMIF('Redlands Pro Forma'!$B$8:$ED$8,'Annual Projections'!E$8,'Redlands Pro Forma'!$B34:$ED34)</f>
        <v>-432348.02771154844</v>
      </c>
      <c r="F34" s="80">
        <f>SUMIF('Redlands Pro Forma'!$B$8:$ED$8,'Annual Projections'!F$8,'Redlands Pro Forma'!$B34:$ED34)</f>
        <v>-440774.98826577928</v>
      </c>
      <c r="G34" s="80">
        <f>SUMIF('Redlands Pro Forma'!$B$8:$ED$8,'Annual Projections'!G$8,'Redlands Pro Forma'!$B34:$ED34)</f>
        <v>-449370.48803109507</v>
      </c>
      <c r="H34" s="80">
        <f>SUMIF('Redlands Pro Forma'!$B$8:$ED$8,'Annual Projections'!H$8,'Redlands Pro Forma'!$B34:$ED34)</f>
        <v>-458137.89779171691</v>
      </c>
      <c r="I34" s="80">
        <f>SUMIF('Redlands Pro Forma'!$B$8:$ED$8,'Annual Projections'!I$8,'Redlands Pro Forma'!$B34:$ED34)</f>
        <v>-467080.65574755141</v>
      </c>
      <c r="J34" s="80">
        <f>SUMIF('Redlands Pro Forma'!$B$8:$ED$8,'Annual Projections'!J$8,'Redlands Pro Forma'!$B34:$ED34)</f>
        <v>-721742.37561113329</v>
      </c>
      <c r="K34" s="80">
        <f>SUMIF('Redlands Pro Forma'!$B$8:$ED$8,'Annual Projections'!K$8,'Redlands Pro Forma'!$B34:$ED34)</f>
        <v>-755649.73212457157</v>
      </c>
      <c r="L34" s="80">
        <f>SUMIF('Redlands Pro Forma'!$B$8:$ED$8,'Annual Projections'!L$8,'Redlands Pro Forma'!$B34:$ED34)</f>
        <v>-773832.41459033953</v>
      </c>
      <c r="M34" s="80">
        <f>SUMIF('Redlands Pro Forma'!$B$8:$ED$8,'Annual Projections'!M$8,'Redlands Pro Forma'!$B34:$ED34)</f>
        <v>-792460.99290100497</v>
      </c>
    </row>
    <row r="35" spans="1:13" ht="19.149999999999999" customHeight="1" x14ac:dyDescent="0.4">
      <c r="A35" s="5" t="s">
        <v>17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spans="1:13" ht="19.149999999999999" customHeight="1" x14ac:dyDescent="0.4">
      <c r="A36" s="6" t="s">
        <v>30</v>
      </c>
      <c r="B36" s="80"/>
      <c r="C36" s="80">
        <f>SUMIF('Redlands Pro Forma'!$B$8:$ED$8,'Annual Projections'!C$8,'Redlands Pro Forma'!$B36:$ED36)</f>
        <v>3743879.13245284</v>
      </c>
      <c r="D36" s="80">
        <f>SUMIF('Redlands Pro Forma'!$B$8:$ED$8,'Annual Projections'!D$8,'Redlands Pro Forma'!$B36:$ED36)</f>
        <v>3816776.7151018982</v>
      </c>
      <c r="E36" s="80">
        <f>SUMIF('Redlands Pro Forma'!$B$8:$ED$8,'Annual Projections'!E$8,'Redlands Pro Forma'!$B36:$ED36)</f>
        <v>3891132.2494039363</v>
      </c>
      <c r="F36" s="80">
        <f>SUMIF('Redlands Pro Forma'!$B$8:$ED$8,'Annual Projections'!F$8,'Redlands Pro Forma'!$B36:$ED36)</f>
        <v>3966974.8943920149</v>
      </c>
      <c r="G36" s="80">
        <f>SUMIF('Redlands Pro Forma'!$B$8:$ED$8,'Annual Projections'!G$8,'Redlands Pro Forma'!$B36:$ED36)</f>
        <v>4044334.3922798545</v>
      </c>
      <c r="H36" s="80">
        <f>SUMIF('Redlands Pro Forma'!$B$8:$ED$8,'Annual Projections'!H$8,'Redlands Pro Forma'!$B36:$ED36)</f>
        <v>4123241.0801254506</v>
      </c>
      <c r="I36" s="80">
        <f>SUMIF('Redlands Pro Forma'!$B$8:$ED$8,'Annual Projections'!I$8,'Redlands Pro Forma'!$B36:$ED36)</f>
        <v>4203725.9017279623</v>
      </c>
      <c r="J36" s="80">
        <f>SUMIF('Redlands Pro Forma'!$B$8:$ED$8,'Annual Projections'!J$8,'Redlands Pro Forma'!$B36:$ED36)</f>
        <v>6495681.3805002011</v>
      </c>
      <c r="K36" s="80">
        <f>SUMIF('Redlands Pro Forma'!$B$8:$ED$8,'Annual Projections'!K$8,'Redlands Pro Forma'!$B36:$ED36)</f>
        <v>6800847.5891211396</v>
      </c>
      <c r="L36" s="80">
        <f>SUMIF('Redlands Pro Forma'!$B$8:$ED$8,'Annual Projections'!L$8,'Redlands Pro Forma'!$B36:$ED36)</f>
        <v>6964491.7313130507</v>
      </c>
      <c r="M36" s="80">
        <f>SUMIF('Redlands Pro Forma'!$B$8:$ED$8,'Annual Projections'!M$8,'Redlands Pro Forma'!$B36:$ED36)</f>
        <v>7132148.9361090427</v>
      </c>
    </row>
    <row r="37" spans="1:13" ht="19.149999999999999" customHeight="1" x14ac:dyDescent="0.4">
      <c r="A37" s="5" t="s">
        <v>17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spans="1:13" ht="19.149999999999999" customHeight="1" x14ac:dyDescent="0.4">
      <c r="A38" s="2" t="s">
        <v>31</v>
      </c>
      <c r="B38" s="2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1:13" ht="19.149999999999999" customHeight="1" x14ac:dyDescent="0.4">
      <c r="A39" s="11" t="s">
        <v>19</v>
      </c>
      <c r="B39" s="49">
        <f>'Redlands Pro Forma'!$C39*12</f>
        <v>45000</v>
      </c>
      <c r="C39" s="39">
        <f>SUMIF('Redlands Pro Forma'!$B$8:$ED$8,'Annual Projections'!C$8,'Redlands Pro Forma'!$B39:$ED39)</f>
        <v>45000</v>
      </c>
      <c r="D39" s="39">
        <f>SUMIF('Redlands Pro Forma'!$B$8:$ED$8,'Annual Projections'!D$8,'Redlands Pro Forma'!$B39:$ED39)</f>
        <v>46124.999999999993</v>
      </c>
      <c r="E39" s="39">
        <f>SUMIF('Redlands Pro Forma'!$B$8:$ED$8,'Annual Projections'!E$8,'Redlands Pro Forma'!$B39:$ED39)</f>
        <v>47278.124999999993</v>
      </c>
      <c r="F39" s="39">
        <f>SUMIF('Redlands Pro Forma'!$B$8:$ED$8,'Annual Projections'!F$8,'Redlands Pro Forma'!$B39:$ED39)</f>
        <v>48460.078124999993</v>
      </c>
      <c r="G39" s="39">
        <f>SUMIF('Redlands Pro Forma'!$B$8:$ED$8,'Annual Projections'!G$8,'Redlands Pro Forma'!$B39:$ED39)</f>
        <v>49671.580078124993</v>
      </c>
      <c r="H39" s="39">
        <f>SUMIF('Redlands Pro Forma'!$B$8:$ED$8,'Annual Projections'!H$8,'Redlands Pro Forma'!$B39:$ED39)</f>
        <v>50913.369580078121</v>
      </c>
      <c r="I39" s="39">
        <f>SUMIF('Redlands Pro Forma'!$B$8:$ED$8,'Annual Projections'!I$8,'Redlands Pro Forma'!$B39:$ED39)</f>
        <v>52186.203819580078</v>
      </c>
      <c r="J39" s="39">
        <f>SUMIF('Redlands Pro Forma'!$B$8:$ED$8,'Annual Projections'!J$8,'Redlands Pro Forma'!$B39:$ED39)</f>
        <v>53490.858915069555</v>
      </c>
      <c r="K39" s="39">
        <f>SUMIF('Redlands Pro Forma'!$B$8:$ED$8,'Annual Projections'!K$8,'Redlands Pro Forma'!$B39:$ED39)</f>
        <v>54828.130387946287</v>
      </c>
      <c r="L39" s="39">
        <f>SUMIF('Redlands Pro Forma'!$B$8:$ED$8,'Annual Projections'!L$8,'Redlands Pro Forma'!$B39:$ED39)</f>
        <v>56198.833647644933</v>
      </c>
      <c r="M39" s="39">
        <f>SUMIF('Redlands Pro Forma'!$B$8:$ED$8,'Annual Projections'!M$8,'Redlands Pro Forma'!$B39:$ED39)</f>
        <v>57603.804488836053</v>
      </c>
    </row>
    <row r="40" spans="1:13" ht="19.149999999999999" customHeight="1" x14ac:dyDescent="0.4">
      <c r="A40" s="11" t="s">
        <v>20</v>
      </c>
      <c r="B40" s="49">
        <f>'Redlands Pro Forma'!$C40*12</f>
        <v>45000</v>
      </c>
      <c r="C40" s="39">
        <f>SUMIF('Redlands Pro Forma'!$B$8:$ED$8,'Annual Projections'!C$8,'Redlands Pro Forma'!$B40:$ED40)</f>
        <v>45000</v>
      </c>
      <c r="D40" s="39">
        <f>SUMIF('Redlands Pro Forma'!$B$8:$ED$8,'Annual Projections'!D$8,'Redlands Pro Forma'!$B40:$ED40)</f>
        <v>46124.999999999993</v>
      </c>
      <c r="E40" s="39">
        <f>SUMIF('Redlands Pro Forma'!$B$8:$ED$8,'Annual Projections'!E$8,'Redlands Pro Forma'!$B40:$ED40)</f>
        <v>47278.124999999993</v>
      </c>
      <c r="F40" s="39">
        <f>SUMIF('Redlands Pro Forma'!$B$8:$ED$8,'Annual Projections'!F$8,'Redlands Pro Forma'!$B40:$ED40)</f>
        <v>48460.078124999993</v>
      </c>
      <c r="G40" s="39">
        <f>SUMIF('Redlands Pro Forma'!$B$8:$ED$8,'Annual Projections'!G$8,'Redlands Pro Forma'!$B40:$ED40)</f>
        <v>49671.580078124993</v>
      </c>
      <c r="H40" s="39">
        <f>SUMIF('Redlands Pro Forma'!$B$8:$ED$8,'Annual Projections'!H$8,'Redlands Pro Forma'!$B40:$ED40)</f>
        <v>50913.369580078121</v>
      </c>
      <c r="I40" s="39">
        <f>SUMIF('Redlands Pro Forma'!$B$8:$ED$8,'Annual Projections'!I$8,'Redlands Pro Forma'!$B40:$ED40)</f>
        <v>52186.203819580078</v>
      </c>
      <c r="J40" s="39">
        <f>SUMIF('Redlands Pro Forma'!$B$8:$ED$8,'Annual Projections'!J$8,'Redlands Pro Forma'!$B40:$ED40)</f>
        <v>53490.858915069555</v>
      </c>
      <c r="K40" s="39">
        <f>SUMIF('Redlands Pro Forma'!$B$8:$ED$8,'Annual Projections'!K$8,'Redlands Pro Forma'!$B40:$ED40)</f>
        <v>54828.130387946287</v>
      </c>
      <c r="L40" s="39">
        <f>SUMIF('Redlands Pro Forma'!$B$8:$ED$8,'Annual Projections'!L$8,'Redlands Pro Forma'!$B40:$ED40)</f>
        <v>56198.833647644933</v>
      </c>
      <c r="M40" s="39">
        <f>SUMIF('Redlands Pro Forma'!$B$8:$ED$8,'Annual Projections'!M$8,'Redlands Pro Forma'!$B40:$ED40)</f>
        <v>57603.804488836053</v>
      </c>
    </row>
    <row r="41" spans="1:13" ht="19.149999999999999" customHeight="1" x14ac:dyDescent="0.4">
      <c r="A41" s="11" t="s">
        <v>21</v>
      </c>
      <c r="B41" s="49">
        <f>'Redlands Pro Forma'!$C41*12</f>
        <v>20000</v>
      </c>
      <c r="C41" s="39">
        <f>SUMIF('Redlands Pro Forma'!$B$8:$ED$8,'Annual Projections'!C$8,'Redlands Pro Forma'!$B41:$ED41)</f>
        <v>20000</v>
      </c>
      <c r="D41" s="39">
        <f>SUMIF('Redlands Pro Forma'!$B$8:$ED$8,'Annual Projections'!D$8,'Redlands Pro Forma'!$B41:$ED41)</f>
        <v>20500</v>
      </c>
      <c r="E41" s="39">
        <f>SUMIF('Redlands Pro Forma'!$B$8:$ED$8,'Annual Projections'!E$8,'Redlands Pro Forma'!$B41:$ED41)</f>
        <v>21012.5</v>
      </c>
      <c r="F41" s="39">
        <f>SUMIF('Redlands Pro Forma'!$B$8:$ED$8,'Annual Projections'!F$8,'Redlands Pro Forma'!$B41:$ED41)</f>
        <v>21537.8125</v>
      </c>
      <c r="G41" s="39">
        <f>SUMIF('Redlands Pro Forma'!$B$8:$ED$8,'Annual Projections'!G$8,'Redlands Pro Forma'!$B41:$ED41)</f>
        <v>22076.2578125</v>
      </c>
      <c r="H41" s="39">
        <f>SUMIF('Redlands Pro Forma'!$B$8:$ED$8,'Annual Projections'!H$8,'Redlands Pro Forma'!$B41:$ED41)</f>
        <v>22628.164257812499</v>
      </c>
      <c r="I41" s="39">
        <f>SUMIF('Redlands Pro Forma'!$B$8:$ED$8,'Annual Projections'!I$8,'Redlands Pro Forma'!$B41:$ED41)</f>
        <v>23193.868364257811</v>
      </c>
      <c r="J41" s="39">
        <f>SUMIF('Redlands Pro Forma'!$B$8:$ED$8,'Annual Projections'!J$8,'Redlands Pro Forma'!$B41:$ED41)</f>
        <v>23773.715073364248</v>
      </c>
      <c r="K41" s="39">
        <f>SUMIF('Redlands Pro Forma'!$B$8:$ED$8,'Annual Projections'!K$8,'Redlands Pro Forma'!$B41:$ED41)</f>
        <v>24368.057950198356</v>
      </c>
      <c r="L41" s="39">
        <f>SUMIF('Redlands Pro Forma'!$B$8:$ED$8,'Annual Projections'!L$8,'Redlands Pro Forma'!$B41:$ED41)</f>
        <v>24977.259398953309</v>
      </c>
      <c r="M41" s="39">
        <f>SUMIF('Redlands Pro Forma'!$B$8:$ED$8,'Annual Projections'!M$8,'Redlands Pro Forma'!$B41:$ED41)</f>
        <v>25601.690883927138</v>
      </c>
    </row>
    <row r="42" spans="1:13" ht="19.149999999999999" customHeight="1" x14ac:dyDescent="0.4">
      <c r="A42" s="11" t="s">
        <v>22</v>
      </c>
      <c r="B42" s="49">
        <f>'Redlands Pro Forma'!$C42*12</f>
        <v>740080</v>
      </c>
      <c r="C42" s="39">
        <f>SUMIF('Redlands Pro Forma'!$B$8:$ED$8,'Annual Projections'!C$8,'Redlands Pro Forma'!$B42:$ED42)</f>
        <v>740080.00000000012</v>
      </c>
      <c r="D42" s="39">
        <f>SUMIF('Redlands Pro Forma'!$B$8:$ED$8,'Annual Projections'!D$8,'Redlands Pro Forma'!$B42:$ED42)</f>
        <v>754881.60000000009</v>
      </c>
      <c r="E42" s="39">
        <f>SUMIF('Redlands Pro Forma'!$B$8:$ED$8,'Annual Projections'!E$8,'Redlands Pro Forma'!$B42:$ED42)</f>
        <v>769979.23199999996</v>
      </c>
      <c r="F42" s="39">
        <f>SUMIF('Redlands Pro Forma'!$B$8:$ED$8,'Annual Projections'!F$8,'Redlands Pro Forma'!$B42:$ED42)</f>
        <v>785378.81663999986</v>
      </c>
      <c r="G42" s="39">
        <f>SUMIF('Redlands Pro Forma'!$B$8:$ED$8,'Annual Projections'!G$8,'Redlands Pro Forma'!$B42:$ED42)</f>
        <v>801086.3929728003</v>
      </c>
      <c r="H42" s="39">
        <f>SUMIF('Redlands Pro Forma'!$B$8:$ED$8,'Annual Projections'!H$8,'Redlands Pro Forma'!$B42:$ED42)</f>
        <v>817108.12083225616</v>
      </c>
      <c r="I42" s="39">
        <f>SUMIF('Redlands Pro Forma'!$B$8:$ED$8,'Annual Projections'!I$8,'Redlands Pro Forma'!$B42:$ED42)</f>
        <v>833450.2832489009</v>
      </c>
      <c r="J42" s="39">
        <f>SUMIF('Redlands Pro Forma'!$B$8:$ED$8,'Annual Projections'!J$8,'Redlands Pro Forma'!$B42:$ED42)</f>
        <v>850119.28891387873</v>
      </c>
      <c r="K42" s="39">
        <f>SUMIF('Redlands Pro Forma'!$B$8:$ED$8,'Annual Projections'!K$8,'Redlands Pro Forma'!$B42:$ED42)</f>
        <v>867121.67469215684</v>
      </c>
      <c r="L42" s="39">
        <f>SUMIF('Redlands Pro Forma'!$B$8:$ED$8,'Annual Projections'!L$8,'Redlands Pro Forma'!$B42:$ED42)</f>
        <v>884464.10818599991</v>
      </c>
      <c r="M42" s="39">
        <f>SUMIF('Redlands Pro Forma'!$B$8:$ED$8,'Annual Projections'!M$8,'Redlands Pro Forma'!$B42:$ED42)</f>
        <v>902153.39034972002</v>
      </c>
    </row>
    <row r="43" spans="1:13" ht="19.149999999999999" customHeight="1" x14ac:dyDescent="0.4">
      <c r="A43" s="11" t="s">
        <v>32</v>
      </c>
      <c r="B43" s="11"/>
      <c r="C43" s="39">
        <f>SUMIF('Redlands Pro Forma'!$B$8:$ED$8,'Annual Projections'!C$8,'Redlands Pro Forma'!$B43:$ED43)</f>
        <v>112316.37397358521</v>
      </c>
      <c r="D43" s="39">
        <f>SUMIF('Redlands Pro Forma'!$B$8:$ED$8,'Annual Projections'!D$8,'Redlands Pro Forma'!$B43:$ED43)</f>
        <v>114503.30145305691</v>
      </c>
      <c r="E43" s="39">
        <f>SUMIF('Redlands Pro Forma'!$B$8:$ED$8,'Annual Projections'!E$8,'Redlands Pro Forma'!$B43:$ED43)</f>
        <v>116733.9674821181</v>
      </c>
      <c r="F43" s="39">
        <f>SUMIF('Redlands Pro Forma'!$B$8:$ED$8,'Annual Projections'!F$8,'Redlands Pro Forma'!$B43:$ED43)</f>
        <v>119009.24683176041</v>
      </c>
      <c r="G43" s="39">
        <f>SUMIF('Redlands Pro Forma'!$B$8:$ED$8,'Annual Projections'!G$8,'Redlands Pro Forma'!$B43:$ED43)</f>
        <v>121330.03176839561</v>
      </c>
      <c r="H43" s="39">
        <f>SUMIF('Redlands Pro Forma'!$B$8:$ED$8,'Annual Projections'!H$8,'Redlands Pro Forma'!$B43:$ED43)</f>
        <v>123697.23240376353</v>
      </c>
      <c r="I43" s="39">
        <f>SUMIF('Redlands Pro Forma'!$B$8:$ED$8,'Annual Projections'!I$8,'Redlands Pro Forma'!$B43:$ED43)</f>
        <v>126111.77705183883</v>
      </c>
      <c r="J43" s="39">
        <f>SUMIF('Redlands Pro Forma'!$B$8:$ED$8,'Annual Projections'!J$8,'Redlands Pro Forma'!$B43:$ED43)</f>
        <v>194870.44141500597</v>
      </c>
      <c r="K43" s="39">
        <f>SUMIF('Redlands Pro Forma'!$B$8:$ED$8,'Annual Projections'!K$8,'Redlands Pro Forma'!$B43:$ED43)</f>
        <v>204025.42767363423</v>
      </c>
      <c r="L43" s="39">
        <f>SUMIF('Redlands Pro Forma'!$B$8:$ED$8,'Annual Projections'!L$8,'Redlands Pro Forma'!$B43:$ED43)</f>
        <v>208934.75193939163</v>
      </c>
      <c r="M43" s="39">
        <f>SUMIF('Redlands Pro Forma'!$B$8:$ED$8,'Annual Projections'!M$8,'Redlands Pro Forma'!$B43:$ED43)</f>
        <v>213964.46808327132</v>
      </c>
    </row>
    <row r="44" spans="1:13" ht="19.149999999999999" customHeight="1" x14ac:dyDescent="0.4">
      <c r="A44" s="6" t="s">
        <v>33</v>
      </c>
      <c r="B44" s="6"/>
      <c r="C44" s="80">
        <f>SUMIF('Redlands Pro Forma'!$B$8:$ED$8,'Annual Projections'!C$8,'Redlands Pro Forma'!$B44:$ED44)</f>
        <v>962396.3739735852</v>
      </c>
      <c r="D44" s="80">
        <f>SUMIF('Redlands Pro Forma'!$B$8:$ED$8,'Annual Projections'!D$8,'Redlands Pro Forma'!$B44:$ED44)</f>
        <v>982134.90145305684</v>
      </c>
      <c r="E44" s="80">
        <f>SUMIF('Redlands Pro Forma'!$B$8:$ED$8,'Annual Projections'!E$8,'Redlands Pro Forma'!$B44:$ED44)</f>
        <v>1002281.9494821184</v>
      </c>
      <c r="F44" s="80">
        <f>SUMIF('Redlands Pro Forma'!$B$8:$ED$8,'Annual Projections'!F$8,'Redlands Pro Forma'!$B44:$ED44)</f>
        <v>1022846.0322217605</v>
      </c>
      <c r="G44" s="80">
        <f>SUMIF('Redlands Pro Forma'!$B$8:$ED$8,'Annual Projections'!G$8,'Redlands Pro Forma'!$B44:$ED44)</f>
        <v>1043835.8427099455</v>
      </c>
      <c r="H44" s="80">
        <f>SUMIF('Redlands Pro Forma'!$B$8:$ED$8,'Annual Projections'!H$8,'Redlands Pro Forma'!$B44:$ED44)</f>
        <v>1065260.256653988</v>
      </c>
      <c r="I44" s="80">
        <f>SUMIF('Redlands Pro Forma'!$B$8:$ED$8,'Annual Projections'!I$8,'Redlands Pro Forma'!$B44:$ED44)</f>
        <v>1087128.3363041577</v>
      </c>
      <c r="J44" s="80">
        <f>SUMIF('Redlands Pro Forma'!$B$8:$ED$8,'Annual Projections'!J$8,'Redlands Pro Forma'!$B44:$ED44)</f>
        <v>1175745.1632323884</v>
      </c>
      <c r="K44" s="80">
        <f>SUMIF('Redlands Pro Forma'!$B$8:$ED$8,'Annual Projections'!K$8,'Redlands Pro Forma'!$B44:$ED44)</f>
        <v>1205171.421091882</v>
      </c>
      <c r="L44" s="80">
        <f>SUMIF('Redlands Pro Forma'!$B$8:$ED$8,'Annual Projections'!L$8,'Redlands Pro Forma'!$B44:$ED44)</f>
        <v>1230773.7868196343</v>
      </c>
      <c r="M44" s="80">
        <f>SUMIF('Redlands Pro Forma'!$B$8:$ED$8,'Annual Projections'!M$8,'Redlands Pro Forma'!$B44:$ED44)</f>
        <v>1256927.1582945904</v>
      </c>
    </row>
    <row r="45" spans="1:13" ht="19.149999999999999" customHeight="1" x14ac:dyDescent="0.4">
      <c r="A45" s="5" t="s">
        <v>17</v>
      </c>
      <c r="C45" s="39"/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 spans="1:13" ht="19.149999999999999" customHeight="1" x14ac:dyDescent="0.4">
      <c r="A46" s="6" t="s">
        <v>34</v>
      </c>
      <c r="B46" s="6"/>
      <c r="C46" s="80">
        <f>SUMIF('Redlands Pro Forma'!$B$8:$ED$8,'Annual Projections'!C$8,'Redlands Pro Forma'!$B46:$ED46)</f>
        <v>2959535</v>
      </c>
      <c r="D46" s="80">
        <f>SUMIF('Redlands Pro Forma'!$B$8:$ED$8,'Annual Projections'!D$8,'Redlands Pro Forma'!$B46:$ED46)</f>
        <v>3035756</v>
      </c>
      <c r="E46" s="80">
        <f>SUMIF('Redlands Pro Forma'!$B$8:$ED$8,'Annual Projections'!E$8,'Redlands Pro Forma'!$B46:$ED46)</f>
        <v>3113933</v>
      </c>
      <c r="F46" s="80">
        <f>SUMIF('Redlands Pro Forma'!$B$8:$ED$8,'Annual Projections'!F$8,'Redlands Pro Forma'!$B46:$ED46)</f>
        <v>3194113</v>
      </c>
      <c r="G46" s="80">
        <f>SUMIF('Redlands Pro Forma'!$B$8:$ED$8,'Annual Projections'!G$8,'Redlands Pro Forma'!$B46:$ED46)</f>
        <v>3276334</v>
      </c>
      <c r="H46" s="80">
        <f>SUMIF('Redlands Pro Forma'!$B$8:$ED$8,'Annual Projections'!H$8,'Redlands Pro Forma'!$B46:$ED46)</f>
        <v>3360666</v>
      </c>
      <c r="I46" s="80">
        <f>SUMIF('Redlands Pro Forma'!$B$8:$ED$8,'Annual Projections'!I$8,'Redlands Pro Forma'!$B46:$ED46)</f>
        <v>3446217</v>
      </c>
      <c r="J46" s="80">
        <f>SUMIF('Redlands Pro Forma'!$B$8:$ED$8,'Annual Projections'!J$8,'Redlands Pro Forma'!$B46:$ED46)</f>
        <v>4766999</v>
      </c>
      <c r="K46" s="80">
        <f>SUMIF('Redlands Pro Forma'!$B$8:$ED$8,'Annual Projections'!K$8,'Redlands Pro Forma'!$B46:$ED46)</f>
        <v>6408686</v>
      </c>
      <c r="L46" s="80">
        <f>SUMIF('Redlands Pro Forma'!$B$8:$ED$8,'Annual Projections'!L$8,'Redlands Pro Forma'!$B46:$ED46)</f>
        <v>6571532</v>
      </c>
      <c r="M46" s="80">
        <f>SUMIF('Redlands Pro Forma'!$B$8:$ED$8,'Annual Projections'!M$8,'Redlands Pro Forma'!$B46:$ED46)</f>
        <v>6135193</v>
      </c>
    </row>
    <row r="47" spans="1:13" ht="19.149999999999999" customHeight="1" x14ac:dyDescent="0.4">
      <c r="A47" s="5" t="s">
        <v>17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spans="1:13" ht="19.149999999999999" customHeight="1" x14ac:dyDescent="0.4">
      <c r="A48" s="2" t="s">
        <v>35</v>
      </c>
      <c r="B48" s="2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3" ht="19.149999999999999" customHeight="1" x14ac:dyDescent="0.4">
      <c r="A49" s="10" t="s">
        <v>36</v>
      </c>
      <c r="B49" s="10"/>
      <c r="C49" s="39">
        <f>SUMIF('Redlands Pro Forma'!$B$8:$ED$8,'Annual Projections'!C$8,'Redlands Pro Forma'!$B49:$ED49)</f>
        <v>0</v>
      </c>
      <c r="D49" s="39">
        <f>SUMIF('Redlands Pro Forma'!$B$8:$ED$8,'Annual Projections'!D$8,'Redlands Pro Forma'!$B49:$ED49)</f>
        <v>0</v>
      </c>
      <c r="E49" s="39">
        <f>SUMIF('Redlands Pro Forma'!$B$8:$ED$8,'Annual Projections'!E$8,'Redlands Pro Forma'!$B49:$ED49)</f>
        <v>0</v>
      </c>
      <c r="F49" s="39">
        <f>SUMIF('Redlands Pro Forma'!$B$8:$ED$8,'Annual Projections'!F$8,'Redlands Pro Forma'!$B49:$ED49)</f>
        <v>0</v>
      </c>
      <c r="G49" s="39">
        <f>SUMIF('Redlands Pro Forma'!$B$8:$ED$8,'Annual Projections'!G$8,'Redlands Pro Forma'!$B49:$ED49)</f>
        <v>0</v>
      </c>
      <c r="H49" s="39">
        <f>SUMIF('Redlands Pro Forma'!$B$8:$ED$8,'Annual Projections'!H$8,'Redlands Pro Forma'!$B49:$ED49)</f>
        <v>0</v>
      </c>
      <c r="I49" s="39">
        <f>SUMIF('Redlands Pro Forma'!$B$8:$ED$8,'Annual Projections'!I$8,'Redlands Pro Forma'!$B49:$ED49)</f>
        <v>0</v>
      </c>
      <c r="J49" s="39">
        <f>SUMIF('Redlands Pro Forma'!$B$8:$ED$8,'Annual Projections'!J$8,'Redlands Pro Forma'!$B49:$ED49)</f>
        <v>2400000</v>
      </c>
      <c r="K49" s="39">
        <f>SUMIF('Redlands Pro Forma'!$B$8:$ED$8,'Annual Projections'!K$8,'Redlands Pro Forma'!$B49:$ED49)</f>
        <v>0</v>
      </c>
      <c r="L49" s="39">
        <f>SUMIF('Redlands Pro Forma'!$B$8:$ED$8,'Annual Projections'!L$8,'Redlands Pro Forma'!$B49:$ED49)</f>
        <v>0</v>
      </c>
      <c r="M49" s="39">
        <f>SUMIF('Redlands Pro Forma'!$B$8:$ED$8,'Annual Projections'!M$8,'Redlands Pro Forma'!$B49:$ED49)</f>
        <v>0</v>
      </c>
    </row>
    <row r="50" spans="1:13" ht="19.149999999999999" customHeight="1" x14ac:dyDescent="0.4">
      <c r="A50" s="10" t="s">
        <v>37</v>
      </c>
      <c r="B50" s="10"/>
      <c r="C50" s="39">
        <f>SUMIF('Redlands Pro Forma'!$B$8:$ED$8,'Annual Projections'!C$8,'Redlands Pro Forma'!$B50:$ED50)</f>
        <v>0</v>
      </c>
      <c r="D50" s="39">
        <f>SUMIF('Redlands Pro Forma'!$B$8:$ED$8,'Annual Projections'!D$8,'Redlands Pro Forma'!$B50:$ED50)</f>
        <v>0</v>
      </c>
      <c r="E50" s="39">
        <f>SUMIF('Redlands Pro Forma'!$B$8:$ED$8,'Annual Projections'!E$8,'Redlands Pro Forma'!$B50:$ED50)</f>
        <v>0</v>
      </c>
      <c r="F50" s="39">
        <f>SUMIF('Redlands Pro Forma'!$B$8:$ED$8,'Annual Projections'!F$8,'Redlands Pro Forma'!$B50:$ED50)</f>
        <v>0</v>
      </c>
      <c r="G50" s="39">
        <f>SUMIF('Redlands Pro Forma'!$B$8:$ED$8,'Annual Projections'!G$8,'Redlands Pro Forma'!$B50:$ED50)</f>
        <v>0</v>
      </c>
      <c r="H50" s="39">
        <f>SUMIF('Redlands Pro Forma'!$B$8:$ED$8,'Annual Projections'!H$8,'Redlands Pro Forma'!$B50:$ED50)</f>
        <v>0</v>
      </c>
      <c r="I50" s="39">
        <f>SUMIF('Redlands Pro Forma'!$B$8:$ED$8,'Annual Projections'!I$8,'Redlands Pro Forma'!$B50:$ED50)</f>
        <v>0</v>
      </c>
      <c r="J50" s="39">
        <f>SUMIF('Redlands Pro Forma'!$B$8:$ED$8,'Annual Projections'!J$8,'Redlands Pro Forma'!$B50:$ED50)</f>
        <v>1134000</v>
      </c>
      <c r="K50" s="39">
        <f>SUMIF('Redlands Pro Forma'!$B$8:$ED$8,'Annual Projections'!K$8,'Redlands Pro Forma'!$B50:$ED50)</f>
        <v>0</v>
      </c>
      <c r="L50" s="39">
        <f>SUMIF('Redlands Pro Forma'!$B$8:$ED$8,'Annual Projections'!L$8,'Redlands Pro Forma'!$B50:$ED50)</f>
        <v>0</v>
      </c>
      <c r="M50" s="39">
        <f>SUMIF('Redlands Pro Forma'!$B$8:$ED$8,'Annual Projections'!M$8,'Redlands Pro Forma'!$B50:$ED50)</f>
        <v>0</v>
      </c>
    </row>
    <row r="51" spans="1:13" ht="19.149999999999999" customHeight="1" x14ac:dyDescent="0.4">
      <c r="A51" s="10" t="s">
        <v>38</v>
      </c>
      <c r="B51" s="10"/>
      <c r="C51" s="39">
        <f>SUMIF('Redlands Pro Forma'!$B$8:$ED$8,'Annual Projections'!C$8,'Redlands Pro Forma'!$B51:$ED51)</f>
        <v>0</v>
      </c>
      <c r="D51" s="39">
        <f>SUMIF('Redlands Pro Forma'!$B$8:$ED$8,'Annual Projections'!D$8,'Redlands Pro Forma'!$B51:$ED51)</f>
        <v>0</v>
      </c>
      <c r="E51" s="39">
        <f>SUMIF('Redlands Pro Forma'!$B$8:$ED$8,'Annual Projections'!E$8,'Redlands Pro Forma'!$B51:$ED51)</f>
        <v>0</v>
      </c>
      <c r="F51" s="39">
        <f>SUMIF('Redlands Pro Forma'!$B$8:$ED$8,'Annual Projections'!F$8,'Redlands Pro Forma'!$B51:$ED51)</f>
        <v>0</v>
      </c>
      <c r="G51" s="39">
        <f>SUMIF('Redlands Pro Forma'!$B$8:$ED$8,'Annual Projections'!G$8,'Redlands Pro Forma'!$B51:$ED51)</f>
        <v>0</v>
      </c>
      <c r="H51" s="39">
        <f>SUMIF('Redlands Pro Forma'!$B$8:$ED$8,'Annual Projections'!H$8,'Redlands Pro Forma'!$B51:$ED51)</f>
        <v>0</v>
      </c>
      <c r="I51" s="39">
        <f>SUMIF('Redlands Pro Forma'!$B$8:$ED$8,'Annual Projections'!I$8,'Redlands Pro Forma'!$B51:$ED51)</f>
        <v>0</v>
      </c>
      <c r="J51" s="39">
        <f>SUMIF('Redlands Pro Forma'!$B$8:$ED$8,'Annual Projections'!J$8,'Redlands Pro Forma'!$B51:$ED51)</f>
        <v>-1800000</v>
      </c>
      <c r="K51" s="39">
        <f>SUMIF('Redlands Pro Forma'!$B$8:$ED$8,'Annual Projections'!K$8,'Redlands Pro Forma'!$B51:$ED51)</f>
        <v>0</v>
      </c>
      <c r="L51" s="39">
        <f>SUMIF('Redlands Pro Forma'!$B$8:$ED$8,'Annual Projections'!L$8,'Redlands Pro Forma'!$B51:$ED51)</f>
        <v>0</v>
      </c>
      <c r="M51" s="39">
        <f>SUMIF('Redlands Pro Forma'!$B$8:$ED$8,'Annual Projections'!M$8,'Redlands Pro Forma'!$B51:$ED51)</f>
        <v>0</v>
      </c>
    </row>
    <row r="52" spans="1:13" ht="19.149999999999999" customHeight="1" x14ac:dyDescent="0.4">
      <c r="A52" s="6" t="s">
        <v>39</v>
      </c>
      <c r="B52" s="6"/>
      <c r="C52" s="80">
        <f>SUMIF('Redlands Pro Forma'!$B$8:$ED$8,'Annual Projections'!C$8,'Redlands Pro Forma'!$B52:$ED52)</f>
        <v>0</v>
      </c>
      <c r="D52" s="80">
        <f>SUMIF('Redlands Pro Forma'!$B$8:$ED$8,'Annual Projections'!D$8,'Redlands Pro Forma'!$B52:$ED52)</f>
        <v>0</v>
      </c>
      <c r="E52" s="80">
        <f>SUMIF('Redlands Pro Forma'!$B$8:$ED$8,'Annual Projections'!E$8,'Redlands Pro Forma'!$B52:$ED52)</f>
        <v>0</v>
      </c>
      <c r="F52" s="80">
        <f>SUMIF('Redlands Pro Forma'!$B$8:$ED$8,'Annual Projections'!F$8,'Redlands Pro Forma'!$B52:$ED52)</f>
        <v>0</v>
      </c>
      <c r="G52" s="80">
        <f>SUMIF('Redlands Pro Forma'!$B$8:$ED$8,'Annual Projections'!G$8,'Redlands Pro Forma'!$B52:$ED52)</f>
        <v>0</v>
      </c>
      <c r="H52" s="80">
        <f>SUMIF('Redlands Pro Forma'!$B$8:$ED$8,'Annual Projections'!H$8,'Redlands Pro Forma'!$B52:$ED52)</f>
        <v>0</v>
      </c>
      <c r="I52" s="80">
        <f>SUMIF('Redlands Pro Forma'!$B$8:$ED$8,'Annual Projections'!I$8,'Redlands Pro Forma'!$B52:$ED52)</f>
        <v>0</v>
      </c>
      <c r="J52" s="80">
        <f>SUMIF('Redlands Pro Forma'!$B$8:$ED$8,'Annual Projections'!J$8,'Redlands Pro Forma'!$B52:$ED52)</f>
        <v>1734000</v>
      </c>
      <c r="K52" s="80">
        <f>SUMIF('Redlands Pro Forma'!$B$8:$ED$8,'Annual Projections'!K$8,'Redlands Pro Forma'!$B52:$ED52)</f>
        <v>0</v>
      </c>
      <c r="L52" s="80">
        <f>SUMIF('Redlands Pro Forma'!$B$8:$ED$8,'Annual Projections'!L$8,'Redlands Pro Forma'!$B52:$ED52)</f>
        <v>0</v>
      </c>
      <c r="M52" s="80">
        <f>SUMIF('Redlands Pro Forma'!$B$8:$ED$8,'Annual Projections'!M$8,'Redlands Pro Forma'!$B52:$ED52)</f>
        <v>0</v>
      </c>
    </row>
    <row r="53" spans="1:13" ht="19.149999999999999" customHeight="1" x14ac:dyDescent="0.4">
      <c r="A53" s="5" t="s">
        <v>17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 ht="19.149999999999999" customHeight="1" x14ac:dyDescent="0.4">
      <c r="A54" s="2" t="s">
        <v>40</v>
      </c>
      <c r="B54" s="2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spans="1:13" ht="19.149999999999999" customHeight="1" x14ac:dyDescent="0.4">
      <c r="A55" s="11" t="s">
        <v>41</v>
      </c>
      <c r="B55" s="11"/>
      <c r="C55" s="80">
        <f>SUMIF('Redlands Pro Forma'!$B$8:$ED$8,'Annual Projections'!C$8,'Redlands Pro Forma'!$B55:$ED55)</f>
        <v>600000</v>
      </c>
      <c r="D55" s="80">
        <f>SUMIF('Redlands Pro Forma'!$B$8:$ED$8,'Annual Projections'!D$8,'Redlands Pro Forma'!$B55:$ED55)</f>
        <v>612000</v>
      </c>
      <c r="E55" s="80">
        <f>SUMIF('Redlands Pro Forma'!$B$8:$ED$8,'Annual Projections'!E$8,'Redlands Pro Forma'!$B55:$ED55)</f>
        <v>624240</v>
      </c>
      <c r="F55" s="80">
        <f>SUMIF('Redlands Pro Forma'!$B$8:$ED$8,'Annual Projections'!F$8,'Redlands Pro Forma'!$B55:$ED55)</f>
        <v>636724.80000000016</v>
      </c>
      <c r="G55" s="80">
        <f>SUMIF('Redlands Pro Forma'!$B$8:$ED$8,'Annual Projections'!G$8,'Redlands Pro Forma'!$B55:$ED55)</f>
        <v>649459.29599999997</v>
      </c>
      <c r="H55" s="80">
        <f>SUMIF('Redlands Pro Forma'!$B$8:$ED$8,'Annual Projections'!H$8,'Redlands Pro Forma'!$B55:$ED55)</f>
        <v>662448.48191999982</v>
      </c>
      <c r="I55" s="80">
        <f>SUMIF('Redlands Pro Forma'!$B$8:$ED$8,'Annual Projections'!I$8,'Redlands Pro Forma'!$B55:$ED55)</f>
        <v>675697.45155840006</v>
      </c>
      <c r="J55" s="80">
        <f>SUMIF('Redlands Pro Forma'!$B$8:$ED$8,'Annual Projections'!J$8,'Redlands Pro Forma'!$B55:$ED55)</f>
        <v>689211.40058956773</v>
      </c>
      <c r="K55" s="80">
        <f>SUMIF('Redlands Pro Forma'!$B$8:$ED$8,'Annual Projections'!K$8,'Redlands Pro Forma'!$B55:$ED55)</f>
        <v>702995.6286013592</v>
      </c>
      <c r="L55" s="80">
        <f>SUMIF('Redlands Pro Forma'!$B$8:$ED$8,'Annual Projections'!L$8,'Redlands Pro Forma'!$B55:$ED55)</f>
        <v>717055.5411733865</v>
      </c>
      <c r="M55" s="80">
        <f>SUMIF('Redlands Pro Forma'!$B$8:$ED$8,'Annual Projections'!M$8,'Redlands Pro Forma'!$B55:$ED55)</f>
        <v>731396.65199685423</v>
      </c>
    </row>
    <row r="56" spans="1:13" ht="19.149999999999999" customHeight="1" x14ac:dyDescent="0.4">
      <c r="A56" s="6" t="s">
        <v>42</v>
      </c>
      <c r="B56" s="6"/>
      <c r="C56" s="80">
        <f>SUMIF('Redlands Pro Forma'!$B$8:$ED$8,'Annual Projections'!C$8,'Redlands Pro Forma'!$B56:$ED56)</f>
        <v>600000</v>
      </c>
      <c r="D56" s="80">
        <f>SUMIF('Redlands Pro Forma'!$B$8:$ED$8,'Annual Projections'!D$8,'Redlands Pro Forma'!$B56:$ED56)</f>
        <v>612000</v>
      </c>
      <c r="E56" s="80">
        <f>SUMIF('Redlands Pro Forma'!$B$8:$ED$8,'Annual Projections'!E$8,'Redlands Pro Forma'!$B56:$ED56)</f>
        <v>624240</v>
      </c>
      <c r="F56" s="80">
        <f>SUMIF('Redlands Pro Forma'!$B$8:$ED$8,'Annual Projections'!F$8,'Redlands Pro Forma'!$B56:$ED56)</f>
        <v>636724.80000000016</v>
      </c>
      <c r="G56" s="80">
        <f>SUMIF('Redlands Pro Forma'!$B$8:$ED$8,'Annual Projections'!G$8,'Redlands Pro Forma'!$B56:$ED56)</f>
        <v>649459.29599999997</v>
      </c>
      <c r="H56" s="80">
        <f>SUMIF('Redlands Pro Forma'!$B$8:$ED$8,'Annual Projections'!H$8,'Redlands Pro Forma'!$B56:$ED56)</f>
        <v>662448.48191999982</v>
      </c>
      <c r="I56" s="80">
        <f>SUMIF('Redlands Pro Forma'!$B$8:$ED$8,'Annual Projections'!I$8,'Redlands Pro Forma'!$B56:$ED56)</f>
        <v>675697.45155840006</v>
      </c>
      <c r="J56" s="80">
        <f>SUMIF('Redlands Pro Forma'!$B$8:$ED$8,'Annual Projections'!J$8,'Redlands Pro Forma'!$B56:$ED56)</f>
        <v>689211.40058956773</v>
      </c>
      <c r="K56" s="80">
        <f>SUMIF('Redlands Pro Forma'!$B$8:$ED$8,'Annual Projections'!K$8,'Redlands Pro Forma'!$B56:$ED56)</f>
        <v>702995.6286013592</v>
      </c>
      <c r="L56" s="80">
        <f>SUMIF('Redlands Pro Forma'!$B$8:$ED$8,'Annual Projections'!L$8,'Redlands Pro Forma'!$B56:$ED56)</f>
        <v>717055.5411733865</v>
      </c>
      <c r="M56" s="80">
        <f>SUMIF('Redlands Pro Forma'!$B$8:$ED$8,'Annual Projections'!M$8,'Redlands Pro Forma'!$B56:$ED56)</f>
        <v>731396.65199685423</v>
      </c>
    </row>
    <row r="57" spans="1:13" ht="19.149999999999999" customHeight="1" x14ac:dyDescent="0.4">
      <c r="A57" s="5" t="s">
        <v>17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spans="1:13" ht="19.149999999999999" customHeight="1" x14ac:dyDescent="0.4">
      <c r="A58" s="6" t="s">
        <v>43</v>
      </c>
      <c r="B58" s="6"/>
      <c r="C58" s="80">
        <f>SUMIF('Redlands Pro Forma'!$B$8:$ED$8,'Annual Projections'!C$8,'Redlands Pro Forma'!$B58:$ED58)</f>
        <v>600000</v>
      </c>
      <c r="D58" s="80">
        <f>SUMIF('Redlands Pro Forma'!$B$8:$ED$8,'Annual Projections'!D$8,'Redlands Pro Forma'!$B58:$ED58)</f>
        <v>612000</v>
      </c>
      <c r="E58" s="80">
        <f>SUMIF('Redlands Pro Forma'!$B$8:$ED$8,'Annual Projections'!E$8,'Redlands Pro Forma'!$B58:$ED58)</f>
        <v>624240</v>
      </c>
      <c r="F58" s="80">
        <f>SUMIF('Redlands Pro Forma'!$B$8:$ED$8,'Annual Projections'!F$8,'Redlands Pro Forma'!$B58:$ED58)</f>
        <v>636724.80000000016</v>
      </c>
      <c r="G58" s="80">
        <f>SUMIF('Redlands Pro Forma'!$B$8:$ED$8,'Annual Projections'!G$8,'Redlands Pro Forma'!$B58:$ED58)</f>
        <v>649459.29599999997</v>
      </c>
      <c r="H58" s="80">
        <f>SUMIF('Redlands Pro Forma'!$B$8:$ED$8,'Annual Projections'!H$8,'Redlands Pro Forma'!$B58:$ED58)</f>
        <v>662448.48191999982</v>
      </c>
      <c r="I58" s="80">
        <f>SUMIF('Redlands Pro Forma'!$B$8:$ED$8,'Annual Projections'!I$8,'Redlands Pro Forma'!$B58:$ED58)</f>
        <v>675697.45155840006</v>
      </c>
      <c r="J58" s="80">
        <f>SUMIF('Redlands Pro Forma'!$B$8:$ED$8,'Annual Projections'!J$8,'Redlands Pro Forma'!$B58:$ED58)</f>
        <v>2423211.400589569</v>
      </c>
      <c r="K58" s="80">
        <f>SUMIF('Redlands Pro Forma'!$B$8:$ED$8,'Annual Projections'!K$8,'Redlands Pro Forma'!$B58:$ED58)</f>
        <v>702995.6286013592</v>
      </c>
      <c r="L58" s="80">
        <f>SUMIF('Redlands Pro Forma'!$B$8:$ED$8,'Annual Projections'!L$8,'Redlands Pro Forma'!$B58:$ED58)</f>
        <v>717055.5411733865</v>
      </c>
      <c r="M58" s="80">
        <f>SUMIF('Redlands Pro Forma'!$B$8:$ED$8,'Annual Projections'!M$8,'Redlands Pro Forma'!$B58:$ED58)</f>
        <v>731396.65199685423</v>
      </c>
    </row>
    <row r="59" spans="1:13" ht="19.149999999999999" customHeight="1" x14ac:dyDescent="0.4">
      <c r="A59" s="5" t="s">
        <v>17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3" ht="19.149999999999999" customHeight="1" x14ac:dyDescent="0.4">
      <c r="A60" s="6" t="s">
        <v>44</v>
      </c>
      <c r="B60" s="6"/>
      <c r="C60" s="80">
        <f>SUMIF('Redlands Pro Forma'!$B$8:$ED$8,'Annual Projections'!C$8,'Redlands Pro Forma'!$B60:$ED60)</f>
        <v>2359535</v>
      </c>
      <c r="D60" s="80">
        <f>SUMIF('Redlands Pro Forma'!$B$8:$ED$8,'Annual Projections'!D$8,'Redlands Pro Forma'!$B60:$ED60)</f>
        <v>2423756</v>
      </c>
      <c r="E60" s="80">
        <f>SUMIF('Redlands Pro Forma'!$B$8:$ED$8,'Annual Projections'!E$8,'Redlands Pro Forma'!$B60:$ED60)</f>
        <v>2489693</v>
      </c>
      <c r="F60" s="80">
        <f>SUMIF('Redlands Pro Forma'!$B$8:$ED$8,'Annual Projections'!F$8,'Redlands Pro Forma'!$B60:$ED60)</f>
        <v>2557388.2000000007</v>
      </c>
      <c r="G60" s="80">
        <f>SUMIF('Redlands Pro Forma'!$B$8:$ED$8,'Annual Projections'!G$8,'Redlands Pro Forma'!$B60:$ED60)</f>
        <v>2626874.7039999999</v>
      </c>
      <c r="H60" s="80">
        <f>SUMIF('Redlands Pro Forma'!$B$8:$ED$8,'Annual Projections'!H$8,'Redlands Pro Forma'!$B60:$ED60)</f>
        <v>2698217.5180799998</v>
      </c>
      <c r="I60" s="80">
        <f>SUMIF('Redlands Pro Forma'!$B$8:$ED$8,'Annual Projections'!I$8,'Redlands Pro Forma'!$B60:$ED60)</f>
        <v>2770519.5484416001</v>
      </c>
      <c r="J60" s="80">
        <f>SUMIF('Redlands Pro Forma'!$B$8:$ED$8,'Annual Projections'!J$8,'Redlands Pro Forma'!$B60:$ED60)</f>
        <v>2343787.5994104324</v>
      </c>
      <c r="K60" s="80">
        <f>SUMIF('Redlands Pro Forma'!$B$8:$ED$8,'Annual Projections'!K$8,'Redlands Pro Forma'!$B60:$ED60)</f>
        <v>5705690.3713986417</v>
      </c>
      <c r="L60" s="80">
        <f>SUMIF('Redlands Pro Forma'!$B$8:$ED$8,'Annual Projections'!L$8,'Redlands Pro Forma'!$B60:$ED60)</f>
        <v>5854476.4588266155</v>
      </c>
      <c r="M60" s="80">
        <f>SUMIF('Redlands Pro Forma'!$B$8:$ED$8,'Annual Projections'!M$8,'Redlands Pro Forma'!$B60:$ED60)</f>
        <v>5403796.3480031453</v>
      </c>
    </row>
    <row r="61" spans="1:13" ht="19.149999999999999" customHeight="1" x14ac:dyDescent="0.4">
      <c r="A61" s="5" t="s">
        <v>17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1:13" ht="19.149999999999999" customHeight="1" x14ac:dyDescent="0.4">
      <c r="A62" s="2" t="s">
        <v>45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spans="1:13" ht="19.149999999999999" customHeight="1" x14ac:dyDescent="0.4">
      <c r="A63" s="10" t="s">
        <v>46</v>
      </c>
      <c r="B63" s="39">
        <f>SUMIF('Redlands Pro Forma'!$B$8:$ED$8,'Annual Projections'!B$8,'Redlands Pro Forma'!$B63:$ED63)</f>
        <v>-67280000</v>
      </c>
      <c r="C63" s="39">
        <f>SUMIF('Redlands Pro Forma'!$B$8:$ED$8,'Annual Projections'!C$8,'Redlands Pro Forma'!$B63:$ED63)</f>
        <v>0</v>
      </c>
      <c r="D63" s="39">
        <f>SUMIF('Redlands Pro Forma'!$B$8:$ED$8,'Annual Projections'!D$8,'Redlands Pro Forma'!$B63:$ED63)</f>
        <v>0</v>
      </c>
      <c r="E63" s="39">
        <f>SUMIF('Redlands Pro Forma'!$B$8:$ED$8,'Annual Projections'!E$8,'Redlands Pro Forma'!$B63:$ED63)</f>
        <v>0</v>
      </c>
      <c r="F63" s="39">
        <f>SUMIF('Redlands Pro Forma'!$B$8:$ED$8,'Annual Projections'!F$8,'Redlands Pro Forma'!$B63:$ED63)</f>
        <v>0</v>
      </c>
      <c r="G63" s="39">
        <f>SUMIF('Redlands Pro Forma'!$B$8:$ED$8,'Annual Projections'!G$8,'Redlands Pro Forma'!$B63:$ED63)</f>
        <v>0</v>
      </c>
      <c r="H63" s="39">
        <f>SUMIF('Redlands Pro Forma'!$B$8:$ED$8,'Annual Projections'!H$8,'Redlands Pro Forma'!$B63:$ED63)</f>
        <v>0</v>
      </c>
      <c r="I63" s="39">
        <f>SUMIF('Redlands Pro Forma'!$B$8:$ED$8,'Annual Projections'!I$8,'Redlands Pro Forma'!$B63:$ED63)</f>
        <v>0</v>
      </c>
      <c r="J63" s="39">
        <f>SUMIF('Redlands Pro Forma'!$B$8:$ED$8,'Annual Projections'!J$8,'Redlands Pro Forma'!$B63:$ED63)</f>
        <v>0</v>
      </c>
      <c r="K63" s="39">
        <f>SUMIF('Redlands Pro Forma'!$B$8:$ED$8,'Annual Projections'!K$8,'Redlands Pro Forma'!$B63:$ED63)</f>
        <v>0</v>
      </c>
      <c r="L63" s="39">
        <f>SUMIF('Redlands Pro Forma'!$B$8:$ED$8,'Annual Projections'!L$8,'Redlands Pro Forma'!$B63:$ED63)</f>
        <v>0</v>
      </c>
      <c r="M63" s="39">
        <f>SUMIF('Redlands Pro Forma'!$B$8:$ED$8,'Annual Projections'!M$8,'Redlands Pro Forma'!$B63:$ED63)</f>
        <v>0</v>
      </c>
    </row>
    <row r="64" spans="1:13" ht="19.149999999999999" customHeight="1" x14ac:dyDescent="0.4">
      <c r="A64" s="10" t="s">
        <v>47</v>
      </c>
      <c r="B64" s="80">
        <f>SUMIF('Redlands Pro Forma'!$B$8:$ED$8,'Annual Projections'!B$8,'Redlands Pro Forma'!$B64:$ED64)</f>
        <v>-1345600</v>
      </c>
      <c r="C64" s="80">
        <f>SUMIF('Redlands Pro Forma'!$B$8:$ED$8,'Annual Projections'!C$8,'Redlands Pro Forma'!$B64:$ED64)</f>
        <v>0</v>
      </c>
      <c r="D64" s="80">
        <f>SUMIF('Redlands Pro Forma'!$B$8:$ED$8,'Annual Projections'!D$8,'Redlands Pro Forma'!$B64:$ED64)</f>
        <v>0</v>
      </c>
      <c r="E64" s="80">
        <f>SUMIF('Redlands Pro Forma'!$B$8:$ED$8,'Annual Projections'!E$8,'Redlands Pro Forma'!$B64:$ED64)</f>
        <v>0</v>
      </c>
      <c r="F64" s="80">
        <f>SUMIF('Redlands Pro Forma'!$B$8:$ED$8,'Annual Projections'!F$8,'Redlands Pro Forma'!$B64:$ED64)</f>
        <v>0</v>
      </c>
      <c r="G64" s="80">
        <f>SUMIF('Redlands Pro Forma'!$B$8:$ED$8,'Annual Projections'!G$8,'Redlands Pro Forma'!$B64:$ED64)</f>
        <v>0</v>
      </c>
      <c r="H64" s="80">
        <f>SUMIF('Redlands Pro Forma'!$B$8:$ED$8,'Annual Projections'!H$8,'Redlands Pro Forma'!$B64:$ED64)</f>
        <v>0</v>
      </c>
      <c r="I64" s="80">
        <f>SUMIF('Redlands Pro Forma'!$B$8:$ED$8,'Annual Projections'!I$8,'Redlands Pro Forma'!$B64:$ED64)</f>
        <v>0</v>
      </c>
      <c r="J64" s="80">
        <f>SUMIF('Redlands Pro Forma'!$B$8:$ED$8,'Annual Projections'!J$8,'Redlands Pro Forma'!$B64:$ED64)</f>
        <v>0</v>
      </c>
      <c r="K64" s="80">
        <f>SUMIF('Redlands Pro Forma'!$B$8:$ED$8,'Annual Projections'!K$8,'Redlands Pro Forma'!$B64:$ED64)</f>
        <v>0</v>
      </c>
      <c r="L64" s="80">
        <f>SUMIF('Redlands Pro Forma'!$B$8:$ED$8,'Annual Projections'!L$8,'Redlands Pro Forma'!$B64:$ED64)</f>
        <v>0</v>
      </c>
      <c r="M64" s="80">
        <f>SUMIF('Redlands Pro Forma'!$B$8:$ED$8,'Annual Projections'!M$8,'Redlands Pro Forma'!$B64:$ED64)</f>
        <v>0</v>
      </c>
    </row>
    <row r="65" spans="1:13" ht="19.149999999999999" customHeight="1" x14ac:dyDescent="0.4">
      <c r="A65" s="6" t="s">
        <v>48</v>
      </c>
      <c r="B65" s="80">
        <f>SUMIF('Redlands Pro Forma'!$B$8:$ED$8,'Annual Projections'!B$8,'Redlands Pro Forma'!$B65:$ED65)</f>
        <v>-68625600</v>
      </c>
      <c r="C65" s="80">
        <f>SUMIF('Redlands Pro Forma'!$B$8:$ED$8,'Annual Projections'!C$8,'Redlands Pro Forma'!$B65:$ED65)</f>
        <v>0</v>
      </c>
      <c r="D65" s="80">
        <f>SUMIF('Redlands Pro Forma'!$B$8:$ED$8,'Annual Projections'!D$8,'Redlands Pro Forma'!$B65:$ED65)</f>
        <v>0</v>
      </c>
      <c r="E65" s="80">
        <f>SUMIF('Redlands Pro Forma'!$B$8:$ED$8,'Annual Projections'!E$8,'Redlands Pro Forma'!$B65:$ED65)</f>
        <v>0</v>
      </c>
      <c r="F65" s="80">
        <f>SUMIF('Redlands Pro Forma'!$B$8:$ED$8,'Annual Projections'!F$8,'Redlands Pro Forma'!$B65:$ED65)</f>
        <v>0</v>
      </c>
      <c r="G65" s="80">
        <f>SUMIF('Redlands Pro Forma'!$B$8:$ED$8,'Annual Projections'!G$8,'Redlands Pro Forma'!$B65:$ED65)</f>
        <v>0</v>
      </c>
      <c r="H65" s="80">
        <f>SUMIF('Redlands Pro Forma'!$B$8:$ED$8,'Annual Projections'!H$8,'Redlands Pro Forma'!$B65:$ED65)</f>
        <v>0</v>
      </c>
      <c r="I65" s="80">
        <f>SUMIF('Redlands Pro Forma'!$B$8:$ED$8,'Annual Projections'!I$8,'Redlands Pro Forma'!$B65:$ED65)</f>
        <v>0</v>
      </c>
      <c r="J65" s="80">
        <f>SUMIF('Redlands Pro Forma'!$B$8:$ED$8,'Annual Projections'!J$8,'Redlands Pro Forma'!$B65:$ED65)</f>
        <v>0</v>
      </c>
      <c r="K65" s="80">
        <f>SUMIF('Redlands Pro Forma'!$B$8:$ED$8,'Annual Projections'!K$8,'Redlands Pro Forma'!$B65:$ED65)</f>
        <v>0</v>
      </c>
      <c r="L65" s="80">
        <f>SUMIF('Redlands Pro Forma'!$B$8:$ED$8,'Annual Projections'!L$8,'Redlands Pro Forma'!$B65:$ED65)</f>
        <v>0</v>
      </c>
      <c r="M65" s="80">
        <f>SUMIF('Redlands Pro Forma'!$B$8:$ED$8,'Annual Projections'!M$8,'Redlands Pro Forma'!$B65:$ED65)</f>
        <v>0</v>
      </c>
    </row>
    <row r="66" spans="1:13" ht="19.149999999999999" customHeight="1" x14ac:dyDescent="0.4">
      <c r="B66" s="5">
        <f>SUMIF('Redlands Pro Forma'!$B$8:$ED$8,'Annual Projections'!B$8,'Redlands Pro Forma'!$B66:$ED66)</f>
        <v>0</v>
      </c>
      <c r="C66" s="38">
        <f>SUMIF('Redlands Pro Forma'!$B$8:$ED$8,'Annual Projections'!C$8,'Redlands Pro Forma'!$B66:$ED66)</f>
        <v>0</v>
      </c>
      <c r="D66" s="38">
        <f>SUMIF('Redlands Pro Forma'!$B$8:$ED$8,'Annual Projections'!D$8,'Redlands Pro Forma'!$B66:$ED66)</f>
        <v>0</v>
      </c>
      <c r="E66" s="38">
        <f>SUMIF('Redlands Pro Forma'!$B$8:$ED$8,'Annual Projections'!E$8,'Redlands Pro Forma'!$B66:$ED66)</f>
        <v>0</v>
      </c>
      <c r="F66" s="38">
        <f>SUMIF('Redlands Pro Forma'!$B$8:$ED$8,'Annual Projections'!F$8,'Redlands Pro Forma'!$B66:$ED66)</f>
        <v>0</v>
      </c>
      <c r="G66" s="38">
        <f>SUMIF('Redlands Pro Forma'!$B$8:$ED$8,'Annual Projections'!G$8,'Redlands Pro Forma'!$B66:$ED66)</f>
        <v>0</v>
      </c>
      <c r="H66" s="38">
        <f>SUMIF('Redlands Pro Forma'!$B$8:$ED$8,'Annual Projections'!H$8,'Redlands Pro Forma'!$B66:$ED66)</f>
        <v>0</v>
      </c>
      <c r="I66" s="38">
        <f>SUMIF('Redlands Pro Forma'!$B$8:$ED$8,'Annual Projections'!I$8,'Redlands Pro Forma'!$B66:$ED66)</f>
        <v>0</v>
      </c>
      <c r="J66" s="38">
        <f>SUMIF('Redlands Pro Forma'!$B$8:$ED$8,'Annual Projections'!J$8,'Redlands Pro Forma'!$B66:$ED66)</f>
        <v>0</v>
      </c>
      <c r="K66" s="38">
        <f>SUMIF('Redlands Pro Forma'!$B$8:$ED$8,'Annual Projections'!K$8,'Redlands Pro Forma'!$B66:$ED66)</f>
        <v>0</v>
      </c>
      <c r="L66" s="38">
        <f>SUMIF('Redlands Pro Forma'!$B$8:$ED$8,'Annual Projections'!L$8,'Redlands Pro Forma'!$B66:$ED66)</f>
        <v>0</v>
      </c>
      <c r="M66" s="38">
        <f>SUMIF('Redlands Pro Forma'!$B$8:$ED$8,'Annual Projections'!M$8,'Redlands Pro Forma'!$B66:$ED66)</f>
        <v>0</v>
      </c>
    </row>
    <row r="67" spans="1:13" ht="19.149999999999999" customHeight="1" x14ac:dyDescent="0.4">
      <c r="A67" s="2" t="s">
        <v>49</v>
      </c>
      <c r="B67" s="2"/>
      <c r="C67" s="38">
        <f>SUMIF('Redlands Pro Forma'!$B$8:$ED$8,'Annual Projections'!C$8,'Redlands Pro Forma'!$B67:$ED67)</f>
        <v>0</v>
      </c>
      <c r="D67" s="38">
        <f>SUMIF('Redlands Pro Forma'!$B$8:$ED$8,'Annual Projections'!D$8,'Redlands Pro Forma'!$B67:$ED67)</f>
        <v>0</v>
      </c>
      <c r="E67" s="38">
        <f>SUMIF('Redlands Pro Forma'!$B$8:$ED$8,'Annual Projections'!E$8,'Redlands Pro Forma'!$B67:$ED67)</f>
        <v>0</v>
      </c>
      <c r="F67" s="38">
        <f>SUMIF('Redlands Pro Forma'!$B$8:$ED$8,'Annual Projections'!F$8,'Redlands Pro Forma'!$B67:$ED67)</f>
        <v>0</v>
      </c>
      <c r="G67" s="38">
        <f>SUMIF('Redlands Pro Forma'!$B$8:$ED$8,'Annual Projections'!G$8,'Redlands Pro Forma'!$B67:$ED67)</f>
        <v>0</v>
      </c>
      <c r="H67" s="38">
        <f>SUMIF('Redlands Pro Forma'!$B$8:$ED$8,'Annual Projections'!H$8,'Redlands Pro Forma'!$B67:$ED67)</f>
        <v>0</v>
      </c>
      <c r="I67" s="38">
        <f>SUMIF('Redlands Pro Forma'!$B$8:$ED$8,'Annual Projections'!I$8,'Redlands Pro Forma'!$B67:$ED67)</f>
        <v>0</v>
      </c>
      <c r="J67" s="38">
        <f>SUMIF('Redlands Pro Forma'!$B$8:$ED$8,'Annual Projections'!J$8,'Redlands Pro Forma'!$B67:$ED67)</f>
        <v>0</v>
      </c>
      <c r="K67" s="38">
        <f>SUMIF('Redlands Pro Forma'!$B$8:$ED$8,'Annual Projections'!K$8,'Redlands Pro Forma'!$B67:$ED67)</f>
        <v>0</v>
      </c>
      <c r="L67" s="38">
        <f>SUMIF('Redlands Pro Forma'!$B$8:$ED$8,'Annual Projections'!L$8,'Redlands Pro Forma'!$B67:$ED67)</f>
        <v>0</v>
      </c>
      <c r="M67" s="38">
        <f>SUMIF('Redlands Pro Forma'!$B$8:$ED$8,'Annual Projections'!M$8,'Redlands Pro Forma'!$B67:$ED67)</f>
        <v>0</v>
      </c>
    </row>
    <row r="68" spans="1:13" ht="19.149999999999999" customHeight="1" x14ac:dyDescent="0.4">
      <c r="A68" s="10" t="s">
        <v>50</v>
      </c>
      <c r="B68" s="39">
        <f>SUMIF('Redlands Pro Forma'!$B$8:$ED$8,'Annual Projections'!B$8,'Redlands Pro Forma'!$B68:$ED68)</f>
        <v>0</v>
      </c>
      <c r="C68" s="39">
        <f>SUMIF('Redlands Pro Forma'!$B$8:$ED$8,'Annual Projections'!C$8,'Redlands Pro Forma'!$B68:$ED68)</f>
        <v>0</v>
      </c>
      <c r="D68" s="39">
        <f>SUMIF('Redlands Pro Forma'!$B$8:$ED$8,'Annual Projections'!D$8,'Redlands Pro Forma'!$B68:$ED68)</f>
        <v>0</v>
      </c>
      <c r="E68" s="39">
        <f>SUMIF('Redlands Pro Forma'!$B$8:$ED$8,'Annual Projections'!E$8,'Redlands Pro Forma'!$B68:$ED68)</f>
        <v>0</v>
      </c>
      <c r="F68" s="39">
        <f>SUMIF('Redlands Pro Forma'!$B$8:$ED$8,'Annual Projections'!F$8,'Redlands Pro Forma'!$B68:$ED68)</f>
        <v>0</v>
      </c>
      <c r="G68" s="39">
        <f>SUMIF('Redlands Pro Forma'!$B$8:$ED$8,'Annual Projections'!G$8,'Redlands Pro Forma'!$B68:$ED68)</f>
        <v>0</v>
      </c>
      <c r="H68" s="39">
        <f>SUMIF('Redlands Pro Forma'!$B$8:$ED$8,'Annual Projections'!H$8,'Redlands Pro Forma'!$B68:$ED68)</f>
        <v>0</v>
      </c>
      <c r="I68" s="39">
        <f>SUMIF('Redlands Pro Forma'!$B$8:$ED$8,'Annual Projections'!I$8,'Redlands Pro Forma'!$B68:$ED68)</f>
        <v>0</v>
      </c>
      <c r="J68" s="39">
        <f>SUMIF('Redlands Pro Forma'!$B$8:$ED$8,'Annual Projections'!J$8,'Redlands Pro Forma'!$B68:$ED68)</f>
        <v>0</v>
      </c>
      <c r="K68" s="39">
        <f>SUMIF('Redlands Pro Forma'!$B$8:$ED$8,'Annual Projections'!K$8,'Redlands Pro Forma'!$B68:$ED68)</f>
        <v>0</v>
      </c>
      <c r="L68" s="39">
        <f>SUMIF('Redlands Pro Forma'!$B$8:$ED$8,'Annual Projections'!L$8,'Redlands Pro Forma'!$B68:$ED68)</f>
        <v>110345197.84172663</v>
      </c>
      <c r="M68" s="39">
        <f>SUMIF('Redlands Pro Forma'!$B$8:$ED$8,'Annual Projections'!M$8,'Redlands Pro Forma'!$B68:$ED68)</f>
        <v>0</v>
      </c>
    </row>
    <row r="69" spans="1:13" ht="19.149999999999999" customHeight="1" x14ac:dyDescent="0.4">
      <c r="A69" s="10" t="s">
        <v>47</v>
      </c>
      <c r="B69" s="80">
        <f>SUMIF('Redlands Pro Forma'!$B$8:$ED$8,'Annual Projections'!B$8,'Redlands Pro Forma'!$B69:$ED69)</f>
        <v>0</v>
      </c>
      <c r="C69" s="80">
        <f>SUMIF('Redlands Pro Forma'!$B$8:$ED$8,'Annual Projections'!C$8,'Redlands Pro Forma'!$B69:$ED69)</f>
        <v>0</v>
      </c>
      <c r="D69" s="80">
        <f>SUMIF('Redlands Pro Forma'!$B$8:$ED$8,'Annual Projections'!D$8,'Redlands Pro Forma'!$B69:$ED69)</f>
        <v>0</v>
      </c>
      <c r="E69" s="80">
        <f>SUMIF('Redlands Pro Forma'!$B$8:$ED$8,'Annual Projections'!E$8,'Redlands Pro Forma'!$B69:$ED69)</f>
        <v>0</v>
      </c>
      <c r="F69" s="80">
        <f>SUMIF('Redlands Pro Forma'!$B$8:$ED$8,'Annual Projections'!F$8,'Redlands Pro Forma'!$B69:$ED69)</f>
        <v>0</v>
      </c>
      <c r="G69" s="80">
        <f>SUMIF('Redlands Pro Forma'!$B$8:$ED$8,'Annual Projections'!G$8,'Redlands Pro Forma'!$B69:$ED69)</f>
        <v>0</v>
      </c>
      <c r="H69" s="80">
        <f>SUMIF('Redlands Pro Forma'!$B$8:$ED$8,'Annual Projections'!H$8,'Redlands Pro Forma'!$B69:$ED69)</f>
        <v>0</v>
      </c>
      <c r="I69" s="80">
        <f>SUMIF('Redlands Pro Forma'!$B$8:$ED$8,'Annual Projections'!I$8,'Redlands Pro Forma'!$B69:$ED69)</f>
        <v>0</v>
      </c>
      <c r="J69" s="80">
        <f>SUMIF('Redlands Pro Forma'!$B$8:$ED$8,'Annual Projections'!J$8,'Redlands Pro Forma'!$B69:$ED69)</f>
        <v>0</v>
      </c>
      <c r="K69" s="80">
        <f>SUMIF('Redlands Pro Forma'!$B$8:$ED$8,'Annual Projections'!K$8,'Redlands Pro Forma'!$B69:$ED69)</f>
        <v>0</v>
      </c>
      <c r="L69" s="80">
        <f>SUMIF('Redlands Pro Forma'!$B$8:$ED$8,'Annual Projections'!L$8,'Redlands Pro Forma'!$B69:$ED69)</f>
        <v>-2206903.9568345328</v>
      </c>
      <c r="M69" s="80">
        <f>SUMIF('Redlands Pro Forma'!$B$8:$ED$8,'Annual Projections'!M$8,'Redlands Pro Forma'!$B69:$ED69)</f>
        <v>0</v>
      </c>
    </row>
    <row r="70" spans="1:13" ht="19.149999999999999" customHeight="1" x14ac:dyDescent="0.4">
      <c r="A70" s="6" t="s">
        <v>51</v>
      </c>
      <c r="B70" s="80">
        <f>SUMIF('Redlands Pro Forma'!$B$8:$ED$8,'Annual Projections'!B$8,'Redlands Pro Forma'!$B70:$ED70)</f>
        <v>0</v>
      </c>
      <c r="C70" s="80">
        <f>SUMIF('Redlands Pro Forma'!$B$8:$ED$8,'Annual Projections'!C$8,'Redlands Pro Forma'!$B70:$ED70)</f>
        <v>0</v>
      </c>
      <c r="D70" s="80">
        <f>SUMIF('Redlands Pro Forma'!$B$8:$ED$8,'Annual Projections'!D$8,'Redlands Pro Forma'!$B70:$ED70)</f>
        <v>0</v>
      </c>
      <c r="E70" s="80">
        <f>SUMIF('Redlands Pro Forma'!$B$8:$ED$8,'Annual Projections'!E$8,'Redlands Pro Forma'!$B70:$ED70)</f>
        <v>0</v>
      </c>
      <c r="F70" s="80">
        <f>SUMIF('Redlands Pro Forma'!$B$8:$ED$8,'Annual Projections'!F$8,'Redlands Pro Forma'!$B70:$ED70)</f>
        <v>0</v>
      </c>
      <c r="G70" s="80">
        <f>SUMIF('Redlands Pro Forma'!$B$8:$ED$8,'Annual Projections'!G$8,'Redlands Pro Forma'!$B70:$ED70)</f>
        <v>0</v>
      </c>
      <c r="H70" s="80">
        <f>SUMIF('Redlands Pro Forma'!$B$8:$ED$8,'Annual Projections'!H$8,'Redlands Pro Forma'!$B70:$ED70)</f>
        <v>0</v>
      </c>
      <c r="I70" s="80">
        <f>SUMIF('Redlands Pro Forma'!$B$8:$ED$8,'Annual Projections'!I$8,'Redlands Pro Forma'!$B70:$ED70)</f>
        <v>0</v>
      </c>
      <c r="J70" s="80">
        <f>SUMIF('Redlands Pro Forma'!$B$8:$ED$8,'Annual Projections'!J$8,'Redlands Pro Forma'!$B70:$ED70)</f>
        <v>0</v>
      </c>
      <c r="K70" s="80">
        <f>SUMIF('Redlands Pro Forma'!$B$8:$ED$8,'Annual Projections'!K$8,'Redlands Pro Forma'!$B70:$ED70)</f>
        <v>0</v>
      </c>
      <c r="L70" s="80">
        <f>SUMIF('Redlands Pro Forma'!$B$8:$ED$8,'Annual Projections'!L$8,'Redlands Pro Forma'!$B70:$ED70)</f>
        <v>108138293.88489209</v>
      </c>
      <c r="M70" s="80">
        <f>SUMIF('Redlands Pro Forma'!$B$8:$ED$8,'Annual Projections'!M$8,'Redlands Pro Forma'!$B70:$ED70)</f>
        <v>0</v>
      </c>
    </row>
    <row r="71" spans="1:13" ht="19.149999999999999" customHeight="1" x14ac:dyDescent="0.4">
      <c r="B71" s="5">
        <f>SUMIF('Redlands Pro Forma'!$B$8:$ED$8,'Annual Projections'!B$8,'Redlands Pro Forma'!$B71:$ED71)</f>
        <v>0</v>
      </c>
      <c r="C71" s="5">
        <f>SUMIF('Redlands Pro Forma'!$B$8:$ED$8,'Annual Projections'!C$8,'Redlands Pro Forma'!$B71:$ED71)</f>
        <v>0</v>
      </c>
      <c r="D71" s="5">
        <f>SUMIF('Redlands Pro Forma'!$B$8:$ED$8,'Annual Projections'!D$8,'Redlands Pro Forma'!$B71:$ED71)</f>
        <v>0</v>
      </c>
      <c r="E71" s="5">
        <f>SUMIF('Redlands Pro Forma'!$B$8:$ED$8,'Annual Projections'!E$8,'Redlands Pro Forma'!$B71:$ED71)</f>
        <v>0</v>
      </c>
      <c r="F71" s="5">
        <f>SUMIF('Redlands Pro Forma'!$B$8:$ED$8,'Annual Projections'!F$8,'Redlands Pro Forma'!$B71:$ED71)</f>
        <v>0</v>
      </c>
      <c r="G71" s="5">
        <f>SUMIF('Redlands Pro Forma'!$B$8:$ED$8,'Annual Projections'!G$8,'Redlands Pro Forma'!$B71:$ED71)</f>
        <v>0</v>
      </c>
      <c r="H71" s="5">
        <f>SUMIF('Redlands Pro Forma'!$B$8:$ED$8,'Annual Projections'!H$8,'Redlands Pro Forma'!$B71:$ED71)</f>
        <v>0</v>
      </c>
      <c r="I71" s="5">
        <f>SUMIF('Redlands Pro Forma'!$B$8:$ED$8,'Annual Projections'!I$8,'Redlands Pro Forma'!$B71:$ED71)</f>
        <v>0</v>
      </c>
      <c r="J71" s="5">
        <f>SUMIF('Redlands Pro Forma'!$B$8:$ED$8,'Annual Projections'!J$8,'Redlands Pro Forma'!$B71:$ED71)</f>
        <v>0</v>
      </c>
      <c r="K71" s="5">
        <f>SUMIF('Redlands Pro Forma'!$B$8:$ED$8,'Annual Projections'!K$8,'Redlands Pro Forma'!$B71:$ED71)</f>
        <v>0</v>
      </c>
      <c r="L71" s="5">
        <f>SUMIF('Redlands Pro Forma'!$B$8:$ED$8,'Annual Projections'!L$8,'Redlands Pro Forma'!$B71:$ED71)</f>
        <v>0</v>
      </c>
      <c r="M71" s="5">
        <f>SUMIF('Redlands Pro Forma'!$B$8:$ED$8,'Annual Projections'!M$8,'Redlands Pro Forma'!$B71:$ED71)</f>
        <v>0</v>
      </c>
    </row>
    <row r="72" spans="1:13" ht="19.149999999999999" customHeight="1" x14ac:dyDescent="0.4">
      <c r="A72" s="6" t="s">
        <v>52</v>
      </c>
      <c r="B72" s="80">
        <f>SUMIF('Redlands Pro Forma'!$B$8:$ED$8,'Annual Projections'!B$8,'Redlands Pro Forma'!$B72:$ED72)</f>
        <v>-68625600</v>
      </c>
      <c r="C72" s="80">
        <f>SUMIF('Redlands Pro Forma'!$B$8:$ED$8,'Annual Projections'!C$8,'Redlands Pro Forma'!$B72:$ED72)</f>
        <v>2359535</v>
      </c>
      <c r="D72" s="80">
        <f>SUMIF('Redlands Pro Forma'!$B$8:$ED$8,'Annual Projections'!D$8,'Redlands Pro Forma'!$B72:$ED72)</f>
        <v>2423756</v>
      </c>
      <c r="E72" s="80">
        <f>SUMIF('Redlands Pro Forma'!$B$8:$ED$8,'Annual Projections'!E$8,'Redlands Pro Forma'!$B72:$ED72)</f>
        <v>2489693</v>
      </c>
      <c r="F72" s="80">
        <f>SUMIF('Redlands Pro Forma'!$B$8:$ED$8,'Annual Projections'!F$8,'Redlands Pro Forma'!$B72:$ED72)</f>
        <v>2557388.2000000007</v>
      </c>
      <c r="G72" s="80">
        <f>SUMIF('Redlands Pro Forma'!$B$8:$ED$8,'Annual Projections'!G$8,'Redlands Pro Forma'!$B72:$ED72)</f>
        <v>2626874.7039999999</v>
      </c>
      <c r="H72" s="80">
        <f>SUMIF('Redlands Pro Forma'!$B$8:$ED$8,'Annual Projections'!H$8,'Redlands Pro Forma'!$B72:$ED72)</f>
        <v>2698217.5180799998</v>
      </c>
      <c r="I72" s="80">
        <f>SUMIF('Redlands Pro Forma'!$B$8:$ED$8,'Annual Projections'!I$8,'Redlands Pro Forma'!$B72:$ED72)</f>
        <v>2770519.5484416001</v>
      </c>
      <c r="J72" s="80">
        <f>SUMIF('Redlands Pro Forma'!$B$8:$ED$8,'Annual Projections'!J$8,'Redlands Pro Forma'!$B72:$ED72)</f>
        <v>2343787.5994104324</v>
      </c>
      <c r="K72" s="80">
        <f>SUMIF('Redlands Pro Forma'!$B$8:$ED$8,'Annual Projections'!K$8,'Redlands Pro Forma'!$B72:$ED72)</f>
        <v>5705690.3713986417</v>
      </c>
      <c r="L72" s="80">
        <f>SUMIF('Redlands Pro Forma'!$B$8:$ED$8,'Annual Projections'!L$8,'Redlands Pro Forma'!$B72:$ED72)</f>
        <v>113992770.34371871</v>
      </c>
      <c r="M72" s="80">
        <f>SUMIF('Redlands Pro Forma'!$B$8:$ED$8,'Annual Projections'!M$8,'Redlands Pro Forma'!$B72:$ED72)</f>
        <v>0</v>
      </c>
    </row>
    <row r="74" spans="1:13" ht="19.149999999999999" customHeight="1" x14ac:dyDescent="0.45">
      <c r="A74" s="5" t="s">
        <v>53</v>
      </c>
      <c r="B74" s="96">
        <f>IRR(B72:L72)</f>
        <v>8.2707284465517894E-2</v>
      </c>
      <c r="D74" s="186"/>
    </row>
    <row r="75" spans="1:13" ht="19.149999999999999" customHeight="1" x14ac:dyDescent="0.45">
      <c r="A75" s="5" t="s">
        <v>54</v>
      </c>
      <c r="B75" s="97">
        <f>SUMIF(B72:M72,"&gt;0")/-SUMIF(B72:M72,"&lt;0")</f>
        <v>2.0395921097236216</v>
      </c>
    </row>
  </sheetData>
  <pageMargins left="0.15999999642372131" right="0.15999999642372131" top="0.40000000596046448" bottom="0.31999999284744263" header="0.3" footer="0.3"/>
  <pageSetup orientation="landscape" errors="blank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8828-6166-4694-A51B-66A144D0388F}">
  <sheetPr>
    <tabColor rgb="FFC00000"/>
    <outlinePr summaryBelow="0"/>
  </sheetPr>
  <dimension ref="A1:ED75"/>
  <sheetViews>
    <sheetView topLeftCell="A4" zoomScale="70" zoomScaleNormal="70" workbookViewId="0">
      <selection activeCell="DR68" sqref="DR68"/>
    </sheetView>
  </sheetViews>
  <sheetFormatPr defaultColWidth="13.59765625" defaultRowHeight="19.149999999999999" customHeight="1" outlineLevelRow="1" outlineLevelCol="1" x14ac:dyDescent="0.4"/>
  <cols>
    <col min="1" max="1" width="28.86328125" style="5" bestFit="1" customWidth="1"/>
    <col min="2" max="2" width="14.73046875" style="5" customWidth="1"/>
    <col min="3" max="15" width="13.59765625" style="5"/>
    <col min="16" max="85" width="13.59765625" style="5" hidden="1" customWidth="1" outlineLevel="1"/>
    <col min="86" max="86" width="13.59765625" style="5" collapsed="1"/>
    <col min="87" max="92" width="13.59765625" style="5"/>
    <col min="93" max="121" width="13.59765625" style="5" customWidth="1" outlineLevel="1"/>
    <col min="122" max="16384" width="13.59765625" style="5"/>
  </cols>
  <sheetData>
    <row r="1" spans="1:134" ht="19.149999999999999" hidden="1" customHeight="1" outlineLevel="1" collapsed="1" x14ac:dyDescent="0.4">
      <c r="C1" s="48" t="s">
        <v>0</v>
      </c>
      <c r="D1" s="48" t="s">
        <v>1</v>
      </c>
    </row>
    <row r="2" spans="1:134" ht="19.149999999999999" hidden="1" customHeight="1" outlineLevel="1" x14ac:dyDescent="0.4">
      <c r="A2" s="5" t="s">
        <v>2</v>
      </c>
      <c r="C2" s="36">
        <v>0.03</v>
      </c>
      <c r="D2" s="36">
        <v>2.1999999999999999E-2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</row>
    <row r="3" spans="1:134" ht="19.149999999999999" hidden="1" customHeight="1" outlineLevel="1" x14ac:dyDescent="0.4">
      <c r="A3" s="5" t="s">
        <v>3</v>
      </c>
      <c r="C3" s="36">
        <v>2.5000000000000001E-2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</row>
    <row r="4" spans="1:134" ht="19.149999999999999" customHeight="1" x14ac:dyDescent="0.4">
      <c r="A4" s="2" t="s">
        <v>4</v>
      </c>
    </row>
    <row r="5" spans="1:134" ht="19.149999999999999" customHeight="1" x14ac:dyDescent="0.4">
      <c r="A5" s="6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34" ht="12.75" customHeight="1" x14ac:dyDescent="0.4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4" ht="15.4" customHeight="1" x14ac:dyDescent="0.4">
      <c r="B7" s="50" t="s">
        <v>6</v>
      </c>
      <c r="C7" s="50" t="s">
        <v>7</v>
      </c>
      <c r="D7" s="50" t="s">
        <v>7</v>
      </c>
      <c r="E7" s="50" t="s">
        <v>7</v>
      </c>
      <c r="F7" s="50" t="s">
        <v>7</v>
      </c>
      <c r="G7" s="50" t="s">
        <v>7</v>
      </c>
      <c r="H7" s="50" t="s">
        <v>7</v>
      </c>
      <c r="I7" s="50" t="s">
        <v>7</v>
      </c>
      <c r="J7" s="50" t="s">
        <v>7</v>
      </c>
      <c r="K7" s="50" t="s">
        <v>7</v>
      </c>
      <c r="L7" s="50" t="s">
        <v>7</v>
      </c>
      <c r="M7" s="50" t="s">
        <v>7</v>
      </c>
      <c r="N7" s="50" t="s">
        <v>7</v>
      </c>
      <c r="O7" s="50" t="s">
        <v>7</v>
      </c>
      <c r="P7" s="50" t="s">
        <v>7</v>
      </c>
      <c r="Q7" s="50" t="s">
        <v>7</v>
      </c>
      <c r="R7" s="50" t="s">
        <v>7</v>
      </c>
      <c r="S7" s="50" t="s">
        <v>7</v>
      </c>
      <c r="T7" s="50" t="s">
        <v>7</v>
      </c>
      <c r="U7" s="50" t="s">
        <v>7</v>
      </c>
      <c r="V7" s="50" t="s">
        <v>7</v>
      </c>
      <c r="W7" s="50" t="s">
        <v>7</v>
      </c>
      <c r="X7" s="50" t="s">
        <v>7</v>
      </c>
      <c r="Y7" s="50" t="s">
        <v>7</v>
      </c>
      <c r="Z7" s="50" t="s">
        <v>7</v>
      </c>
      <c r="AA7" s="50" t="s">
        <v>7</v>
      </c>
      <c r="AB7" s="50" t="s">
        <v>7</v>
      </c>
      <c r="AC7" s="50" t="s">
        <v>7</v>
      </c>
      <c r="AD7" s="50" t="s">
        <v>7</v>
      </c>
      <c r="AE7" s="50" t="s">
        <v>7</v>
      </c>
      <c r="AF7" s="50" t="s">
        <v>7</v>
      </c>
      <c r="AG7" s="50" t="s">
        <v>7</v>
      </c>
      <c r="AH7" s="50" t="s">
        <v>7</v>
      </c>
      <c r="AI7" s="50" t="s">
        <v>7</v>
      </c>
      <c r="AJ7" s="50" t="s">
        <v>7</v>
      </c>
      <c r="AK7" s="50" t="s">
        <v>7</v>
      </c>
      <c r="AL7" s="50" t="s">
        <v>7</v>
      </c>
      <c r="AM7" s="50" t="s">
        <v>7</v>
      </c>
      <c r="AN7" s="50" t="s">
        <v>7</v>
      </c>
      <c r="AO7" s="50" t="s">
        <v>7</v>
      </c>
      <c r="AP7" s="50" t="s">
        <v>7</v>
      </c>
      <c r="AQ7" s="50" t="s">
        <v>7</v>
      </c>
      <c r="AR7" s="50" t="s">
        <v>7</v>
      </c>
      <c r="AS7" s="50" t="s">
        <v>7</v>
      </c>
      <c r="AT7" s="50" t="s">
        <v>7</v>
      </c>
      <c r="AU7" s="50" t="s">
        <v>7</v>
      </c>
      <c r="AV7" s="50" t="s">
        <v>7</v>
      </c>
      <c r="AW7" s="50" t="s">
        <v>7</v>
      </c>
      <c r="AX7" s="50" t="s">
        <v>7</v>
      </c>
      <c r="AY7" s="50" t="s">
        <v>7</v>
      </c>
      <c r="AZ7" s="50" t="s">
        <v>7</v>
      </c>
      <c r="BA7" s="50" t="s">
        <v>7</v>
      </c>
      <c r="BB7" s="50" t="s">
        <v>7</v>
      </c>
      <c r="BC7" s="50" t="s">
        <v>7</v>
      </c>
      <c r="BD7" s="50" t="s">
        <v>7</v>
      </c>
      <c r="BE7" s="50" t="s">
        <v>7</v>
      </c>
      <c r="BF7" s="50" t="s">
        <v>7</v>
      </c>
      <c r="BG7" s="50" t="s">
        <v>7</v>
      </c>
      <c r="BH7" s="50" t="s">
        <v>7</v>
      </c>
      <c r="BI7" s="50" t="s">
        <v>7</v>
      </c>
      <c r="BJ7" s="50" t="s">
        <v>7</v>
      </c>
      <c r="BK7" s="50" t="s">
        <v>7</v>
      </c>
      <c r="BL7" s="50" t="s">
        <v>7</v>
      </c>
      <c r="BM7" s="50" t="s">
        <v>7</v>
      </c>
      <c r="BN7" s="50" t="s">
        <v>7</v>
      </c>
      <c r="BO7" s="50" t="s">
        <v>7</v>
      </c>
      <c r="BP7" s="50" t="s">
        <v>7</v>
      </c>
      <c r="BQ7" s="50" t="s">
        <v>7</v>
      </c>
      <c r="BR7" s="50" t="s">
        <v>7</v>
      </c>
      <c r="BS7" s="50" t="s">
        <v>7</v>
      </c>
      <c r="BT7" s="50" t="s">
        <v>7</v>
      </c>
      <c r="BU7" s="50" t="s">
        <v>7</v>
      </c>
      <c r="BV7" s="50" t="s">
        <v>7</v>
      </c>
      <c r="BW7" s="50" t="s">
        <v>7</v>
      </c>
      <c r="BX7" s="50" t="s">
        <v>7</v>
      </c>
      <c r="BY7" s="50" t="s">
        <v>7</v>
      </c>
      <c r="BZ7" s="50" t="s">
        <v>7</v>
      </c>
      <c r="CA7" s="50" t="s">
        <v>7</v>
      </c>
      <c r="CB7" s="50" t="s">
        <v>7</v>
      </c>
      <c r="CC7" s="50" t="s">
        <v>7</v>
      </c>
      <c r="CD7" s="50" t="s">
        <v>7</v>
      </c>
      <c r="CE7" s="50" t="s">
        <v>7</v>
      </c>
      <c r="CF7" s="50" t="s">
        <v>7</v>
      </c>
      <c r="CG7" s="50" t="s">
        <v>7</v>
      </c>
      <c r="CH7" s="50" t="s">
        <v>7</v>
      </c>
      <c r="CI7" s="50" t="s">
        <v>7</v>
      </c>
      <c r="CJ7" s="50" t="s">
        <v>7</v>
      </c>
      <c r="CK7" s="50" t="s">
        <v>7</v>
      </c>
      <c r="CL7" s="50" t="s">
        <v>7</v>
      </c>
      <c r="CM7" s="50" t="s">
        <v>7</v>
      </c>
      <c r="CN7" s="50" t="s">
        <v>7</v>
      </c>
      <c r="CO7" s="50" t="s">
        <v>7</v>
      </c>
      <c r="CP7" s="50" t="s">
        <v>7</v>
      </c>
      <c r="CQ7" s="50" t="s">
        <v>7</v>
      </c>
      <c r="CR7" s="50" t="s">
        <v>7</v>
      </c>
      <c r="CS7" s="50" t="s">
        <v>7</v>
      </c>
      <c r="CT7" s="50" t="s">
        <v>7</v>
      </c>
      <c r="CU7" s="50" t="s">
        <v>7</v>
      </c>
      <c r="CV7" s="50" t="s">
        <v>7</v>
      </c>
      <c r="CW7" s="50" t="s">
        <v>7</v>
      </c>
      <c r="CX7" s="50" t="s">
        <v>7</v>
      </c>
      <c r="CY7" s="50" t="s">
        <v>7</v>
      </c>
      <c r="CZ7" s="50" t="s">
        <v>7</v>
      </c>
      <c r="DA7" s="50" t="s">
        <v>7</v>
      </c>
      <c r="DB7" s="50" t="s">
        <v>7</v>
      </c>
      <c r="DC7" s="50" t="s">
        <v>7</v>
      </c>
      <c r="DD7" s="50" t="s">
        <v>7</v>
      </c>
      <c r="DE7" s="50" t="s">
        <v>7</v>
      </c>
      <c r="DF7" s="50" t="s">
        <v>7</v>
      </c>
      <c r="DG7" s="50" t="s">
        <v>7</v>
      </c>
      <c r="DH7" s="50" t="s">
        <v>7</v>
      </c>
      <c r="DI7" s="50" t="s">
        <v>7</v>
      </c>
      <c r="DJ7" s="50" t="s">
        <v>7</v>
      </c>
      <c r="DK7" s="50" t="s">
        <v>7</v>
      </c>
      <c r="DL7" s="50" t="s">
        <v>7</v>
      </c>
      <c r="DM7" s="50" t="s">
        <v>7</v>
      </c>
      <c r="DN7" s="50" t="s">
        <v>7</v>
      </c>
      <c r="DO7" s="50" t="s">
        <v>7</v>
      </c>
      <c r="DP7" s="50" t="s">
        <v>7</v>
      </c>
      <c r="DQ7" s="50" t="s">
        <v>7</v>
      </c>
      <c r="DR7" s="50" t="s">
        <v>7</v>
      </c>
      <c r="DS7" s="50" t="s">
        <v>7</v>
      </c>
      <c r="DT7" s="50" t="s">
        <v>7</v>
      </c>
      <c r="DU7" s="50" t="s">
        <v>7</v>
      </c>
      <c r="DV7" s="50" t="s">
        <v>7</v>
      </c>
      <c r="DW7" s="50" t="s">
        <v>7</v>
      </c>
      <c r="DX7" s="50" t="s">
        <v>7</v>
      </c>
      <c r="DY7" s="50" t="s">
        <v>7</v>
      </c>
      <c r="DZ7" s="50" t="s">
        <v>7</v>
      </c>
      <c r="EA7" s="50" t="s">
        <v>7</v>
      </c>
      <c r="EB7" s="50" t="s">
        <v>7</v>
      </c>
      <c r="EC7" s="50" t="s">
        <v>7</v>
      </c>
      <c r="ED7" s="50" t="s">
        <v>7</v>
      </c>
    </row>
    <row r="8" spans="1:134" ht="19.149999999999999" customHeight="1" x14ac:dyDescent="0.4">
      <c r="B8" s="51">
        <f>ROUNDUP(B$9/12,0)</f>
        <v>0</v>
      </c>
      <c r="C8" s="51">
        <f>ROUNDUP(C$9/12,0)</f>
        <v>1</v>
      </c>
      <c r="D8" s="51">
        <f t="shared" ref="D8:BO8" si="0">ROUNDUP(D$9/12,0)</f>
        <v>1</v>
      </c>
      <c r="E8" s="51">
        <f t="shared" si="0"/>
        <v>1</v>
      </c>
      <c r="F8" s="51">
        <f t="shared" si="0"/>
        <v>1</v>
      </c>
      <c r="G8" s="51">
        <f t="shared" si="0"/>
        <v>1</v>
      </c>
      <c r="H8" s="51">
        <f t="shared" si="0"/>
        <v>1</v>
      </c>
      <c r="I8" s="51">
        <f t="shared" si="0"/>
        <v>1</v>
      </c>
      <c r="J8" s="51">
        <f t="shared" si="0"/>
        <v>1</v>
      </c>
      <c r="K8" s="51">
        <f t="shared" si="0"/>
        <v>1</v>
      </c>
      <c r="L8" s="51">
        <f t="shared" si="0"/>
        <v>1</v>
      </c>
      <c r="M8" s="51">
        <f t="shared" si="0"/>
        <v>1</v>
      </c>
      <c r="N8" s="51">
        <f t="shared" si="0"/>
        <v>1</v>
      </c>
      <c r="O8" s="51">
        <f t="shared" si="0"/>
        <v>2</v>
      </c>
      <c r="P8" s="51">
        <f t="shared" si="0"/>
        <v>2</v>
      </c>
      <c r="Q8" s="51">
        <f t="shared" si="0"/>
        <v>2</v>
      </c>
      <c r="R8" s="51">
        <f t="shared" si="0"/>
        <v>2</v>
      </c>
      <c r="S8" s="51">
        <f t="shared" si="0"/>
        <v>2</v>
      </c>
      <c r="T8" s="51">
        <f t="shared" si="0"/>
        <v>2</v>
      </c>
      <c r="U8" s="51">
        <f t="shared" si="0"/>
        <v>2</v>
      </c>
      <c r="V8" s="51">
        <f t="shared" si="0"/>
        <v>2</v>
      </c>
      <c r="W8" s="51">
        <f t="shared" si="0"/>
        <v>2</v>
      </c>
      <c r="X8" s="51">
        <f t="shared" si="0"/>
        <v>2</v>
      </c>
      <c r="Y8" s="51">
        <f t="shared" si="0"/>
        <v>2</v>
      </c>
      <c r="Z8" s="51">
        <f t="shared" si="0"/>
        <v>2</v>
      </c>
      <c r="AA8" s="51">
        <f t="shared" si="0"/>
        <v>3</v>
      </c>
      <c r="AB8" s="51">
        <f t="shared" si="0"/>
        <v>3</v>
      </c>
      <c r="AC8" s="51">
        <f t="shared" si="0"/>
        <v>3</v>
      </c>
      <c r="AD8" s="51">
        <f t="shared" si="0"/>
        <v>3</v>
      </c>
      <c r="AE8" s="51">
        <f t="shared" si="0"/>
        <v>3</v>
      </c>
      <c r="AF8" s="51">
        <f t="shared" si="0"/>
        <v>3</v>
      </c>
      <c r="AG8" s="51">
        <f t="shared" si="0"/>
        <v>3</v>
      </c>
      <c r="AH8" s="51">
        <f t="shared" si="0"/>
        <v>3</v>
      </c>
      <c r="AI8" s="51">
        <f t="shared" si="0"/>
        <v>3</v>
      </c>
      <c r="AJ8" s="51">
        <f t="shared" si="0"/>
        <v>3</v>
      </c>
      <c r="AK8" s="51">
        <f t="shared" si="0"/>
        <v>3</v>
      </c>
      <c r="AL8" s="51">
        <f t="shared" si="0"/>
        <v>3</v>
      </c>
      <c r="AM8" s="51">
        <f t="shared" si="0"/>
        <v>4</v>
      </c>
      <c r="AN8" s="51">
        <f t="shared" si="0"/>
        <v>4</v>
      </c>
      <c r="AO8" s="51">
        <f t="shared" si="0"/>
        <v>4</v>
      </c>
      <c r="AP8" s="51">
        <f t="shared" si="0"/>
        <v>4</v>
      </c>
      <c r="AQ8" s="51">
        <f t="shared" si="0"/>
        <v>4</v>
      </c>
      <c r="AR8" s="51">
        <f t="shared" si="0"/>
        <v>4</v>
      </c>
      <c r="AS8" s="51">
        <f t="shared" si="0"/>
        <v>4</v>
      </c>
      <c r="AT8" s="51">
        <f t="shared" si="0"/>
        <v>4</v>
      </c>
      <c r="AU8" s="51">
        <f t="shared" si="0"/>
        <v>4</v>
      </c>
      <c r="AV8" s="51">
        <f t="shared" si="0"/>
        <v>4</v>
      </c>
      <c r="AW8" s="51">
        <f t="shared" si="0"/>
        <v>4</v>
      </c>
      <c r="AX8" s="51">
        <f t="shared" si="0"/>
        <v>4</v>
      </c>
      <c r="AY8" s="51">
        <f t="shared" si="0"/>
        <v>5</v>
      </c>
      <c r="AZ8" s="51">
        <f t="shared" si="0"/>
        <v>5</v>
      </c>
      <c r="BA8" s="51">
        <f t="shared" si="0"/>
        <v>5</v>
      </c>
      <c r="BB8" s="51">
        <f t="shared" si="0"/>
        <v>5</v>
      </c>
      <c r="BC8" s="51">
        <f t="shared" si="0"/>
        <v>5</v>
      </c>
      <c r="BD8" s="51">
        <f t="shared" si="0"/>
        <v>5</v>
      </c>
      <c r="BE8" s="51">
        <f t="shared" si="0"/>
        <v>5</v>
      </c>
      <c r="BF8" s="51">
        <f t="shared" si="0"/>
        <v>5</v>
      </c>
      <c r="BG8" s="51">
        <f t="shared" si="0"/>
        <v>5</v>
      </c>
      <c r="BH8" s="51">
        <f t="shared" si="0"/>
        <v>5</v>
      </c>
      <c r="BI8" s="51">
        <f t="shared" si="0"/>
        <v>5</v>
      </c>
      <c r="BJ8" s="51">
        <f t="shared" si="0"/>
        <v>5</v>
      </c>
      <c r="BK8" s="51">
        <f t="shared" si="0"/>
        <v>6</v>
      </c>
      <c r="BL8" s="51">
        <f t="shared" si="0"/>
        <v>6</v>
      </c>
      <c r="BM8" s="51">
        <f t="shared" si="0"/>
        <v>6</v>
      </c>
      <c r="BN8" s="51">
        <f t="shared" si="0"/>
        <v>6</v>
      </c>
      <c r="BO8" s="51">
        <f t="shared" si="0"/>
        <v>6</v>
      </c>
      <c r="BP8" s="51">
        <f t="shared" ref="BP8:EA8" si="1">ROUNDUP(BP$9/12,0)</f>
        <v>6</v>
      </c>
      <c r="BQ8" s="51">
        <f t="shared" si="1"/>
        <v>6</v>
      </c>
      <c r="BR8" s="51">
        <f t="shared" si="1"/>
        <v>6</v>
      </c>
      <c r="BS8" s="51">
        <f t="shared" si="1"/>
        <v>6</v>
      </c>
      <c r="BT8" s="51">
        <f t="shared" si="1"/>
        <v>6</v>
      </c>
      <c r="BU8" s="51">
        <f t="shared" si="1"/>
        <v>6</v>
      </c>
      <c r="BV8" s="51">
        <f t="shared" si="1"/>
        <v>6</v>
      </c>
      <c r="BW8" s="51">
        <f t="shared" si="1"/>
        <v>7</v>
      </c>
      <c r="BX8" s="51">
        <f t="shared" si="1"/>
        <v>7</v>
      </c>
      <c r="BY8" s="51">
        <f t="shared" si="1"/>
        <v>7</v>
      </c>
      <c r="BZ8" s="51">
        <f t="shared" si="1"/>
        <v>7</v>
      </c>
      <c r="CA8" s="51">
        <f t="shared" si="1"/>
        <v>7</v>
      </c>
      <c r="CB8" s="51">
        <f t="shared" si="1"/>
        <v>7</v>
      </c>
      <c r="CC8" s="51">
        <f t="shared" si="1"/>
        <v>7</v>
      </c>
      <c r="CD8" s="51">
        <f t="shared" si="1"/>
        <v>7</v>
      </c>
      <c r="CE8" s="51">
        <f t="shared" si="1"/>
        <v>7</v>
      </c>
      <c r="CF8" s="51">
        <f t="shared" si="1"/>
        <v>7</v>
      </c>
      <c r="CG8" s="51">
        <f t="shared" si="1"/>
        <v>7</v>
      </c>
      <c r="CH8" s="51">
        <f t="shared" si="1"/>
        <v>7</v>
      </c>
      <c r="CI8" s="51">
        <f t="shared" si="1"/>
        <v>8</v>
      </c>
      <c r="CJ8" s="51">
        <f t="shared" si="1"/>
        <v>8</v>
      </c>
      <c r="CK8" s="51">
        <f t="shared" si="1"/>
        <v>8</v>
      </c>
      <c r="CL8" s="51">
        <f t="shared" si="1"/>
        <v>8</v>
      </c>
      <c r="CM8" s="51">
        <f t="shared" si="1"/>
        <v>8</v>
      </c>
      <c r="CN8" s="51">
        <f t="shared" si="1"/>
        <v>8</v>
      </c>
      <c r="CO8" s="51">
        <f t="shared" si="1"/>
        <v>8</v>
      </c>
      <c r="CP8" s="51">
        <f t="shared" si="1"/>
        <v>8</v>
      </c>
      <c r="CQ8" s="51">
        <f t="shared" si="1"/>
        <v>8</v>
      </c>
      <c r="CR8" s="51">
        <f t="shared" si="1"/>
        <v>8</v>
      </c>
      <c r="CS8" s="51">
        <f t="shared" si="1"/>
        <v>8</v>
      </c>
      <c r="CT8" s="51">
        <f t="shared" si="1"/>
        <v>8</v>
      </c>
      <c r="CU8" s="51">
        <f t="shared" si="1"/>
        <v>9</v>
      </c>
      <c r="CV8" s="51">
        <f t="shared" si="1"/>
        <v>9</v>
      </c>
      <c r="CW8" s="51">
        <f t="shared" si="1"/>
        <v>9</v>
      </c>
      <c r="CX8" s="51">
        <f t="shared" si="1"/>
        <v>9</v>
      </c>
      <c r="CY8" s="51">
        <f t="shared" si="1"/>
        <v>9</v>
      </c>
      <c r="CZ8" s="51">
        <f t="shared" si="1"/>
        <v>9</v>
      </c>
      <c r="DA8" s="51">
        <f t="shared" si="1"/>
        <v>9</v>
      </c>
      <c r="DB8" s="51">
        <f t="shared" si="1"/>
        <v>9</v>
      </c>
      <c r="DC8" s="51">
        <f t="shared" si="1"/>
        <v>9</v>
      </c>
      <c r="DD8" s="51">
        <f t="shared" si="1"/>
        <v>9</v>
      </c>
      <c r="DE8" s="51">
        <f t="shared" si="1"/>
        <v>9</v>
      </c>
      <c r="DF8" s="51">
        <f t="shared" si="1"/>
        <v>9</v>
      </c>
      <c r="DG8" s="51">
        <f t="shared" si="1"/>
        <v>10</v>
      </c>
      <c r="DH8" s="51">
        <f t="shared" si="1"/>
        <v>10</v>
      </c>
      <c r="DI8" s="51">
        <f t="shared" si="1"/>
        <v>10</v>
      </c>
      <c r="DJ8" s="51">
        <f t="shared" si="1"/>
        <v>10</v>
      </c>
      <c r="DK8" s="51">
        <f t="shared" si="1"/>
        <v>10</v>
      </c>
      <c r="DL8" s="51">
        <f t="shared" si="1"/>
        <v>10</v>
      </c>
      <c r="DM8" s="51">
        <f t="shared" si="1"/>
        <v>10</v>
      </c>
      <c r="DN8" s="51">
        <f t="shared" si="1"/>
        <v>10</v>
      </c>
      <c r="DO8" s="51">
        <f t="shared" si="1"/>
        <v>10</v>
      </c>
      <c r="DP8" s="51">
        <f t="shared" si="1"/>
        <v>10</v>
      </c>
      <c r="DQ8" s="51">
        <f t="shared" si="1"/>
        <v>10</v>
      </c>
      <c r="DR8" s="51">
        <f t="shared" si="1"/>
        <v>10</v>
      </c>
      <c r="DS8" s="51">
        <f t="shared" si="1"/>
        <v>11</v>
      </c>
      <c r="DT8" s="51">
        <f t="shared" si="1"/>
        <v>11</v>
      </c>
      <c r="DU8" s="51">
        <f t="shared" si="1"/>
        <v>11</v>
      </c>
      <c r="DV8" s="51">
        <f t="shared" si="1"/>
        <v>11</v>
      </c>
      <c r="DW8" s="51">
        <f t="shared" si="1"/>
        <v>11</v>
      </c>
      <c r="DX8" s="51">
        <f t="shared" si="1"/>
        <v>11</v>
      </c>
      <c r="DY8" s="51">
        <f t="shared" si="1"/>
        <v>11</v>
      </c>
      <c r="DZ8" s="51">
        <f t="shared" si="1"/>
        <v>11</v>
      </c>
      <c r="EA8" s="51">
        <f t="shared" si="1"/>
        <v>11</v>
      </c>
      <c r="EB8" s="51">
        <f t="shared" ref="EB8:ED8" si="2">ROUNDUP(EB$9/12,0)</f>
        <v>11</v>
      </c>
      <c r="EC8" s="51">
        <f t="shared" si="2"/>
        <v>11</v>
      </c>
      <c r="ED8" s="51">
        <f t="shared" si="2"/>
        <v>11</v>
      </c>
    </row>
    <row r="9" spans="1:134" ht="19.149999999999999" customHeight="1" x14ac:dyDescent="0.4">
      <c r="B9" s="52"/>
      <c r="C9" s="52" cm="1">
        <f t="array" ref="C9:ED9">_xlfn.SEQUENCE(1,('Redlands Inputs'!$D$15+1)*12,1,1)</f>
        <v>1</v>
      </c>
      <c r="D9" s="52">
        <v>2</v>
      </c>
      <c r="E9" s="52">
        <v>3</v>
      </c>
      <c r="F9" s="52">
        <v>4</v>
      </c>
      <c r="G9" s="52">
        <v>5</v>
      </c>
      <c r="H9" s="52">
        <v>6</v>
      </c>
      <c r="I9" s="52">
        <v>7</v>
      </c>
      <c r="J9" s="52">
        <v>8</v>
      </c>
      <c r="K9" s="52">
        <v>9</v>
      </c>
      <c r="L9" s="52">
        <v>10</v>
      </c>
      <c r="M9" s="52">
        <v>11</v>
      </c>
      <c r="N9" s="52">
        <v>12</v>
      </c>
      <c r="O9" s="52">
        <v>13</v>
      </c>
      <c r="P9" s="52">
        <v>14</v>
      </c>
      <c r="Q9" s="52">
        <v>15</v>
      </c>
      <c r="R9" s="52">
        <v>16</v>
      </c>
      <c r="S9" s="52">
        <v>17</v>
      </c>
      <c r="T9" s="52">
        <v>18</v>
      </c>
      <c r="U9" s="52">
        <v>19</v>
      </c>
      <c r="V9" s="52">
        <v>20</v>
      </c>
      <c r="W9" s="52">
        <v>21</v>
      </c>
      <c r="X9" s="52">
        <v>22</v>
      </c>
      <c r="Y9" s="52">
        <v>23</v>
      </c>
      <c r="Z9" s="52">
        <v>24</v>
      </c>
      <c r="AA9" s="52">
        <v>25</v>
      </c>
      <c r="AB9" s="52">
        <v>26</v>
      </c>
      <c r="AC9" s="52">
        <v>27</v>
      </c>
      <c r="AD9" s="52">
        <v>28</v>
      </c>
      <c r="AE9" s="52">
        <v>29</v>
      </c>
      <c r="AF9" s="52">
        <v>30</v>
      </c>
      <c r="AG9" s="52">
        <v>31</v>
      </c>
      <c r="AH9" s="52">
        <v>32</v>
      </c>
      <c r="AI9" s="52">
        <v>33</v>
      </c>
      <c r="AJ9" s="52">
        <v>34</v>
      </c>
      <c r="AK9" s="52">
        <v>35</v>
      </c>
      <c r="AL9" s="52">
        <v>36</v>
      </c>
      <c r="AM9" s="52">
        <v>37</v>
      </c>
      <c r="AN9" s="52">
        <v>38</v>
      </c>
      <c r="AO9" s="52">
        <v>39</v>
      </c>
      <c r="AP9" s="52">
        <v>40</v>
      </c>
      <c r="AQ9" s="52">
        <v>41</v>
      </c>
      <c r="AR9" s="52">
        <v>42</v>
      </c>
      <c r="AS9" s="52">
        <v>43</v>
      </c>
      <c r="AT9" s="52">
        <v>44</v>
      </c>
      <c r="AU9" s="52">
        <v>45</v>
      </c>
      <c r="AV9" s="52">
        <v>46</v>
      </c>
      <c r="AW9" s="52">
        <v>47</v>
      </c>
      <c r="AX9" s="52">
        <v>48</v>
      </c>
      <c r="AY9" s="52">
        <v>49</v>
      </c>
      <c r="AZ9" s="52">
        <v>50</v>
      </c>
      <c r="BA9" s="52">
        <v>51</v>
      </c>
      <c r="BB9" s="52">
        <v>52</v>
      </c>
      <c r="BC9" s="52">
        <v>53</v>
      </c>
      <c r="BD9" s="52">
        <v>54</v>
      </c>
      <c r="BE9" s="52">
        <v>55</v>
      </c>
      <c r="BF9" s="52">
        <v>56</v>
      </c>
      <c r="BG9" s="52">
        <v>57</v>
      </c>
      <c r="BH9" s="52">
        <v>58</v>
      </c>
      <c r="BI9" s="52">
        <v>59</v>
      </c>
      <c r="BJ9" s="52">
        <v>60</v>
      </c>
      <c r="BK9" s="52">
        <v>61</v>
      </c>
      <c r="BL9" s="52">
        <v>62</v>
      </c>
      <c r="BM9" s="52">
        <v>63</v>
      </c>
      <c r="BN9" s="52">
        <v>64</v>
      </c>
      <c r="BO9" s="52">
        <v>65</v>
      </c>
      <c r="BP9" s="52">
        <v>66</v>
      </c>
      <c r="BQ9" s="52">
        <v>67</v>
      </c>
      <c r="BR9" s="52">
        <v>68</v>
      </c>
      <c r="BS9" s="52">
        <v>69</v>
      </c>
      <c r="BT9" s="52">
        <v>70</v>
      </c>
      <c r="BU9" s="52">
        <v>71</v>
      </c>
      <c r="BV9" s="52">
        <v>72</v>
      </c>
      <c r="BW9" s="52">
        <v>73</v>
      </c>
      <c r="BX9" s="52">
        <v>74</v>
      </c>
      <c r="BY9" s="52">
        <v>75</v>
      </c>
      <c r="BZ9" s="52">
        <v>76</v>
      </c>
      <c r="CA9" s="52">
        <v>77</v>
      </c>
      <c r="CB9" s="52">
        <v>78</v>
      </c>
      <c r="CC9" s="52">
        <v>79</v>
      </c>
      <c r="CD9" s="52">
        <v>80</v>
      </c>
      <c r="CE9" s="52">
        <v>81</v>
      </c>
      <c r="CF9" s="52">
        <v>82</v>
      </c>
      <c r="CG9" s="52">
        <v>83</v>
      </c>
      <c r="CH9" s="52">
        <v>84</v>
      </c>
      <c r="CI9" s="52">
        <v>85</v>
      </c>
      <c r="CJ9" s="52">
        <v>86</v>
      </c>
      <c r="CK9" s="52">
        <v>87</v>
      </c>
      <c r="CL9" s="52">
        <v>88</v>
      </c>
      <c r="CM9" s="52">
        <v>89</v>
      </c>
      <c r="CN9" s="52">
        <v>90</v>
      </c>
      <c r="CO9" s="52">
        <v>91</v>
      </c>
      <c r="CP9" s="52">
        <v>92</v>
      </c>
      <c r="CQ9" s="52">
        <v>93</v>
      </c>
      <c r="CR9" s="52">
        <v>94</v>
      </c>
      <c r="CS9" s="52">
        <v>95</v>
      </c>
      <c r="CT9" s="52">
        <v>96</v>
      </c>
      <c r="CU9" s="52">
        <v>97</v>
      </c>
      <c r="CV9" s="52">
        <v>98</v>
      </c>
      <c r="CW9" s="52">
        <v>99</v>
      </c>
      <c r="CX9" s="52">
        <v>100</v>
      </c>
      <c r="CY9" s="52">
        <v>101</v>
      </c>
      <c r="CZ9" s="52">
        <v>102</v>
      </c>
      <c r="DA9" s="52">
        <v>103</v>
      </c>
      <c r="DB9" s="52">
        <v>104</v>
      </c>
      <c r="DC9" s="52">
        <v>105</v>
      </c>
      <c r="DD9" s="52">
        <v>106</v>
      </c>
      <c r="DE9" s="52">
        <v>107</v>
      </c>
      <c r="DF9" s="52">
        <v>108</v>
      </c>
      <c r="DG9" s="52">
        <v>109</v>
      </c>
      <c r="DH9" s="52">
        <v>110</v>
      </c>
      <c r="DI9" s="52">
        <v>111</v>
      </c>
      <c r="DJ9" s="52">
        <v>112</v>
      </c>
      <c r="DK9" s="52">
        <v>113</v>
      </c>
      <c r="DL9" s="52">
        <v>114</v>
      </c>
      <c r="DM9" s="52">
        <v>115</v>
      </c>
      <c r="DN9" s="52">
        <v>116</v>
      </c>
      <c r="DO9" s="52">
        <v>117</v>
      </c>
      <c r="DP9" s="52">
        <v>118</v>
      </c>
      <c r="DQ9" s="52">
        <v>119</v>
      </c>
      <c r="DR9" s="52">
        <v>120</v>
      </c>
      <c r="DS9" s="52">
        <v>121</v>
      </c>
      <c r="DT9" s="52">
        <v>122</v>
      </c>
      <c r="DU9" s="52">
        <v>123</v>
      </c>
      <c r="DV9" s="52">
        <v>124</v>
      </c>
      <c r="DW9" s="52">
        <v>125</v>
      </c>
      <c r="DX9" s="52">
        <v>126</v>
      </c>
      <c r="DY9" s="52">
        <v>127</v>
      </c>
      <c r="DZ9" s="52">
        <v>128</v>
      </c>
      <c r="EA9" s="52">
        <v>129</v>
      </c>
      <c r="EB9" s="52">
        <v>130</v>
      </c>
      <c r="EC9" s="52">
        <v>131</v>
      </c>
      <c r="ED9" s="52">
        <v>132</v>
      </c>
    </row>
    <row r="10" spans="1:134" ht="19.149999999999999" customHeight="1" x14ac:dyDescent="0.4">
      <c r="A10" s="6" t="s">
        <v>8</v>
      </c>
      <c r="B10" s="53">
        <f>EOMONTH(C10,-12)</f>
        <v>45322</v>
      </c>
      <c r="C10" s="53">
        <f>EOMONTH('Redlands Inputs'!D14,0)</f>
        <v>45688</v>
      </c>
      <c r="D10" s="53">
        <f>EOMONTH(C10,1)</f>
        <v>45716</v>
      </c>
      <c r="E10" s="53">
        <f t="shared" ref="E10:BP10" si="3">EOMONTH(D10,1)</f>
        <v>45747</v>
      </c>
      <c r="F10" s="53">
        <f t="shared" si="3"/>
        <v>45777</v>
      </c>
      <c r="G10" s="53">
        <f t="shared" si="3"/>
        <v>45808</v>
      </c>
      <c r="H10" s="53">
        <f t="shared" si="3"/>
        <v>45838</v>
      </c>
      <c r="I10" s="53">
        <f t="shared" si="3"/>
        <v>45869</v>
      </c>
      <c r="J10" s="53">
        <f t="shared" si="3"/>
        <v>45900</v>
      </c>
      <c r="K10" s="53">
        <f t="shared" si="3"/>
        <v>45930</v>
      </c>
      <c r="L10" s="53">
        <f t="shared" si="3"/>
        <v>45961</v>
      </c>
      <c r="M10" s="53">
        <f t="shared" si="3"/>
        <v>45991</v>
      </c>
      <c r="N10" s="53">
        <f t="shared" si="3"/>
        <v>46022</v>
      </c>
      <c r="O10" s="53">
        <f t="shared" si="3"/>
        <v>46053</v>
      </c>
      <c r="P10" s="53">
        <f t="shared" si="3"/>
        <v>46081</v>
      </c>
      <c r="Q10" s="53">
        <f t="shared" si="3"/>
        <v>46112</v>
      </c>
      <c r="R10" s="53">
        <f t="shared" si="3"/>
        <v>46142</v>
      </c>
      <c r="S10" s="53">
        <f t="shared" si="3"/>
        <v>46173</v>
      </c>
      <c r="T10" s="53">
        <f t="shared" si="3"/>
        <v>46203</v>
      </c>
      <c r="U10" s="53">
        <f t="shared" si="3"/>
        <v>46234</v>
      </c>
      <c r="V10" s="53">
        <f t="shared" si="3"/>
        <v>46265</v>
      </c>
      <c r="W10" s="53">
        <f t="shared" si="3"/>
        <v>46295</v>
      </c>
      <c r="X10" s="53">
        <f t="shared" si="3"/>
        <v>46326</v>
      </c>
      <c r="Y10" s="53">
        <f t="shared" si="3"/>
        <v>46356</v>
      </c>
      <c r="Z10" s="53">
        <f t="shared" si="3"/>
        <v>46387</v>
      </c>
      <c r="AA10" s="53">
        <f t="shared" si="3"/>
        <v>46418</v>
      </c>
      <c r="AB10" s="53">
        <f t="shared" si="3"/>
        <v>46446</v>
      </c>
      <c r="AC10" s="53">
        <f t="shared" si="3"/>
        <v>46477</v>
      </c>
      <c r="AD10" s="53">
        <f t="shared" si="3"/>
        <v>46507</v>
      </c>
      <c r="AE10" s="53">
        <f t="shared" si="3"/>
        <v>46538</v>
      </c>
      <c r="AF10" s="53">
        <f t="shared" si="3"/>
        <v>46568</v>
      </c>
      <c r="AG10" s="53">
        <f t="shared" si="3"/>
        <v>46599</v>
      </c>
      <c r="AH10" s="53">
        <f t="shared" si="3"/>
        <v>46630</v>
      </c>
      <c r="AI10" s="53">
        <f t="shared" si="3"/>
        <v>46660</v>
      </c>
      <c r="AJ10" s="53">
        <f t="shared" si="3"/>
        <v>46691</v>
      </c>
      <c r="AK10" s="53">
        <f t="shared" si="3"/>
        <v>46721</v>
      </c>
      <c r="AL10" s="53">
        <f t="shared" si="3"/>
        <v>46752</v>
      </c>
      <c r="AM10" s="53">
        <f t="shared" si="3"/>
        <v>46783</v>
      </c>
      <c r="AN10" s="53">
        <f t="shared" si="3"/>
        <v>46812</v>
      </c>
      <c r="AO10" s="53">
        <f t="shared" si="3"/>
        <v>46843</v>
      </c>
      <c r="AP10" s="53">
        <f t="shared" si="3"/>
        <v>46873</v>
      </c>
      <c r="AQ10" s="53">
        <f t="shared" si="3"/>
        <v>46904</v>
      </c>
      <c r="AR10" s="53">
        <f t="shared" si="3"/>
        <v>46934</v>
      </c>
      <c r="AS10" s="53">
        <f t="shared" si="3"/>
        <v>46965</v>
      </c>
      <c r="AT10" s="53">
        <f t="shared" si="3"/>
        <v>46996</v>
      </c>
      <c r="AU10" s="53">
        <f t="shared" si="3"/>
        <v>47026</v>
      </c>
      <c r="AV10" s="53">
        <f t="shared" si="3"/>
        <v>47057</v>
      </c>
      <c r="AW10" s="53">
        <f t="shared" si="3"/>
        <v>47087</v>
      </c>
      <c r="AX10" s="53">
        <f t="shared" si="3"/>
        <v>47118</v>
      </c>
      <c r="AY10" s="53">
        <f t="shared" si="3"/>
        <v>47149</v>
      </c>
      <c r="AZ10" s="53">
        <f t="shared" si="3"/>
        <v>47177</v>
      </c>
      <c r="BA10" s="53">
        <f t="shared" si="3"/>
        <v>47208</v>
      </c>
      <c r="BB10" s="53">
        <f t="shared" si="3"/>
        <v>47238</v>
      </c>
      <c r="BC10" s="53">
        <f t="shared" si="3"/>
        <v>47269</v>
      </c>
      <c r="BD10" s="53">
        <f t="shared" si="3"/>
        <v>47299</v>
      </c>
      <c r="BE10" s="53">
        <f t="shared" si="3"/>
        <v>47330</v>
      </c>
      <c r="BF10" s="53">
        <f t="shared" si="3"/>
        <v>47361</v>
      </c>
      <c r="BG10" s="53">
        <f t="shared" si="3"/>
        <v>47391</v>
      </c>
      <c r="BH10" s="53">
        <f t="shared" si="3"/>
        <v>47422</v>
      </c>
      <c r="BI10" s="53">
        <f t="shared" si="3"/>
        <v>47452</v>
      </c>
      <c r="BJ10" s="53">
        <f t="shared" si="3"/>
        <v>47483</v>
      </c>
      <c r="BK10" s="53">
        <f t="shared" si="3"/>
        <v>47514</v>
      </c>
      <c r="BL10" s="53">
        <f t="shared" si="3"/>
        <v>47542</v>
      </c>
      <c r="BM10" s="53">
        <f t="shared" si="3"/>
        <v>47573</v>
      </c>
      <c r="BN10" s="53">
        <f t="shared" si="3"/>
        <v>47603</v>
      </c>
      <c r="BO10" s="53">
        <f t="shared" si="3"/>
        <v>47634</v>
      </c>
      <c r="BP10" s="53">
        <f t="shared" si="3"/>
        <v>47664</v>
      </c>
      <c r="BQ10" s="53">
        <f t="shared" ref="BQ10:EB10" si="4">EOMONTH(BP10,1)</f>
        <v>47695</v>
      </c>
      <c r="BR10" s="53">
        <f t="shared" si="4"/>
        <v>47726</v>
      </c>
      <c r="BS10" s="53">
        <f t="shared" si="4"/>
        <v>47756</v>
      </c>
      <c r="BT10" s="53">
        <f t="shared" si="4"/>
        <v>47787</v>
      </c>
      <c r="BU10" s="53">
        <f t="shared" si="4"/>
        <v>47817</v>
      </c>
      <c r="BV10" s="53">
        <f t="shared" si="4"/>
        <v>47848</v>
      </c>
      <c r="BW10" s="53">
        <f t="shared" si="4"/>
        <v>47879</v>
      </c>
      <c r="BX10" s="53">
        <f t="shared" si="4"/>
        <v>47907</v>
      </c>
      <c r="BY10" s="53">
        <f t="shared" si="4"/>
        <v>47938</v>
      </c>
      <c r="BZ10" s="53">
        <f t="shared" si="4"/>
        <v>47968</v>
      </c>
      <c r="CA10" s="53">
        <f t="shared" si="4"/>
        <v>47999</v>
      </c>
      <c r="CB10" s="53">
        <f t="shared" si="4"/>
        <v>48029</v>
      </c>
      <c r="CC10" s="53">
        <f t="shared" si="4"/>
        <v>48060</v>
      </c>
      <c r="CD10" s="53">
        <f t="shared" si="4"/>
        <v>48091</v>
      </c>
      <c r="CE10" s="53">
        <f t="shared" si="4"/>
        <v>48121</v>
      </c>
      <c r="CF10" s="53">
        <f t="shared" si="4"/>
        <v>48152</v>
      </c>
      <c r="CG10" s="53">
        <f t="shared" si="4"/>
        <v>48182</v>
      </c>
      <c r="CH10" s="53">
        <f t="shared" si="4"/>
        <v>48213</v>
      </c>
      <c r="CI10" s="53">
        <f t="shared" si="4"/>
        <v>48244</v>
      </c>
      <c r="CJ10" s="53">
        <f t="shared" si="4"/>
        <v>48273</v>
      </c>
      <c r="CK10" s="53">
        <f t="shared" si="4"/>
        <v>48304</v>
      </c>
      <c r="CL10" s="53">
        <f t="shared" si="4"/>
        <v>48334</v>
      </c>
      <c r="CM10" s="53">
        <f t="shared" si="4"/>
        <v>48365</v>
      </c>
      <c r="CN10" s="53">
        <f t="shared" si="4"/>
        <v>48395</v>
      </c>
      <c r="CO10" s="53">
        <f t="shared" si="4"/>
        <v>48426</v>
      </c>
      <c r="CP10" s="53">
        <f t="shared" si="4"/>
        <v>48457</v>
      </c>
      <c r="CQ10" s="53">
        <f t="shared" si="4"/>
        <v>48487</v>
      </c>
      <c r="CR10" s="53">
        <f t="shared" si="4"/>
        <v>48518</v>
      </c>
      <c r="CS10" s="53">
        <f t="shared" si="4"/>
        <v>48548</v>
      </c>
      <c r="CT10" s="53">
        <f t="shared" si="4"/>
        <v>48579</v>
      </c>
      <c r="CU10" s="53">
        <f t="shared" si="4"/>
        <v>48610</v>
      </c>
      <c r="CV10" s="53">
        <f t="shared" si="4"/>
        <v>48638</v>
      </c>
      <c r="CW10" s="53">
        <f t="shared" si="4"/>
        <v>48669</v>
      </c>
      <c r="CX10" s="53">
        <f t="shared" si="4"/>
        <v>48699</v>
      </c>
      <c r="CY10" s="53">
        <f t="shared" si="4"/>
        <v>48730</v>
      </c>
      <c r="CZ10" s="53">
        <f t="shared" si="4"/>
        <v>48760</v>
      </c>
      <c r="DA10" s="53">
        <f t="shared" si="4"/>
        <v>48791</v>
      </c>
      <c r="DB10" s="53">
        <f t="shared" si="4"/>
        <v>48822</v>
      </c>
      <c r="DC10" s="53">
        <f t="shared" si="4"/>
        <v>48852</v>
      </c>
      <c r="DD10" s="53">
        <f t="shared" si="4"/>
        <v>48883</v>
      </c>
      <c r="DE10" s="53">
        <f t="shared" si="4"/>
        <v>48913</v>
      </c>
      <c r="DF10" s="53">
        <f t="shared" si="4"/>
        <v>48944</v>
      </c>
      <c r="DG10" s="53">
        <f t="shared" si="4"/>
        <v>48975</v>
      </c>
      <c r="DH10" s="53">
        <f t="shared" si="4"/>
        <v>49003</v>
      </c>
      <c r="DI10" s="53">
        <f t="shared" si="4"/>
        <v>49034</v>
      </c>
      <c r="DJ10" s="53">
        <f t="shared" si="4"/>
        <v>49064</v>
      </c>
      <c r="DK10" s="53">
        <f t="shared" si="4"/>
        <v>49095</v>
      </c>
      <c r="DL10" s="53">
        <f t="shared" si="4"/>
        <v>49125</v>
      </c>
      <c r="DM10" s="53">
        <f t="shared" si="4"/>
        <v>49156</v>
      </c>
      <c r="DN10" s="53">
        <f t="shared" si="4"/>
        <v>49187</v>
      </c>
      <c r="DO10" s="53">
        <f t="shared" si="4"/>
        <v>49217</v>
      </c>
      <c r="DP10" s="53">
        <f t="shared" si="4"/>
        <v>49248</v>
      </c>
      <c r="DQ10" s="53">
        <f t="shared" si="4"/>
        <v>49278</v>
      </c>
      <c r="DR10" s="53">
        <f t="shared" si="4"/>
        <v>49309</v>
      </c>
      <c r="DS10" s="53">
        <f t="shared" si="4"/>
        <v>49340</v>
      </c>
      <c r="DT10" s="53">
        <f t="shared" si="4"/>
        <v>49368</v>
      </c>
      <c r="DU10" s="53">
        <f t="shared" si="4"/>
        <v>49399</v>
      </c>
      <c r="DV10" s="53">
        <f t="shared" si="4"/>
        <v>49429</v>
      </c>
      <c r="DW10" s="53">
        <f t="shared" si="4"/>
        <v>49460</v>
      </c>
      <c r="DX10" s="53">
        <f t="shared" si="4"/>
        <v>49490</v>
      </c>
      <c r="DY10" s="53">
        <f t="shared" si="4"/>
        <v>49521</v>
      </c>
      <c r="DZ10" s="53">
        <f t="shared" si="4"/>
        <v>49552</v>
      </c>
      <c r="EA10" s="53">
        <f t="shared" si="4"/>
        <v>49582</v>
      </c>
      <c r="EB10" s="53">
        <f t="shared" si="4"/>
        <v>49613</v>
      </c>
      <c r="EC10" s="53">
        <f t="shared" ref="EC10:ED10" si="5">EOMONTH(EB10,1)</f>
        <v>49643</v>
      </c>
      <c r="ED10" s="53">
        <f t="shared" si="5"/>
        <v>49674</v>
      </c>
    </row>
    <row r="12" spans="1:134" ht="19.149999999999999" customHeight="1" x14ac:dyDescent="0.55000000000000004">
      <c r="A12" s="3" t="s">
        <v>9</v>
      </c>
      <c r="B12" s="3"/>
      <c r="C12" s="4" t="s">
        <v>10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</row>
    <row r="13" spans="1:134" ht="19.149999999999999" customHeight="1" x14ac:dyDescent="0.55000000000000004">
      <c r="A13" s="7" t="s">
        <v>11</v>
      </c>
      <c r="B13" s="3"/>
      <c r="C13" s="264">
        <f>(C14/'Redlands Inputs'!$D$7)*12</f>
        <v>6.4997761712089641</v>
      </c>
      <c r="D13" s="264">
        <f>(D14/'Redlands Inputs'!$D$7)*12</f>
        <v>6.4997761712089641</v>
      </c>
      <c r="E13" s="264">
        <f>(E14/'Redlands Inputs'!$D$7)*12</f>
        <v>6.4997761712089641</v>
      </c>
      <c r="F13" s="264">
        <f>(F14/'Redlands Inputs'!$D$7)*12</f>
        <v>6.4997761712089641</v>
      </c>
      <c r="G13" s="264">
        <f>(G14/'Redlands Inputs'!$D$7)*12</f>
        <v>6.4997761712089641</v>
      </c>
      <c r="H13" s="264">
        <f>(H14/'Redlands Inputs'!$D$7)*12</f>
        <v>6.4997761712089641</v>
      </c>
      <c r="I13" s="264">
        <f>(I14/'Redlands Inputs'!$D$7)*12</f>
        <v>6.4997761712089641</v>
      </c>
      <c r="J13" s="264">
        <f>(J14/'Redlands Inputs'!$D$7)*12</f>
        <v>6.4997761712089641</v>
      </c>
      <c r="K13" s="264">
        <f>(K14/'Redlands Inputs'!$D$7)*12</f>
        <v>6.4997761712089641</v>
      </c>
      <c r="L13" s="264">
        <f>(L14/'Redlands Inputs'!$D$7)*12</f>
        <v>6.4997761712089641</v>
      </c>
      <c r="M13" s="264">
        <f>(M14/'Redlands Inputs'!$D$7)*12</f>
        <v>6.4997761712089641</v>
      </c>
      <c r="N13" s="264">
        <f>(N14/'Redlands Inputs'!$D$7)*12</f>
        <v>6.4997761712089641</v>
      </c>
      <c r="O13" s="264">
        <f>(O14/'Redlands Inputs'!$D$7)*12</f>
        <v>6.6297716946331429</v>
      </c>
      <c r="P13" s="264">
        <f>(P14/'Redlands Inputs'!$D$7)*12</f>
        <v>6.6297716946331429</v>
      </c>
      <c r="Q13" s="264">
        <f>(Q14/'Redlands Inputs'!$D$7)*12</f>
        <v>6.6297716946331429</v>
      </c>
      <c r="R13" s="264">
        <f>(R14/'Redlands Inputs'!$D$7)*12</f>
        <v>6.6297716946331429</v>
      </c>
      <c r="S13" s="264">
        <f>(S14/'Redlands Inputs'!$D$7)*12</f>
        <v>6.6297716946331429</v>
      </c>
      <c r="T13" s="264">
        <f>(T14/'Redlands Inputs'!$D$7)*12</f>
        <v>6.6297716946331429</v>
      </c>
      <c r="U13" s="264">
        <f>(U14/'Redlands Inputs'!$D$7)*12</f>
        <v>6.6297716946331429</v>
      </c>
      <c r="V13" s="264">
        <f>(V14/'Redlands Inputs'!$D$7)*12</f>
        <v>6.6297716946331429</v>
      </c>
      <c r="W13" s="264">
        <f>(W14/'Redlands Inputs'!$D$7)*12</f>
        <v>6.6297716946331429</v>
      </c>
      <c r="X13" s="264">
        <f>(X14/'Redlands Inputs'!$D$7)*12</f>
        <v>6.6297716946331429</v>
      </c>
      <c r="Y13" s="264">
        <f>(Y14/'Redlands Inputs'!$D$7)*12</f>
        <v>6.6297716946331429</v>
      </c>
      <c r="Z13" s="264">
        <f>(Z14/'Redlands Inputs'!$D$7)*12</f>
        <v>6.6297716946331429</v>
      </c>
      <c r="AA13" s="264">
        <f>(AA14/'Redlands Inputs'!$D$7)*12</f>
        <v>6.7623671285258062</v>
      </c>
      <c r="AB13" s="264">
        <f>(AB14/'Redlands Inputs'!$D$7)*12</f>
        <v>6.7623671285258062</v>
      </c>
      <c r="AC13" s="264">
        <f>(AC14/'Redlands Inputs'!$D$7)*12</f>
        <v>6.7623671285258062</v>
      </c>
      <c r="AD13" s="264">
        <f>(AD14/'Redlands Inputs'!$D$7)*12</f>
        <v>6.7623671285258062</v>
      </c>
      <c r="AE13" s="264">
        <f>(AE14/'Redlands Inputs'!$D$7)*12</f>
        <v>6.7623671285258062</v>
      </c>
      <c r="AF13" s="264">
        <f>(AF14/'Redlands Inputs'!$D$7)*12</f>
        <v>6.7623671285258062</v>
      </c>
      <c r="AG13" s="264">
        <f>(AG14/'Redlands Inputs'!$D$7)*12</f>
        <v>6.7623671285258062</v>
      </c>
      <c r="AH13" s="264">
        <f>(AH14/'Redlands Inputs'!$D$7)*12</f>
        <v>6.7623671285258062</v>
      </c>
      <c r="AI13" s="264">
        <f>(AI14/'Redlands Inputs'!$D$7)*12</f>
        <v>6.7623671285258062</v>
      </c>
      <c r="AJ13" s="264">
        <f>(AJ14/'Redlands Inputs'!$D$7)*12</f>
        <v>6.7623671285258062</v>
      </c>
      <c r="AK13" s="264">
        <f>(AK14/'Redlands Inputs'!$D$7)*12</f>
        <v>6.7623671285258062</v>
      </c>
      <c r="AL13" s="264">
        <f>(AL14/'Redlands Inputs'!$D$7)*12</f>
        <v>6.7623671285258062</v>
      </c>
      <c r="AM13" s="264">
        <f>(AM14/'Redlands Inputs'!$D$7)*12</f>
        <v>6.8976144710963219</v>
      </c>
      <c r="AN13" s="264">
        <f>(AN14/'Redlands Inputs'!$D$7)*12</f>
        <v>6.8976144710963219</v>
      </c>
      <c r="AO13" s="264">
        <f>(AO14/'Redlands Inputs'!$D$7)*12</f>
        <v>6.8976144710963219</v>
      </c>
      <c r="AP13" s="264">
        <f>(AP14/'Redlands Inputs'!$D$7)*12</f>
        <v>6.8976144710963219</v>
      </c>
      <c r="AQ13" s="264">
        <f>(AQ14/'Redlands Inputs'!$D$7)*12</f>
        <v>6.8976144710963219</v>
      </c>
      <c r="AR13" s="264">
        <f>(AR14/'Redlands Inputs'!$D$7)*12</f>
        <v>6.8976144710963219</v>
      </c>
      <c r="AS13" s="264">
        <f>(AS14/'Redlands Inputs'!$D$7)*12</f>
        <v>6.8976144710963219</v>
      </c>
      <c r="AT13" s="264">
        <f>(AT14/'Redlands Inputs'!$D$7)*12</f>
        <v>6.8976144710963219</v>
      </c>
      <c r="AU13" s="264">
        <f>(AU14/'Redlands Inputs'!$D$7)*12</f>
        <v>6.8976144710963219</v>
      </c>
      <c r="AV13" s="264">
        <f>(AV14/'Redlands Inputs'!$D$7)*12</f>
        <v>6.8976144710963219</v>
      </c>
      <c r="AW13" s="264">
        <f>(AW14/'Redlands Inputs'!$D$7)*12</f>
        <v>6.8976144710963219</v>
      </c>
      <c r="AX13" s="264">
        <f>(AX14/'Redlands Inputs'!$D$7)*12</f>
        <v>6.8976144710963219</v>
      </c>
      <c r="AY13" s="264">
        <f>(AY14/'Redlands Inputs'!$D$7)*12</f>
        <v>7.0355667605182495</v>
      </c>
      <c r="AZ13" s="264">
        <f>(AZ14/'Redlands Inputs'!$D$7)*12</f>
        <v>7.0355667605182495</v>
      </c>
      <c r="BA13" s="264">
        <f>(BA14/'Redlands Inputs'!$D$7)*12</f>
        <v>7.0355667605182495</v>
      </c>
      <c r="BB13" s="264">
        <f>(BB14/'Redlands Inputs'!$D$7)*12</f>
        <v>7.0355667605182495</v>
      </c>
      <c r="BC13" s="264">
        <f>(BC14/'Redlands Inputs'!$D$7)*12</f>
        <v>7.0355667605182495</v>
      </c>
      <c r="BD13" s="264">
        <f>(BD14/'Redlands Inputs'!$D$7)*12</f>
        <v>7.0355667605182495</v>
      </c>
      <c r="BE13" s="264">
        <f>(BE14/'Redlands Inputs'!$D$7)*12</f>
        <v>7.0355667605182495</v>
      </c>
      <c r="BF13" s="264">
        <f>(BF14/'Redlands Inputs'!$D$7)*12</f>
        <v>7.0355667605182495</v>
      </c>
      <c r="BG13" s="264">
        <f>(BG14/'Redlands Inputs'!$D$7)*12</f>
        <v>7.0355667605182495</v>
      </c>
      <c r="BH13" s="264">
        <f>(BH14/'Redlands Inputs'!$D$7)*12</f>
        <v>7.0355667605182495</v>
      </c>
      <c r="BI13" s="264">
        <f>(BI14/'Redlands Inputs'!$D$7)*12</f>
        <v>7.0355667605182495</v>
      </c>
      <c r="BJ13" s="264">
        <f>(BJ14/'Redlands Inputs'!$D$7)*12</f>
        <v>7.0355667605182495</v>
      </c>
      <c r="BK13" s="264">
        <f>(BK14/'Redlands Inputs'!$D$7)*12</f>
        <v>7.1762780957286143</v>
      </c>
      <c r="BL13" s="264">
        <f>(BL14/'Redlands Inputs'!$D$7)*12</f>
        <v>7.1762780957286143</v>
      </c>
      <c r="BM13" s="264">
        <f>(BM14/'Redlands Inputs'!$D$7)*12</f>
        <v>7.1762780957286143</v>
      </c>
      <c r="BN13" s="264">
        <f>(BN14/'Redlands Inputs'!$D$7)*12</f>
        <v>7.1762780957286143</v>
      </c>
      <c r="BO13" s="264">
        <f>(BO14/'Redlands Inputs'!$D$7)*12</f>
        <v>7.1762780957286143</v>
      </c>
      <c r="BP13" s="264">
        <f>(BP14/'Redlands Inputs'!$D$7)*12</f>
        <v>7.1762780957286143</v>
      </c>
      <c r="BQ13" s="264">
        <f>(BQ14/'Redlands Inputs'!$D$7)*12</f>
        <v>7.1762780957286143</v>
      </c>
      <c r="BR13" s="264">
        <f>(BR14/'Redlands Inputs'!$D$7)*12</f>
        <v>7.1762780957286143</v>
      </c>
      <c r="BS13" s="264">
        <f>(BS14/'Redlands Inputs'!$D$7)*12</f>
        <v>7.1762780957286143</v>
      </c>
      <c r="BT13" s="264">
        <f>(BT14/'Redlands Inputs'!$D$7)*12</f>
        <v>7.1762780957286143</v>
      </c>
      <c r="BU13" s="264">
        <f>(BU14/'Redlands Inputs'!$D$7)*12</f>
        <v>7.1762780957286143</v>
      </c>
      <c r="BV13" s="264">
        <f>(BV14/'Redlands Inputs'!$D$7)*12</f>
        <v>7.1762780957286143</v>
      </c>
      <c r="BW13" s="264">
        <f>(BW14/'Redlands Inputs'!$D$7)*12</f>
        <v>7.3198036576431864</v>
      </c>
      <c r="BX13" s="264">
        <f>(BX14/'Redlands Inputs'!$D$7)*12</f>
        <v>7.3198036576431864</v>
      </c>
      <c r="BY13" s="264">
        <f>(BY14/'Redlands Inputs'!$D$7)*12</f>
        <v>7.3198036576431864</v>
      </c>
      <c r="BZ13" s="264">
        <f>(BZ14/'Redlands Inputs'!$D$7)*12</f>
        <v>7.3198036576431864</v>
      </c>
      <c r="CA13" s="264">
        <f>(CA14/'Redlands Inputs'!$D$7)*12</f>
        <v>7.3198036576431864</v>
      </c>
      <c r="CB13" s="264">
        <f>(CB14/'Redlands Inputs'!$D$7)*12</f>
        <v>7.3198036576431864</v>
      </c>
      <c r="CC13" s="264">
        <f>(CC14/'Redlands Inputs'!$D$7)*12</f>
        <v>7.3198036576431864</v>
      </c>
      <c r="CD13" s="264">
        <f>(CD14/'Redlands Inputs'!$D$7)*12</f>
        <v>7.3198036576431864</v>
      </c>
      <c r="CE13" s="264">
        <f>(CE14/'Redlands Inputs'!$D$7)*12</f>
        <v>7.3198036576431864</v>
      </c>
      <c r="CF13" s="264">
        <f>(CF14/'Redlands Inputs'!$D$7)*12</f>
        <v>7.3198036576431864</v>
      </c>
      <c r="CG13" s="264">
        <f>(CG14/'Redlands Inputs'!$D$7)*12</f>
        <v>7.3198036576431864</v>
      </c>
      <c r="CH13" s="264">
        <f>(CH14/'Redlands Inputs'!$D$7)*12</f>
        <v>7.3198036576431864</v>
      </c>
      <c r="CI13" s="264">
        <f>(CI14/'Redlands Inputs'!$D$7)*12</f>
        <v>7.466199730796049</v>
      </c>
      <c r="CJ13" s="264">
        <f>(CJ14/'Redlands Inputs'!$D$7)*12</f>
        <v>10.698171783013912</v>
      </c>
      <c r="CK13" s="264">
        <f>(CK14/'Redlands Inputs'!$D$7)*12</f>
        <v>10.698171783013912</v>
      </c>
      <c r="CL13" s="264">
        <f>(CL14/'Redlands Inputs'!$D$7)*12</f>
        <v>10.698171783013912</v>
      </c>
      <c r="CM13" s="264">
        <f>(CM14/'Redlands Inputs'!$D$7)*12</f>
        <v>10.698171783013912</v>
      </c>
      <c r="CN13" s="264">
        <f>(CN14/'Redlands Inputs'!$D$7)*12</f>
        <v>10.698171783013912</v>
      </c>
      <c r="CO13" s="264">
        <f>(CO14/'Redlands Inputs'!$D$7)*12</f>
        <v>10.698171783013912</v>
      </c>
      <c r="CP13" s="264">
        <f>(CP14/'Redlands Inputs'!$D$7)*12</f>
        <v>10.698171783013912</v>
      </c>
      <c r="CQ13" s="264">
        <f>(CQ14/'Redlands Inputs'!$D$7)*12</f>
        <v>10.698171783013912</v>
      </c>
      <c r="CR13" s="264">
        <f>(CR14/'Redlands Inputs'!$D$7)*12</f>
        <v>10.698171783013912</v>
      </c>
      <c r="CS13" s="264">
        <f>(CS14/'Redlands Inputs'!$D$7)*12</f>
        <v>10.698171783013912</v>
      </c>
      <c r="CT13" s="264">
        <f>(CT14/'Redlands Inputs'!$D$7)*12</f>
        <v>10.698171783013912</v>
      </c>
      <c r="CU13" s="264">
        <f>(CU14/'Redlands Inputs'!$D$7)*12</f>
        <v>10.96562607758926</v>
      </c>
      <c r="CV13" s="264">
        <f>(CV14/'Redlands Inputs'!$D$7)*12</f>
        <v>10.96562607758926</v>
      </c>
      <c r="CW13" s="264">
        <f>(CW14/'Redlands Inputs'!$D$7)*12</f>
        <v>10.96562607758926</v>
      </c>
      <c r="CX13" s="264">
        <f>(CX14/'Redlands Inputs'!$D$7)*12</f>
        <v>10.96562607758926</v>
      </c>
      <c r="CY13" s="264">
        <f>(CY14/'Redlands Inputs'!$D$7)*12</f>
        <v>10.96562607758926</v>
      </c>
      <c r="CZ13" s="264">
        <f>(CZ14/'Redlands Inputs'!$D$7)*12</f>
        <v>10.96562607758926</v>
      </c>
      <c r="DA13" s="264">
        <f>(DA14/'Redlands Inputs'!$D$7)*12</f>
        <v>10.96562607758926</v>
      </c>
      <c r="DB13" s="264">
        <f>(DB14/'Redlands Inputs'!$D$7)*12</f>
        <v>10.96562607758926</v>
      </c>
      <c r="DC13" s="264">
        <f>(DC14/'Redlands Inputs'!$D$7)*12</f>
        <v>10.96562607758926</v>
      </c>
      <c r="DD13" s="264">
        <f>(DD14/'Redlands Inputs'!$D$7)*12</f>
        <v>10.96562607758926</v>
      </c>
      <c r="DE13" s="264">
        <f>(DE14/'Redlands Inputs'!$D$7)*12</f>
        <v>10.96562607758926</v>
      </c>
      <c r="DF13" s="264">
        <f>(DF14/'Redlands Inputs'!$D$7)*12</f>
        <v>10.96562607758926</v>
      </c>
      <c r="DG13" s="264">
        <f>(DG14/'Redlands Inputs'!$D$7)*12</f>
        <v>11.239766729528988</v>
      </c>
      <c r="DH13" s="264">
        <f>(DH14/'Redlands Inputs'!$D$7)*12</f>
        <v>11.239766729528988</v>
      </c>
      <c r="DI13" s="264">
        <f>(DI14/'Redlands Inputs'!$D$7)*12</f>
        <v>11.239766729528988</v>
      </c>
      <c r="DJ13" s="264">
        <f>(DJ14/'Redlands Inputs'!$D$7)*12</f>
        <v>11.239766729528988</v>
      </c>
      <c r="DK13" s="264">
        <f>(DK14/'Redlands Inputs'!$D$7)*12</f>
        <v>11.239766729528988</v>
      </c>
      <c r="DL13" s="264">
        <f>(DL14/'Redlands Inputs'!$D$7)*12</f>
        <v>11.239766729528988</v>
      </c>
      <c r="DM13" s="264">
        <f>(DM14/'Redlands Inputs'!$D$7)*12</f>
        <v>11.239766729528988</v>
      </c>
      <c r="DN13" s="264">
        <f>(DN14/'Redlands Inputs'!$D$7)*12</f>
        <v>11.239766729528988</v>
      </c>
      <c r="DO13" s="264">
        <f>(DO14/'Redlands Inputs'!$D$7)*12</f>
        <v>11.239766729528988</v>
      </c>
      <c r="DP13" s="264">
        <f>(DP14/'Redlands Inputs'!$D$7)*12</f>
        <v>11.239766729528988</v>
      </c>
      <c r="DQ13" s="264">
        <f>(DQ14/'Redlands Inputs'!$D$7)*12</f>
        <v>11.239766729528988</v>
      </c>
      <c r="DR13" s="264">
        <f>(DR14/'Redlands Inputs'!$D$7)*12</f>
        <v>11.239766729528988</v>
      </c>
      <c r="DS13" s="264">
        <f>(DS14/'Redlands Inputs'!$D$7)*12</f>
        <v>11.520760897767213</v>
      </c>
      <c r="DT13" s="264">
        <f>(DT14/'Redlands Inputs'!$D$7)*12</f>
        <v>11.520760897767213</v>
      </c>
      <c r="DU13" s="264">
        <f>(DU14/'Redlands Inputs'!$D$7)*12</f>
        <v>11.520760897767213</v>
      </c>
      <c r="DV13" s="264">
        <f>(DV14/'Redlands Inputs'!$D$7)*12</f>
        <v>11.520760897767213</v>
      </c>
      <c r="DW13" s="264">
        <f>(DW14/'Redlands Inputs'!$D$7)*12</f>
        <v>11.520760897767213</v>
      </c>
      <c r="DX13" s="264">
        <f>(DX14/'Redlands Inputs'!$D$7)*12</f>
        <v>11.520760897767213</v>
      </c>
      <c r="DY13" s="264">
        <f>(DY14/'Redlands Inputs'!$D$7)*12</f>
        <v>11.520760897767213</v>
      </c>
      <c r="DZ13" s="264">
        <f>(DZ14/'Redlands Inputs'!$D$7)*12</f>
        <v>11.520760897767213</v>
      </c>
      <c r="EA13" s="264">
        <f>(EA14/'Redlands Inputs'!$D$7)*12</f>
        <v>11.520760897767213</v>
      </c>
      <c r="EB13" s="264">
        <f>(EB14/'Redlands Inputs'!$D$7)*12</f>
        <v>11.520760897767213</v>
      </c>
      <c r="EC13" s="264">
        <f>(EC14/'Redlands Inputs'!$D$7)*12</f>
        <v>11.520760897767213</v>
      </c>
      <c r="ED13" s="264">
        <f>(ED14/'Redlands Inputs'!$D$7)*12</f>
        <v>11.520760897767213</v>
      </c>
    </row>
    <row r="14" spans="1:134" ht="19.149999999999999" customHeight="1" x14ac:dyDescent="0.4">
      <c r="A14" s="9" t="s">
        <v>12</v>
      </c>
      <c r="B14" s="9"/>
      <c r="C14" s="39" cm="1">
        <f t="array" ref="C14">_xlfn.IFS('Redlands Inputs'!$G$12="Vacate",
_xlfn.IFS(C$9=1,'Redlands Inputs'!$G$22,
C$10&lt;='Redlands Inputs'!$H$20,'Redlands Inputs'!$G$22*(1+'Redlands Inputs'!$H$23)^(C$8-1),
C$10&gt;'Redlands Inputs'!$H$20,'Redlands Inputs'!$C$26*(1+'Redlands Inputs'!$D$28)^(C$8-1)),
'Redlands Inputs'!$G$12="Market",
_xlfn.IFS(C$9=1,'Redlands Inputs'!$G$22,
C$10&lt;='Redlands Inputs'!$H$20,'Redlands Inputs'!$G$22*(1+'Redlands Inputs'!$H$23)^(C$8-1),
C$10&gt;'Redlands Inputs'!$H$20,(('Redlands Inputs'!$K$17*'Redlands Inputs'!$H$17)/12)*(1+'Redlands Inputs'!$D$28)^(C$8-1)))</f>
        <v>324988.80856044823</v>
      </c>
      <c r="D14" s="39" cm="1">
        <f t="array" ref="D14">_xlfn.IFS('Redlands Inputs'!$G$12="Vacate",
_xlfn.IFS(D$9=1,'Redlands Inputs'!$G$22,
D$10&lt;='Redlands Inputs'!$H$20,'Redlands Inputs'!$G$22*(1+'Redlands Inputs'!$H$23)^(D$8-1),
D$10&gt;'Redlands Inputs'!$H$20,'Redlands Inputs'!$C$26*(1+'Redlands Inputs'!$D$28)^(D$8-1)),
'Redlands Inputs'!$G$12="Market",
_xlfn.IFS(D$9=1,'Redlands Inputs'!$G$22,
D$10&lt;='Redlands Inputs'!$H$20,'Redlands Inputs'!$G$22*(1+'Redlands Inputs'!$H$23)^(D$8-1),
D$10&gt;'Redlands Inputs'!$H$20,(('Redlands Inputs'!$K$17*'Redlands Inputs'!$H$17)/12)*(1+'Redlands Inputs'!$D$28)^(D$8-1)))</f>
        <v>324988.80856044823</v>
      </c>
      <c r="E14" s="39" cm="1">
        <f t="array" ref="E14">_xlfn.IFS('Redlands Inputs'!$G$12="Vacate",
_xlfn.IFS(E$9=1,'Redlands Inputs'!$G$22,
E$10&lt;='Redlands Inputs'!$H$20,'Redlands Inputs'!$G$22*(1+'Redlands Inputs'!$H$23)^(E$8-1),
E$10&gt;'Redlands Inputs'!$H$20,'Redlands Inputs'!$C$26*(1+'Redlands Inputs'!$D$28)^(E$8-1)),
'Redlands Inputs'!$G$12="Market",
_xlfn.IFS(E$9=1,'Redlands Inputs'!$G$22,
E$10&lt;='Redlands Inputs'!$H$20,'Redlands Inputs'!$G$22*(1+'Redlands Inputs'!$H$23)^(E$8-1),
E$10&gt;'Redlands Inputs'!$H$20,(('Redlands Inputs'!$K$17*'Redlands Inputs'!$H$17)/12)*(1+'Redlands Inputs'!$D$28)^(E$8-1)))</f>
        <v>324988.80856044823</v>
      </c>
      <c r="F14" s="39" cm="1">
        <f t="array" ref="F14">_xlfn.IFS('Redlands Inputs'!$G$12="Vacate",
_xlfn.IFS(F$9=1,'Redlands Inputs'!$G$22,
F$10&lt;='Redlands Inputs'!$H$20,'Redlands Inputs'!$G$22*(1+'Redlands Inputs'!$H$23)^(F$8-1),
F$10&gt;'Redlands Inputs'!$H$20,'Redlands Inputs'!$C$26*(1+'Redlands Inputs'!$D$28)^(F$8-1)),
'Redlands Inputs'!$G$12="Market",
_xlfn.IFS(F$9=1,'Redlands Inputs'!$G$22,
F$10&lt;='Redlands Inputs'!$H$20,'Redlands Inputs'!$G$22*(1+'Redlands Inputs'!$H$23)^(F$8-1),
F$10&gt;'Redlands Inputs'!$H$20,(('Redlands Inputs'!$K$17*'Redlands Inputs'!$H$17)/12)*(1+'Redlands Inputs'!$D$28)^(F$8-1)))</f>
        <v>324988.80856044823</v>
      </c>
      <c r="G14" s="39" cm="1">
        <f t="array" ref="G14">_xlfn.IFS('Redlands Inputs'!$G$12="Vacate",
_xlfn.IFS(G$9=1,'Redlands Inputs'!$G$22,
G$10&lt;='Redlands Inputs'!$H$20,'Redlands Inputs'!$G$22*(1+'Redlands Inputs'!$H$23)^(G$8-1),
G$10&gt;'Redlands Inputs'!$H$20,'Redlands Inputs'!$C$26*(1+'Redlands Inputs'!$D$28)^(G$8-1)),
'Redlands Inputs'!$G$12="Market",
_xlfn.IFS(G$9=1,'Redlands Inputs'!$G$22,
G$10&lt;='Redlands Inputs'!$H$20,'Redlands Inputs'!$G$22*(1+'Redlands Inputs'!$H$23)^(G$8-1),
G$10&gt;'Redlands Inputs'!$H$20,(('Redlands Inputs'!$K$17*'Redlands Inputs'!$H$17)/12)*(1+'Redlands Inputs'!$D$28)^(G$8-1)))</f>
        <v>324988.80856044823</v>
      </c>
      <c r="H14" s="39" cm="1">
        <f t="array" ref="H14">_xlfn.IFS('Redlands Inputs'!$G$12="Vacate",
_xlfn.IFS(H$9=1,'Redlands Inputs'!$G$22,
H$10&lt;='Redlands Inputs'!$H$20,'Redlands Inputs'!$G$22*(1+'Redlands Inputs'!$H$23)^(H$8-1),
H$10&gt;'Redlands Inputs'!$H$20,'Redlands Inputs'!$C$26*(1+'Redlands Inputs'!$D$28)^(H$8-1)),
'Redlands Inputs'!$G$12="Market",
_xlfn.IFS(H$9=1,'Redlands Inputs'!$G$22,
H$10&lt;='Redlands Inputs'!$H$20,'Redlands Inputs'!$G$22*(1+'Redlands Inputs'!$H$23)^(H$8-1),
H$10&gt;'Redlands Inputs'!$H$20,(('Redlands Inputs'!$K$17*'Redlands Inputs'!$H$17)/12)*(1+'Redlands Inputs'!$D$28)^(H$8-1)))</f>
        <v>324988.80856044823</v>
      </c>
      <c r="I14" s="39" cm="1">
        <f t="array" ref="I14">_xlfn.IFS('Redlands Inputs'!$G$12="Vacate",
_xlfn.IFS(I$9=1,'Redlands Inputs'!$G$22,
I$10&lt;='Redlands Inputs'!$H$20,'Redlands Inputs'!$G$22*(1+'Redlands Inputs'!$H$23)^(I$8-1),
I$10&gt;'Redlands Inputs'!$H$20,'Redlands Inputs'!$C$26*(1+'Redlands Inputs'!$D$28)^(I$8-1)),
'Redlands Inputs'!$G$12="Market",
_xlfn.IFS(I$9=1,'Redlands Inputs'!$G$22,
I$10&lt;='Redlands Inputs'!$H$20,'Redlands Inputs'!$G$22*(1+'Redlands Inputs'!$H$23)^(I$8-1),
I$10&gt;'Redlands Inputs'!$H$20,(('Redlands Inputs'!$K$17*'Redlands Inputs'!$H$17)/12)*(1+'Redlands Inputs'!$D$28)^(I$8-1)))</f>
        <v>324988.80856044823</v>
      </c>
      <c r="J14" s="39" cm="1">
        <f t="array" ref="J14">_xlfn.IFS('Redlands Inputs'!$G$12="Vacate",
_xlfn.IFS(J$9=1,'Redlands Inputs'!$G$22,
J$10&lt;='Redlands Inputs'!$H$20,'Redlands Inputs'!$G$22*(1+'Redlands Inputs'!$H$23)^(J$8-1),
J$10&gt;'Redlands Inputs'!$H$20,'Redlands Inputs'!$C$26*(1+'Redlands Inputs'!$D$28)^(J$8-1)),
'Redlands Inputs'!$G$12="Market",
_xlfn.IFS(J$9=1,'Redlands Inputs'!$G$22,
J$10&lt;='Redlands Inputs'!$H$20,'Redlands Inputs'!$G$22*(1+'Redlands Inputs'!$H$23)^(J$8-1),
J$10&gt;'Redlands Inputs'!$H$20,(('Redlands Inputs'!$K$17*'Redlands Inputs'!$H$17)/12)*(1+'Redlands Inputs'!$D$28)^(J$8-1)))</f>
        <v>324988.80856044823</v>
      </c>
      <c r="K14" s="39" cm="1">
        <f t="array" ref="K14">_xlfn.IFS('Redlands Inputs'!$G$12="Vacate",
_xlfn.IFS(K$9=1,'Redlands Inputs'!$G$22,
K$10&lt;='Redlands Inputs'!$H$20,'Redlands Inputs'!$G$22*(1+'Redlands Inputs'!$H$23)^(K$8-1),
K$10&gt;'Redlands Inputs'!$H$20,'Redlands Inputs'!$C$26*(1+'Redlands Inputs'!$D$28)^(K$8-1)),
'Redlands Inputs'!$G$12="Market",
_xlfn.IFS(K$9=1,'Redlands Inputs'!$G$22,
K$10&lt;='Redlands Inputs'!$H$20,'Redlands Inputs'!$G$22*(1+'Redlands Inputs'!$H$23)^(K$8-1),
K$10&gt;'Redlands Inputs'!$H$20,(('Redlands Inputs'!$K$17*'Redlands Inputs'!$H$17)/12)*(1+'Redlands Inputs'!$D$28)^(K$8-1)))</f>
        <v>324988.80856044823</v>
      </c>
      <c r="L14" s="39" cm="1">
        <f t="array" ref="L14">_xlfn.IFS('Redlands Inputs'!$G$12="Vacate",
_xlfn.IFS(L$9=1,'Redlands Inputs'!$G$22,
L$10&lt;='Redlands Inputs'!$H$20,'Redlands Inputs'!$G$22*(1+'Redlands Inputs'!$H$23)^(L$8-1),
L$10&gt;'Redlands Inputs'!$H$20,'Redlands Inputs'!$C$26*(1+'Redlands Inputs'!$D$28)^(L$8-1)),
'Redlands Inputs'!$G$12="Market",
_xlfn.IFS(L$9=1,'Redlands Inputs'!$G$22,
L$10&lt;='Redlands Inputs'!$H$20,'Redlands Inputs'!$G$22*(1+'Redlands Inputs'!$H$23)^(L$8-1),
L$10&gt;'Redlands Inputs'!$H$20,(('Redlands Inputs'!$K$17*'Redlands Inputs'!$H$17)/12)*(1+'Redlands Inputs'!$D$28)^(L$8-1)))</f>
        <v>324988.80856044823</v>
      </c>
      <c r="M14" s="39" cm="1">
        <f t="array" ref="M14">_xlfn.IFS('Redlands Inputs'!$G$12="Vacate",
_xlfn.IFS(M$9=1,'Redlands Inputs'!$G$22,
M$10&lt;='Redlands Inputs'!$H$20,'Redlands Inputs'!$G$22*(1+'Redlands Inputs'!$H$23)^(M$8-1),
M$10&gt;'Redlands Inputs'!$H$20,'Redlands Inputs'!$C$26*(1+'Redlands Inputs'!$D$28)^(M$8-1)),
'Redlands Inputs'!$G$12="Market",
_xlfn.IFS(M$9=1,'Redlands Inputs'!$G$22,
M$10&lt;='Redlands Inputs'!$H$20,'Redlands Inputs'!$G$22*(1+'Redlands Inputs'!$H$23)^(M$8-1),
M$10&gt;'Redlands Inputs'!$H$20,(('Redlands Inputs'!$K$17*'Redlands Inputs'!$H$17)/12)*(1+'Redlands Inputs'!$D$28)^(M$8-1)))</f>
        <v>324988.80856044823</v>
      </c>
      <c r="N14" s="39" cm="1">
        <f t="array" ref="N14">_xlfn.IFS('Redlands Inputs'!$G$12="Vacate",
_xlfn.IFS(N$9=1,'Redlands Inputs'!$G$22,
N$10&lt;='Redlands Inputs'!$H$20,'Redlands Inputs'!$G$22*(1+'Redlands Inputs'!$H$23)^(N$8-1),
N$10&gt;'Redlands Inputs'!$H$20,'Redlands Inputs'!$C$26*(1+'Redlands Inputs'!$D$28)^(N$8-1)),
'Redlands Inputs'!$G$12="Market",
_xlfn.IFS(N$9=1,'Redlands Inputs'!$G$22,
N$10&lt;='Redlands Inputs'!$H$20,'Redlands Inputs'!$G$22*(1+'Redlands Inputs'!$H$23)^(N$8-1),
N$10&gt;'Redlands Inputs'!$H$20,(('Redlands Inputs'!$K$17*'Redlands Inputs'!$H$17)/12)*(1+'Redlands Inputs'!$D$28)^(N$8-1)))</f>
        <v>324988.80856044823</v>
      </c>
      <c r="O14" s="39" cm="1">
        <f t="array" ref="O14">_xlfn.IFS('Redlands Inputs'!$G$12="Vacate",
_xlfn.IFS(O$9=1,'Redlands Inputs'!$G$22,
O$10&lt;='Redlands Inputs'!$H$20,'Redlands Inputs'!$G$22*(1+'Redlands Inputs'!$H$23)^(O$8-1),
O$10&gt;'Redlands Inputs'!$H$20,'Redlands Inputs'!$C$26*(1+'Redlands Inputs'!$D$28)^(O$8-1)),
'Redlands Inputs'!$G$12="Market",
_xlfn.IFS(O$9=1,'Redlands Inputs'!$G$22,
O$10&lt;='Redlands Inputs'!$H$20,'Redlands Inputs'!$G$22*(1+'Redlands Inputs'!$H$23)^(O$8-1),
O$10&gt;'Redlands Inputs'!$H$20,(('Redlands Inputs'!$K$17*'Redlands Inputs'!$H$17)/12)*(1+'Redlands Inputs'!$D$28)^(O$8-1)))</f>
        <v>331488.58473165717</v>
      </c>
      <c r="P14" s="39" cm="1">
        <f t="array" ref="P14">_xlfn.IFS('Redlands Inputs'!$G$12="Vacate",
_xlfn.IFS(P$9=1,'Redlands Inputs'!$G$22,
P$10&lt;='Redlands Inputs'!$H$20,'Redlands Inputs'!$G$22*(1+'Redlands Inputs'!$H$23)^(P$8-1),
P$10&gt;'Redlands Inputs'!$H$20,'Redlands Inputs'!$C$26*(1+'Redlands Inputs'!$D$28)^(P$8-1)),
'Redlands Inputs'!$G$12="Market",
_xlfn.IFS(P$9=1,'Redlands Inputs'!$G$22,
P$10&lt;='Redlands Inputs'!$H$20,'Redlands Inputs'!$G$22*(1+'Redlands Inputs'!$H$23)^(P$8-1),
P$10&gt;'Redlands Inputs'!$H$20,(('Redlands Inputs'!$K$17*'Redlands Inputs'!$H$17)/12)*(1+'Redlands Inputs'!$D$28)^(P$8-1)))</f>
        <v>331488.58473165717</v>
      </c>
      <c r="Q14" s="39" cm="1">
        <f t="array" ref="Q14">_xlfn.IFS('Redlands Inputs'!$G$12="Vacate",
_xlfn.IFS(Q$9=1,'Redlands Inputs'!$G$22,
Q$10&lt;='Redlands Inputs'!$H$20,'Redlands Inputs'!$G$22*(1+'Redlands Inputs'!$H$23)^(Q$8-1),
Q$10&gt;'Redlands Inputs'!$H$20,'Redlands Inputs'!$C$26*(1+'Redlands Inputs'!$D$28)^(Q$8-1)),
'Redlands Inputs'!$G$12="Market",
_xlfn.IFS(Q$9=1,'Redlands Inputs'!$G$22,
Q$10&lt;='Redlands Inputs'!$H$20,'Redlands Inputs'!$G$22*(1+'Redlands Inputs'!$H$23)^(Q$8-1),
Q$10&gt;'Redlands Inputs'!$H$20,(('Redlands Inputs'!$K$17*'Redlands Inputs'!$H$17)/12)*(1+'Redlands Inputs'!$D$28)^(Q$8-1)))</f>
        <v>331488.58473165717</v>
      </c>
      <c r="R14" s="39" cm="1">
        <f t="array" ref="R14">_xlfn.IFS('Redlands Inputs'!$G$12="Vacate",
_xlfn.IFS(R$9=1,'Redlands Inputs'!$G$22,
R$10&lt;='Redlands Inputs'!$H$20,'Redlands Inputs'!$G$22*(1+'Redlands Inputs'!$H$23)^(R$8-1),
R$10&gt;'Redlands Inputs'!$H$20,'Redlands Inputs'!$C$26*(1+'Redlands Inputs'!$D$28)^(R$8-1)),
'Redlands Inputs'!$G$12="Market",
_xlfn.IFS(R$9=1,'Redlands Inputs'!$G$22,
R$10&lt;='Redlands Inputs'!$H$20,'Redlands Inputs'!$G$22*(1+'Redlands Inputs'!$H$23)^(R$8-1),
R$10&gt;'Redlands Inputs'!$H$20,(('Redlands Inputs'!$K$17*'Redlands Inputs'!$H$17)/12)*(1+'Redlands Inputs'!$D$28)^(R$8-1)))</f>
        <v>331488.58473165717</v>
      </c>
      <c r="S14" s="39" cm="1">
        <f t="array" ref="S14">_xlfn.IFS('Redlands Inputs'!$G$12="Vacate",
_xlfn.IFS(S$9=1,'Redlands Inputs'!$G$22,
S$10&lt;='Redlands Inputs'!$H$20,'Redlands Inputs'!$G$22*(1+'Redlands Inputs'!$H$23)^(S$8-1),
S$10&gt;'Redlands Inputs'!$H$20,'Redlands Inputs'!$C$26*(1+'Redlands Inputs'!$D$28)^(S$8-1)),
'Redlands Inputs'!$G$12="Market",
_xlfn.IFS(S$9=1,'Redlands Inputs'!$G$22,
S$10&lt;='Redlands Inputs'!$H$20,'Redlands Inputs'!$G$22*(1+'Redlands Inputs'!$H$23)^(S$8-1),
S$10&gt;'Redlands Inputs'!$H$20,(('Redlands Inputs'!$K$17*'Redlands Inputs'!$H$17)/12)*(1+'Redlands Inputs'!$D$28)^(S$8-1)))</f>
        <v>331488.58473165717</v>
      </c>
      <c r="T14" s="39" cm="1">
        <f t="array" ref="T14">_xlfn.IFS('Redlands Inputs'!$G$12="Vacate",
_xlfn.IFS(T$9=1,'Redlands Inputs'!$G$22,
T$10&lt;='Redlands Inputs'!$H$20,'Redlands Inputs'!$G$22*(1+'Redlands Inputs'!$H$23)^(T$8-1),
T$10&gt;'Redlands Inputs'!$H$20,'Redlands Inputs'!$C$26*(1+'Redlands Inputs'!$D$28)^(T$8-1)),
'Redlands Inputs'!$G$12="Market",
_xlfn.IFS(T$9=1,'Redlands Inputs'!$G$22,
T$10&lt;='Redlands Inputs'!$H$20,'Redlands Inputs'!$G$22*(1+'Redlands Inputs'!$H$23)^(T$8-1),
T$10&gt;'Redlands Inputs'!$H$20,(('Redlands Inputs'!$K$17*'Redlands Inputs'!$H$17)/12)*(1+'Redlands Inputs'!$D$28)^(T$8-1)))</f>
        <v>331488.58473165717</v>
      </c>
      <c r="U14" s="39" cm="1">
        <f t="array" ref="U14">_xlfn.IFS('Redlands Inputs'!$G$12="Vacate",
_xlfn.IFS(U$9=1,'Redlands Inputs'!$G$22,
U$10&lt;='Redlands Inputs'!$H$20,'Redlands Inputs'!$G$22*(1+'Redlands Inputs'!$H$23)^(U$8-1),
U$10&gt;'Redlands Inputs'!$H$20,'Redlands Inputs'!$C$26*(1+'Redlands Inputs'!$D$28)^(U$8-1)),
'Redlands Inputs'!$G$12="Market",
_xlfn.IFS(U$9=1,'Redlands Inputs'!$G$22,
U$10&lt;='Redlands Inputs'!$H$20,'Redlands Inputs'!$G$22*(1+'Redlands Inputs'!$H$23)^(U$8-1),
U$10&gt;'Redlands Inputs'!$H$20,(('Redlands Inputs'!$K$17*'Redlands Inputs'!$H$17)/12)*(1+'Redlands Inputs'!$D$28)^(U$8-1)))</f>
        <v>331488.58473165717</v>
      </c>
      <c r="V14" s="39" cm="1">
        <f t="array" ref="V14">_xlfn.IFS('Redlands Inputs'!$G$12="Vacate",
_xlfn.IFS(V$9=1,'Redlands Inputs'!$G$22,
V$10&lt;='Redlands Inputs'!$H$20,'Redlands Inputs'!$G$22*(1+'Redlands Inputs'!$H$23)^(V$8-1),
V$10&gt;'Redlands Inputs'!$H$20,'Redlands Inputs'!$C$26*(1+'Redlands Inputs'!$D$28)^(V$8-1)),
'Redlands Inputs'!$G$12="Market",
_xlfn.IFS(V$9=1,'Redlands Inputs'!$G$22,
V$10&lt;='Redlands Inputs'!$H$20,'Redlands Inputs'!$G$22*(1+'Redlands Inputs'!$H$23)^(V$8-1),
V$10&gt;'Redlands Inputs'!$H$20,(('Redlands Inputs'!$K$17*'Redlands Inputs'!$H$17)/12)*(1+'Redlands Inputs'!$D$28)^(V$8-1)))</f>
        <v>331488.58473165717</v>
      </c>
      <c r="W14" s="39" cm="1">
        <f t="array" ref="W14">_xlfn.IFS('Redlands Inputs'!$G$12="Vacate",
_xlfn.IFS(W$9=1,'Redlands Inputs'!$G$22,
W$10&lt;='Redlands Inputs'!$H$20,'Redlands Inputs'!$G$22*(1+'Redlands Inputs'!$H$23)^(W$8-1),
W$10&gt;'Redlands Inputs'!$H$20,'Redlands Inputs'!$C$26*(1+'Redlands Inputs'!$D$28)^(W$8-1)),
'Redlands Inputs'!$G$12="Market",
_xlfn.IFS(W$9=1,'Redlands Inputs'!$G$22,
W$10&lt;='Redlands Inputs'!$H$20,'Redlands Inputs'!$G$22*(1+'Redlands Inputs'!$H$23)^(W$8-1),
W$10&gt;'Redlands Inputs'!$H$20,(('Redlands Inputs'!$K$17*'Redlands Inputs'!$H$17)/12)*(1+'Redlands Inputs'!$D$28)^(W$8-1)))</f>
        <v>331488.58473165717</v>
      </c>
      <c r="X14" s="39" cm="1">
        <f t="array" ref="X14">_xlfn.IFS('Redlands Inputs'!$G$12="Vacate",
_xlfn.IFS(X$9=1,'Redlands Inputs'!$G$22,
X$10&lt;='Redlands Inputs'!$H$20,'Redlands Inputs'!$G$22*(1+'Redlands Inputs'!$H$23)^(X$8-1),
X$10&gt;'Redlands Inputs'!$H$20,'Redlands Inputs'!$C$26*(1+'Redlands Inputs'!$D$28)^(X$8-1)),
'Redlands Inputs'!$G$12="Market",
_xlfn.IFS(X$9=1,'Redlands Inputs'!$G$22,
X$10&lt;='Redlands Inputs'!$H$20,'Redlands Inputs'!$G$22*(1+'Redlands Inputs'!$H$23)^(X$8-1),
X$10&gt;'Redlands Inputs'!$H$20,(('Redlands Inputs'!$K$17*'Redlands Inputs'!$H$17)/12)*(1+'Redlands Inputs'!$D$28)^(X$8-1)))</f>
        <v>331488.58473165717</v>
      </c>
      <c r="Y14" s="39" cm="1">
        <f t="array" ref="Y14">_xlfn.IFS('Redlands Inputs'!$G$12="Vacate",
_xlfn.IFS(Y$9=1,'Redlands Inputs'!$G$22,
Y$10&lt;='Redlands Inputs'!$H$20,'Redlands Inputs'!$G$22*(1+'Redlands Inputs'!$H$23)^(Y$8-1),
Y$10&gt;'Redlands Inputs'!$H$20,'Redlands Inputs'!$C$26*(1+'Redlands Inputs'!$D$28)^(Y$8-1)),
'Redlands Inputs'!$G$12="Market",
_xlfn.IFS(Y$9=1,'Redlands Inputs'!$G$22,
Y$10&lt;='Redlands Inputs'!$H$20,'Redlands Inputs'!$G$22*(1+'Redlands Inputs'!$H$23)^(Y$8-1),
Y$10&gt;'Redlands Inputs'!$H$20,(('Redlands Inputs'!$K$17*'Redlands Inputs'!$H$17)/12)*(1+'Redlands Inputs'!$D$28)^(Y$8-1)))</f>
        <v>331488.58473165717</v>
      </c>
      <c r="Z14" s="39" cm="1">
        <f t="array" ref="Z14">_xlfn.IFS('Redlands Inputs'!$G$12="Vacate",
_xlfn.IFS(Z$9=1,'Redlands Inputs'!$G$22,
Z$10&lt;='Redlands Inputs'!$H$20,'Redlands Inputs'!$G$22*(1+'Redlands Inputs'!$H$23)^(Z$8-1),
Z$10&gt;'Redlands Inputs'!$H$20,'Redlands Inputs'!$C$26*(1+'Redlands Inputs'!$D$28)^(Z$8-1)),
'Redlands Inputs'!$G$12="Market",
_xlfn.IFS(Z$9=1,'Redlands Inputs'!$G$22,
Z$10&lt;='Redlands Inputs'!$H$20,'Redlands Inputs'!$G$22*(1+'Redlands Inputs'!$H$23)^(Z$8-1),
Z$10&gt;'Redlands Inputs'!$H$20,(('Redlands Inputs'!$K$17*'Redlands Inputs'!$H$17)/12)*(1+'Redlands Inputs'!$D$28)^(Z$8-1)))</f>
        <v>331488.58473165717</v>
      </c>
      <c r="AA14" s="39" cm="1">
        <f t="array" ref="AA14">_xlfn.IFS('Redlands Inputs'!$G$12="Vacate",
_xlfn.IFS(AA$9=1,'Redlands Inputs'!$G$22,
AA$10&lt;='Redlands Inputs'!$H$20,'Redlands Inputs'!$G$22*(1+'Redlands Inputs'!$H$23)^(AA$8-1),
AA$10&gt;'Redlands Inputs'!$H$20,'Redlands Inputs'!$C$26*(1+'Redlands Inputs'!$D$28)^(AA$8-1)),
'Redlands Inputs'!$G$12="Market",
_xlfn.IFS(AA$9=1,'Redlands Inputs'!$G$22,
AA$10&lt;='Redlands Inputs'!$H$20,'Redlands Inputs'!$G$22*(1+'Redlands Inputs'!$H$23)^(AA$8-1),
AA$10&gt;'Redlands Inputs'!$H$20,(('Redlands Inputs'!$K$17*'Redlands Inputs'!$H$17)/12)*(1+'Redlands Inputs'!$D$28)^(AA$8-1)))</f>
        <v>338118.35642629035</v>
      </c>
      <c r="AB14" s="39" cm="1">
        <f t="array" ref="AB14">_xlfn.IFS('Redlands Inputs'!$G$12="Vacate",
_xlfn.IFS(AB$9=1,'Redlands Inputs'!$G$22,
AB$10&lt;='Redlands Inputs'!$H$20,'Redlands Inputs'!$G$22*(1+'Redlands Inputs'!$H$23)^(AB$8-1),
AB$10&gt;'Redlands Inputs'!$H$20,'Redlands Inputs'!$C$26*(1+'Redlands Inputs'!$D$28)^(AB$8-1)),
'Redlands Inputs'!$G$12="Market",
_xlfn.IFS(AB$9=1,'Redlands Inputs'!$G$22,
AB$10&lt;='Redlands Inputs'!$H$20,'Redlands Inputs'!$G$22*(1+'Redlands Inputs'!$H$23)^(AB$8-1),
AB$10&gt;'Redlands Inputs'!$H$20,(('Redlands Inputs'!$K$17*'Redlands Inputs'!$H$17)/12)*(1+'Redlands Inputs'!$D$28)^(AB$8-1)))</f>
        <v>338118.35642629035</v>
      </c>
      <c r="AC14" s="39" cm="1">
        <f t="array" ref="AC14">_xlfn.IFS('Redlands Inputs'!$G$12="Vacate",
_xlfn.IFS(AC$9=1,'Redlands Inputs'!$G$22,
AC$10&lt;='Redlands Inputs'!$H$20,'Redlands Inputs'!$G$22*(1+'Redlands Inputs'!$H$23)^(AC$8-1),
AC$10&gt;'Redlands Inputs'!$H$20,'Redlands Inputs'!$C$26*(1+'Redlands Inputs'!$D$28)^(AC$8-1)),
'Redlands Inputs'!$G$12="Market",
_xlfn.IFS(AC$9=1,'Redlands Inputs'!$G$22,
AC$10&lt;='Redlands Inputs'!$H$20,'Redlands Inputs'!$G$22*(1+'Redlands Inputs'!$H$23)^(AC$8-1),
AC$10&gt;'Redlands Inputs'!$H$20,(('Redlands Inputs'!$K$17*'Redlands Inputs'!$H$17)/12)*(1+'Redlands Inputs'!$D$28)^(AC$8-1)))</f>
        <v>338118.35642629035</v>
      </c>
      <c r="AD14" s="39" cm="1">
        <f t="array" ref="AD14">_xlfn.IFS('Redlands Inputs'!$G$12="Vacate",
_xlfn.IFS(AD$9=1,'Redlands Inputs'!$G$22,
AD$10&lt;='Redlands Inputs'!$H$20,'Redlands Inputs'!$G$22*(1+'Redlands Inputs'!$H$23)^(AD$8-1),
AD$10&gt;'Redlands Inputs'!$H$20,'Redlands Inputs'!$C$26*(1+'Redlands Inputs'!$D$28)^(AD$8-1)),
'Redlands Inputs'!$G$12="Market",
_xlfn.IFS(AD$9=1,'Redlands Inputs'!$G$22,
AD$10&lt;='Redlands Inputs'!$H$20,'Redlands Inputs'!$G$22*(1+'Redlands Inputs'!$H$23)^(AD$8-1),
AD$10&gt;'Redlands Inputs'!$H$20,(('Redlands Inputs'!$K$17*'Redlands Inputs'!$H$17)/12)*(1+'Redlands Inputs'!$D$28)^(AD$8-1)))</f>
        <v>338118.35642629035</v>
      </c>
      <c r="AE14" s="39" cm="1">
        <f t="array" ref="AE14">_xlfn.IFS('Redlands Inputs'!$G$12="Vacate",
_xlfn.IFS(AE$9=1,'Redlands Inputs'!$G$22,
AE$10&lt;='Redlands Inputs'!$H$20,'Redlands Inputs'!$G$22*(1+'Redlands Inputs'!$H$23)^(AE$8-1),
AE$10&gt;'Redlands Inputs'!$H$20,'Redlands Inputs'!$C$26*(1+'Redlands Inputs'!$D$28)^(AE$8-1)),
'Redlands Inputs'!$G$12="Market",
_xlfn.IFS(AE$9=1,'Redlands Inputs'!$G$22,
AE$10&lt;='Redlands Inputs'!$H$20,'Redlands Inputs'!$G$22*(1+'Redlands Inputs'!$H$23)^(AE$8-1),
AE$10&gt;'Redlands Inputs'!$H$20,(('Redlands Inputs'!$K$17*'Redlands Inputs'!$H$17)/12)*(1+'Redlands Inputs'!$D$28)^(AE$8-1)))</f>
        <v>338118.35642629035</v>
      </c>
      <c r="AF14" s="39" cm="1">
        <f t="array" ref="AF14">_xlfn.IFS('Redlands Inputs'!$G$12="Vacate",
_xlfn.IFS(AF$9=1,'Redlands Inputs'!$G$22,
AF$10&lt;='Redlands Inputs'!$H$20,'Redlands Inputs'!$G$22*(1+'Redlands Inputs'!$H$23)^(AF$8-1),
AF$10&gt;'Redlands Inputs'!$H$20,'Redlands Inputs'!$C$26*(1+'Redlands Inputs'!$D$28)^(AF$8-1)),
'Redlands Inputs'!$G$12="Market",
_xlfn.IFS(AF$9=1,'Redlands Inputs'!$G$22,
AF$10&lt;='Redlands Inputs'!$H$20,'Redlands Inputs'!$G$22*(1+'Redlands Inputs'!$H$23)^(AF$8-1),
AF$10&gt;'Redlands Inputs'!$H$20,(('Redlands Inputs'!$K$17*'Redlands Inputs'!$H$17)/12)*(1+'Redlands Inputs'!$D$28)^(AF$8-1)))</f>
        <v>338118.35642629035</v>
      </c>
      <c r="AG14" s="39" cm="1">
        <f t="array" ref="AG14">_xlfn.IFS('Redlands Inputs'!$G$12="Vacate",
_xlfn.IFS(AG$9=1,'Redlands Inputs'!$G$22,
AG$10&lt;='Redlands Inputs'!$H$20,'Redlands Inputs'!$G$22*(1+'Redlands Inputs'!$H$23)^(AG$8-1),
AG$10&gt;'Redlands Inputs'!$H$20,'Redlands Inputs'!$C$26*(1+'Redlands Inputs'!$D$28)^(AG$8-1)),
'Redlands Inputs'!$G$12="Market",
_xlfn.IFS(AG$9=1,'Redlands Inputs'!$G$22,
AG$10&lt;='Redlands Inputs'!$H$20,'Redlands Inputs'!$G$22*(1+'Redlands Inputs'!$H$23)^(AG$8-1),
AG$10&gt;'Redlands Inputs'!$H$20,(('Redlands Inputs'!$K$17*'Redlands Inputs'!$H$17)/12)*(1+'Redlands Inputs'!$D$28)^(AG$8-1)))</f>
        <v>338118.35642629035</v>
      </c>
      <c r="AH14" s="39" cm="1">
        <f t="array" ref="AH14">_xlfn.IFS('Redlands Inputs'!$G$12="Vacate",
_xlfn.IFS(AH$9=1,'Redlands Inputs'!$G$22,
AH$10&lt;='Redlands Inputs'!$H$20,'Redlands Inputs'!$G$22*(1+'Redlands Inputs'!$H$23)^(AH$8-1),
AH$10&gt;'Redlands Inputs'!$H$20,'Redlands Inputs'!$C$26*(1+'Redlands Inputs'!$D$28)^(AH$8-1)),
'Redlands Inputs'!$G$12="Market",
_xlfn.IFS(AH$9=1,'Redlands Inputs'!$G$22,
AH$10&lt;='Redlands Inputs'!$H$20,'Redlands Inputs'!$G$22*(1+'Redlands Inputs'!$H$23)^(AH$8-1),
AH$10&gt;'Redlands Inputs'!$H$20,(('Redlands Inputs'!$K$17*'Redlands Inputs'!$H$17)/12)*(1+'Redlands Inputs'!$D$28)^(AH$8-1)))</f>
        <v>338118.35642629035</v>
      </c>
      <c r="AI14" s="39" cm="1">
        <f t="array" ref="AI14">_xlfn.IFS('Redlands Inputs'!$G$12="Vacate",
_xlfn.IFS(AI$9=1,'Redlands Inputs'!$G$22,
AI$10&lt;='Redlands Inputs'!$H$20,'Redlands Inputs'!$G$22*(1+'Redlands Inputs'!$H$23)^(AI$8-1),
AI$10&gt;'Redlands Inputs'!$H$20,'Redlands Inputs'!$C$26*(1+'Redlands Inputs'!$D$28)^(AI$8-1)),
'Redlands Inputs'!$G$12="Market",
_xlfn.IFS(AI$9=1,'Redlands Inputs'!$G$22,
AI$10&lt;='Redlands Inputs'!$H$20,'Redlands Inputs'!$G$22*(1+'Redlands Inputs'!$H$23)^(AI$8-1),
AI$10&gt;'Redlands Inputs'!$H$20,(('Redlands Inputs'!$K$17*'Redlands Inputs'!$H$17)/12)*(1+'Redlands Inputs'!$D$28)^(AI$8-1)))</f>
        <v>338118.35642629035</v>
      </c>
      <c r="AJ14" s="39" cm="1">
        <f t="array" ref="AJ14">_xlfn.IFS('Redlands Inputs'!$G$12="Vacate",
_xlfn.IFS(AJ$9=1,'Redlands Inputs'!$G$22,
AJ$10&lt;='Redlands Inputs'!$H$20,'Redlands Inputs'!$G$22*(1+'Redlands Inputs'!$H$23)^(AJ$8-1),
AJ$10&gt;'Redlands Inputs'!$H$20,'Redlands Inputs'!$C$26*(1+'Redlands Inputs'!$D$28)^(AJ$8-1)),
'Redlands Inputs'!$G$12="Market",
_xlfn.IFS(AJ$9=1,'Redlands Inputs'!$G$22,
AJ$10&lt;='Redlands Inputs'!$H$20,'Redlands Inputs'!$G$22*(1+'Redlands Inputs'!$H$23)^(AJ$8-1),
AJ$10&gt;'Redlands Inputs'!$H$20,(('Redlands Inputs'!$K$17*'Redlands Inputs'!$H$17)/12)*(1+'Redlands Inputs'!$D$28)^(AJ$8-1)))</f>
        <v>338118.35642629035</v>
      </c>
      <c r="AK14" s="39" cm="1">
        <f t="array" ref="AK14">_xlfn.IFS('Redlands Inputs'!$G$12="Vacate",
_xlfn.IFS(AK$9=1,'Redlands Inputs'!$G$22,
AK$10&lt;='Redlands Inputs'!$H$20,'Redlands Inputs'!$G$22*(1+'Redlands Inputs'!$H$23)^(AK$8-1),
AK$10&gt;'Redlands Inputs'!$H$20,'Redlands Inputs'!$C$26*(1+'Redlands Inputs'!$D$28)^(AK$8-1)),
'Redlands Inputs'!$G$12="Market",
_xlfn.IFS(AK$9=1,'Redlands Inputs'!$G$22,
AK$10&lt;='Redlands Inputs'!$H$20,'Redlands Inputs'!$G$22*(1+'Redlands Inputs'!$H$23)^(AK$8-1),
AK$10&gt;'Redlands Inputs'!$H$20,(('Redlands Inputs'!$K$17*'Redlands Inputs'!$H$17)/12)*(1+'Redlands Inputs'!$D$28)^(AK$8-1)))</f>
        <v>338118.35642629035</v>
      </c>
      <c r="AL14" s="39" cm="1">
        <f t="array" ref="AL14">_xlfn.IFS('Redlands Inputs'!$G$12="Vacate",
_xlfn.IFS(AL$9=1,'Redlands Inputs'!$G$22,
AL$10&lt;='Redlands Inputs'!$H$20,'Redlands Inputs'!$G$22*(1+'Redlands Inputs'!$H$23)^(AL$8-1),
AL$10&gt;'Redlands Inputs'!$H$20,'Redlands Inputs'!$C$26*(1+'Redlands Inputs'!$D$28)^(AL$8-1)),
'Redlands Inputs'!$G$12="Market",
_xlfn.IFS(AL$9=1,'Redlands Inputs'!$G$22,
AL$10&lt;='Redlands Inputs'!$H$20,'Redlands Inputs'!$G$22*(1+'Redlands Inputs'!$H$23)^(AL$8-1),
AL$10&gt;'Redlands Inputs'!$H$20,(('Redlands Inputs'!$K$17*'Redlands Inputs'!$H$17)/12)*(1+'Redlands Inputs'!$D$28)^(AL$8-1)))</f>
        <v>338118.35642629035</v>
      </c>
      <c r="AM14" s="39" cm="1">
        <f t="array" ref="AM14">_xlfn.IFS('Redlands Inputs'!$G$12="Vacate",
_xlfn.IFS(AM$9=1,'Redlands Inputs'!$G$22,
AM$10&lt;='Redlands Inputs'!$H$20,'Redlands Inputs'!$G$22*(1+'Redlands Inputs'!$H$23)^(AM$8-1),
AM$10&gt;'Redlands Inputs'!$H$20,'Redlands Inputs'!$C$26*(1+'Redlands Inputs'!$D$28)^(AM$8-1)),
'Redlands Inputs'!$G$12="Market",
_xlfn.IFS(AM$9=1,'Redlands Inputs'!$G$22,
AM$10&lt;='Redlands Inputs'!$H$20,'Redlands Inputs'!$G$22*(1+'Redlands Inputs'!$H$23)^(AM$8-1),
AM$10&gt;'Redlands Inputs'!$H$20,(('Redlands Inputs'!$K$17*'Redlands Inputs'!$H$17)/12)*(1+'Redlands Inputs'!$D$28)^(AM$8-1)))</f>
        <v>344880.7235548161</v>
      </c>
      <c r="AN14" s="39" cm="1">
        <f t="array" ref="AN14">_xlfn.IFS('Redlands Inputs'!$G$12="Vacate",
_xlfn.IFS(AN$9=1,'Redlands Inputs'!$G$22,
AN$10&lt;='Redlands Inputs'!$H$20,'Redlands Inputs'!$G$22*(1+'Redlands Inputs'!$H$23)^(AN$8-1),
AN$10&gt;'Redlands Inputs'!$H$20,'Redlands Inputs'!$C$26*(1+'Redlands Inputs'!$D$28)^(AN$8-1)),
'Redlands Inputs'!$G$12="Market",
_xlfn.IFS(AN$9=1,'Redlands Inputs'!$G$22,
AN$10&lt;='Redlands Inputs'!$H$20,'Redlands Inputs'!$G$22*(1+'Redlands Inputs'!$H$23)^(AN$8-1),
AN$10&gt;'Redlands Inputs'!$H$20,(('Redlands Inputs'!$K$17*'Redlands Inputs'!$H$17)/12)*(1+'Redlands Inputs'!$D$28)^(AN$8-1)))</f>
        <v>344880.7235548161</v>
      </c>
      <c r="AO14" s="39" cm="1">
        <f t="array" ref="AO14">_xlfn.IFS('Redlands Inputs'!$G$12="Vacate",
_xlfn.IFS(AO$9=1,'Redlands Inputs'!$G$22,
AO$10&lt;='Redlands Inputs'!$H$20,'Redlands Inputs'!$G$22*(1+'Redlands Inputs'!$H$23)^(AO$8-1),
AO$10&gt;'Redlands Inputs'!$H$20,'Redlands Inputs'!$C$26*(1+'Redlands Inputs'!$D$28)^(AO$8-1)),
'Redlands Inputs'!$G$12="Market",
_xlfn.IFS(AO$9=1,'Redlands Inputs'!$G$22,
AO$10&lt;='Redlands Inputs'!$H$20,'Redlands Inputs'!$G$22*(1+'Redlands Inputs'!$H$23)^(AO$8-1),
AO$10&gt;'Redlands Inputs'!$H$20,(('Redlands Inputs'!$K$17*'Redlands Inputs'!$H$17)/12)*(1+'Redlands Inputs'!$D$28)^(AO$8-1)))</f>
        <v>344880.7235548161</v>
      </c>
      <c r="AP14" s="39" cm="1">
        <f t="array" ref="AP14">_xlfn.IFS('Redlands Inputs'!$G$12="Vacate",
_xlfn.IFS(AP$9=1,'Redlands Inputs'!$G$22,
AP$10&lt;='Redlands Inputs'!$H$20,'Redlands Inputs'!$G$22*(1+'Redlands Inputs'!$H$23)^(AP$8-1),
AP$10&gt;'Redlands Inputs'!$H$20,'Redlands Inputs'!$C$26*(1+'Redlands Inputs'!$D$28)^(AP$8-1)),
'Redlands Inputs'!$G$12="Market",
_xlfn.IFS(AP$9=1,'Redlands Inputs'!$G$22,
AP$10&lt;='Redlands Inputs'!$H$20,'Redlands Inputs'!$G$22*(1+'Redlands Inputs'!$H$23)^(AP$8-1),
AP$10&gt;'Redlands Inputs'!$H$20,(('Redlands Inputs'!$K$17*'Redlands Inputs'!$H$17)/12)*(1+'Redlands Inputs'!$D$28)^(AP$8-1)))</f>
        <v>344880.7235548161</v>
      </c>
      <c r="AQ14" s="39" cm="1">
        <f t="array" ref="AQ14">_xlfn.IFS('Redlands Inputs'!$G$12="Vacate",
_xlfn.IFS(AQ$9=1,'Redlands Inputs'!$G$22,
AQ$10&lt;='Redlands Inputs'!$H$20,'Redlands Inputs'!$G$22*(1+'Redlands Inputs'!$H$23)^(AQ$8-1),
AQ$10&gt;'Redlands Inputs'!$H$20,'Redlands Inputs'!$C$26*(1+'Redlands Inputs'!$D$28)^(AQ$8-1)),
'Redlands Inputs'!$G$12="Market",
_xlfn.IFS(AQ$9=1,'Redlands Inputs'!$G$22,
AQ$10&lt;='Redlands Inputs'!$H$20,'Redlands Inputs'!$G$22*(1+'Redlands Inputs'!$H$23)^(AQ$8-1),
AQ$10&gt;'Redlands Inputs'!$H$20,(('Redlands Inputs'!$K$17*'Redlands Inputs'!$H$17)/12)*(1+'Redlands Inputs'!$D$28)^(AQ$8-1)))</f>
        <v>344880.7235548161</v>
      </c>
      <c r="AR14" s="39" cm="1">
        <f t="array" ref="AR14">_xlfn.IFS('Redlands Inputs'!$G$12="Vacate",
_xlfn.IFS(AR$9=1,'Redlands Inputs'!$G$22,
AR$10&lt;='Redlands Inputs'!$H$20,'Redlands Inputs'!$G$22*(1+'Redlands Inputs'!$H$23)^(AR$8-1),
AR$10&gt;'Redlands Inputs'!$H$20,'Redlands Inputs'!$C$26*(1+'Redlands Inputs'!$D$28)^(AR$8-1)),
'Redlands Inputs'!$G$12="Market",
_xlfn.IFS(AR$9=1,'Redlands Inputs'!$G$22,
AR$10&lt;='Redlands Inputs'!$H$20,'Redlands Inputs'!$G$22*(1+'Redlands Inputs'!$H$23)^(AR$8-1),
AR$10&gt;'Redlands Inputs'!$H$20,(('Redlands Inputs'!$K$17*'Redlands Inputs'!$H$17)/12)*(1+'Redlands Inputs'!$D$28)^(AR$8-1)))</f>
        <v>344880.7235548161</v>
      </c>
      <c r="AS14" s="39" cm="1">
        <f t="array" ref="AS14">_xlfn.IFS('Redlands Inputs'!$G$12="Vacate",
_xlfn.IFS(AS$9=1,'Redlands Inputs'!$G$22,
AS$10&lt;='Redlands Inputs'!$H$20,'Redlands Inputs'!$G$22*(1+'Redlands Inputs'!$H$23)^(AS$8-1),
AS$10&gt;'Redlands Inputs'!$H$20,'Redlands Inputs'!$C$26*(1+'Redlands Inputs'!$D$28)^(AS$8-1)),
'Redlands Inputs'!$G$12="Market",
_xlfn.IFS(AS$9=1,'Redlands Inputs'!$G$22,
AS$10&lt;='Redlands Inputs'!$H$20,'Redlands Inputs'!$G$22*(1+'Redlands Inputs'!$H$23)^(AS$8-1),
AS$10&gt;'Redlands Inputs'!$H$20,(('Redlands Inputs'!$K$17*'Redlands Inputs'!$H$17)/12)*(1+'Redlands Inputs'!$D$28)^(AS$8-1)))</f>
        <v>344880.7235548161</v>
      </c>
      <c r="AT14" s="39" cm="1">
        <f t="array" ref="AT14">_xlfn.IFS('Redlands Inputs'!$G$12="Vacate",
_xlfn.IFS(AT$9=1,'Redlands Inputs'!$G$22,
AT$10&lt;='Redlands Inputs'!$H$20,'Redlands Inputs'!$G$22*(1+'Redlands Inputs'!$H$23)^(AT$8-1),
AT$10&gt;'Redlands Inputs'!$H$20,'Redlands Inputs'!$C$26*(1+'Redlands Inputs'!$D$28)^(AT$8-1)),
'Redlands Inputs'!$G$12="Market",
_xlfn.IFS(AT$9=1,'Redlands Inputs'!$G$22,
AT$10&lt;='Redlands Inputs'!$H$20,'Redlands Inputs'!$G$22*(1+'Redlands Inputs'!$H$23)^(AT$8-1),
AT$10&gt;'Redlands Inputs'!$H$20,(('Redlands Inputs'!$K$17*'Redlands Inputs'!$H$17)/12)*(1+'Redlands Inputs'!$D$28)^(AT$8-1)))</f>
        <v>344880.7235548161</v>
      </c>
      <c r="AU14" s="39" cm="1">
        <f t="array" ref="AU14">_xlfn.IFS('Redlands Inputs'!$G$12="Vacate",
_xlfn.IFS(AU$9=1,'Redlands Inputs'!$G$22,
AU$10&lt;='Redlands Inputs'!$H$20,'Redlands Inputs'!$G$22*(1+'Redlands Inputs'!$H$23)^(AU$8-1),
AU$10&gt;'Redlands Inputs'!$H$20,'Redlands Inputs'!$C$26*(1+'Redlands Inputs'!$D$28)^(AU$8-1)),
'Redlands Inputs'!$G$12="Market",
_xlfn.IFS(AU$9=1,'Redlands Inputs'!$G$22,
AU$10&lt;='Redlands Inputs'!$H$20,'Redlands Inputs'!$G$22*(1+'Redlands Inputs'!$H$23)^(AU$8-1),
AU$10&gt;'Redlands Inputs'!$H$20,(('Redlands Inputs'!$K$17*'Redlands Inputs'!$H$17)/12)*(1+'Redlands Inputs'!$D$28)^(AU$8-1)))</f>
        <v>344880.7235548161</v>
      </c>
      <c r="AV14" s="39" cm="1">
        <f t="array" ref="AV14">_xlfn.IFS('Redlands Inputs'!$G$12="Vacate",
_xlfn.IFS(AV$9=1,'Redlands Inputs'!$G$22,
AV$10&lt;='Redlands Inputs'!$H$20,'Redlands Inputs'!$G$22*(1+'Redlands Inputs'!$H$23)^(AV$8-1),
AV$10&gt;'Redlands Inputs'!$H$20,'Redlands Inputs'!$C$26*(1+'Redlands Inputs'!$D$28)^(AV$8-1)),
'Redlands Inputs'!$G$12="Market",
_xlfn.IFS(AV$9=1,'Redlands Inputs'!$G$22,
AV$10&lt;='Redlands Inputs'!$H$20,'Redlands Inputs'!$G$22*(1+'Redlands Inputs'!$H$23)^(AV$8-1),
AV$10&gt;'Redlands Inputs'!$H$20,(('Redlands Inputs'!$K$17*'Redlands Inputs'!$H$17)/12)*(1+'Redlands Inputs'!$D$28)^(AV$8-1)))</f>
        <v>344880.7235548161</v>
      </c>
      <c r="AW14" s="39" cm="1">
        <f t="array" ref="AW14">_xlfn.IFS('Redlands Inputs'!$G$12="Vacate",
_xlfn.IFS(AW$9=1,'Redlands Inputs'!$G$22,
AW$10&lt;='Redlands Inputs'!$H$20,'Redlands Inputs'!$G$22*(1+'Redlands Inputs'!$H$23)^(AW$8-1),
AW$10&gt;'Redlands Inputs'!$H$20,'Redlands Inputs'!$C$26*(1+'Redlands Inputs'!$D$28)^(AW$8-1)),
'Redlands Inputs'!$G$12="Market",
_xlfn.IFS(AW$9=1,'Redlands Inputs'!$G$22,
AW$10&lt;='Redlands Inputs'!$H$20,'Redlands Inputs'!$G$22*(1+'Redlands Inputs'!$H$23)^(AW$8-1),
AW$10&gt;'Redlands Inputs'!$H$20,(('Redlands Inputs'!$K$17*'Redlands Inputs'!$H$17)/12)*(1+'Redlands Inputs'!$D$28)^(AW$8-1)))</f>
        <v>344880.7235548161</v>
      </c>
      <c r="AX14" s="39" cm="1">
        <f t="array" ref="AX14">_xlfn.IFS('Redlands Inputs'!$G$12="Vacate",
_xlfn.IFS(AX$9=1,'Redlands Inputs'!$G$22,
AX$10&lt;='Redlands Inputs'!$H$20,'Redlands Inputs'!$G$22*(1+'Redlands Inputs'!$H$23)^(AX$8-1),
AX$10&gt;'Redlands Inputs'!$H$20,'Redlands Inputs'!$C$26*(1+'Redlands Inputs'!$D$28)^(AX$8-1)),
'Redlands Inputs'!$G$12="Market",
_xlfn.IFS(AX$9=1,'Redlands Inputs'!$G$22,
AX$10&lt;='Redlands Inputs'!$H$20,'Redlands Inputs'!$G$22*(1+'Redlands Inputs'!$H$23)^(AX$8-1),
AX$10&gt;'Redlands Inputs'!$H$20,(('Redlands Inputs'!$K$17*'Redlands Inputs'!$H$17)/12)*(1+'Redlands Inputs'!$D$28)^(AX$8-1)))</f>
        <v>344880.7235548161</v>
      </c>
      <c r="AY14" s="39" cm="1">
        <f t="array" ref="AY14">_xlfn.IFS('Redlands Inputs'!$G$12="Vacate",
_xlfn.IFS(AY$9=1,'Redlands Inputs'!$G$22,
AY$10&lt;='Redlands Inputs'!$H$20,'Redlands Inputs'!$G$22*(1+'Redlands Inputs'!$H$23)^(AY$8-1),
AY$10&gt;'Redlands Inputs'!$H$20,'Redlands Inputs'!$C$26*(1+'Redlands Inputs'!$D$28)^(AY$8-1)),
'Redlands Inputs'!$G$12="Market",
_xlfn.IFS(AY$9=1,'Redlands Inputs'!$G$22,
AY$10&lt;='Redlands Inputs'!$H$20,'Redlands Inputs'!$G$22*(1+'Redlands Inputs'!$H$23)^(AY$8-1),
AY$10&gt;'Redlands Inputs'!$H$20,(('Redlands Inputs'!$K$17*'Redlands Inputs'!$H$17)/12)*(1+'Redlands Inputs'!$D$28)^(AY$8-1)))</f>
        <v>351778.33802591247</v>
      </c>
      <c r="AZ14" s="39" cm="1">
        <f t="array" ref="AZ14">_xlfn.IFS('Redlands Inputs'!$G$12="Vacate",
_xlfn.IFS(AZ$9=1,'Redlands Inputs'!$G$22,
AZ$10&lt;='Redlands Inputs'!$H$20,'Redlands Inputs'!$G$22*(1+'Redlands Inputs'!$H$23)^(AZ$8-1),
AZ$10&gt;'Redlands Inputs'!$H$20,'Redlands Inputs'!$C$26*(1+'Redlands Inputs'!$D$28)^(AZ$8-1)),
'Redlands Inputs'!$G$12="Market",
_xlfn.IFS(AZ$9=1,'Redlands Inputs'!$G$22,
AZ$10&lt;='Redlands Inputs'!$H$20,'Redlands Inputs'!$G$22*(1+'Redlands Inputs'!$H$23)^(AZ$8-1),
AZ$10&gt;'Redlands Inputs'!$H$20,(('Redlands Inputs'!$K$17*'Redlands Inputs'!$H$17)/12)*(1+'Redlands Inputs'!$D$28)^(AZ$8-1)))</f>
        <v>351778.33802591247</v>
      </c>
      <c r="BA14" s="39" cm="1">
        <f t="array" ref="BA14">_xlfn.IFS('Redlands Inputs'!$G$12="Vacate",
_xlfn.IFS(BA$9=1,'Redlands Inputs'!$G$22,
BA$10&lt;='Redlands Inputs'!$H$20,'Redlands Inputs'!$G$22*(1+'Redlands Inputs'!$H$23)^(BA$8-1),
BA$10&gt;'Redlands Inputs'!$H$20,'Redlands Inputs'!$C$26*(1+'Redlands Inputs'!$D$28)^(BA$8-1)),
'Redlands Inputs'!$G$12="Market",
_xlfn.IFS(BA$9=1,'Redlands Inputs'!$G$22,
BA$10&lt;='Redlands Inputs'!$H$20,'Redlands Inputs'!$G$22*(1+'Redlands Inputs'!$H$23)^(BA$8-1),
BA$10&gt;'Redlands Inputs'!$H$20,(('Redlands Inputs'!$K$17*'Redlands Inputs'!$H$17)/12)*(1+'Redlands Inputs'!$D$28)^(BA$8-1)))</f>
        <v>351778.33802591247</v>
      </c>
      <c r="BB14" s="39" cm="1">
        <f t="array" ref="BB14">_xlfn.IFS('Redlands Inputs'!$G$12="Vacate",
_xlfn.IFS(BB$9=1,'Redlands Inputs'!$G$22,
BB$10&lt;='Redlands Inputs'!$H$20,'Redlands Inputs'!$G$22*(1+'Redlands Inputs'!$H$23)^(BB$8-1),
BB$10&gt;'Redlands Inputs'!$H$20,'Redlands Inputs'!$C$26*(1+'Redlands Inputs'!$D$28)^(BB$8-1)),
'Redlands Inputs'!$G$12="Market",
_xlfn.IFS(BB$9=1,'Redlands Inputs'!$G$22,
BB$10&lt;='Redlands Inputs'!$H$20,'Redlands Inputs'!$G$22*(1+'Redlands Inputs'!$H$23)^(BB$8-1),
BB$10&gt;'Redlands Inputs'!$H$20,(('Redlands Inputs'!$K$17*'Redlands Inputs'!$H$17)/12)*(1+'Redlands Inputs'!$D$28)^(BB$8-1)))</f>
        <v>351778.33802591247</v>
      </c>
      <c r="BC14" s="39" cm="1">
        <f t="array" ref="BC14">_xlfn.IFS('Redlands Inputs'!$G$12="Vacate",
_xlfn.IFS(BC$9=1,'Redlands Inputs'!$G$22,
BC$10&lt;='Redlands Inputs'!$H$20,'Redlands Inputs'!$G$22*(1+'Redlands Inputs'!$H$23)^(BC$8-1),
BC$10&gt;'Redlands Inputs'!$H$20,'Redlands Inputs'!$C$26*(1+'Redlands Inputs'!$D$28)^(BC$8-1)),
'Redlands Inputs'!$G$12="Market",
_xlfn.IFS(BC$9=1,'Redlands Inputs'!$G$22,
BC$10&lt;='Redlands Inputs'!$H$20,'Redlands Inputs'!$G$22*(1+'Redlands Inputs'!$H$23)^(BC$8-1),
BC$10&gt;'Redlands Inputs'!$H$20,(('Redlands Inputs'!$K$17*'Redlands Inputs'!$H$17)/12)*(1+'Redlands Inputs'!$D$28)^(BC$8-1)))</f>
        <v>351778.33802591247</v>
      </c>
      <c r="BD14" s="39" cm="1">
        <f t="array" ref="BD14">_xlfn.IFS('Redlands Inputs'!$G$12="Vacate",
_xlfn.IFS(BD$9=1,'Redlands Inputs'!$G$22,
BD$10&lt;='Redlands Inputs'!$H$20,'Redlands Inputs'!$G$22*(1+'Redlands Inputs'!$H$23)^(BD$8-1),
BD$10&gt;'Redlands Inputs'!$H$20,'Redlands Inputs'!$C$26*(1+'Redlands Inputs'!$D$28)^(BD$8-1)),
'Redlands Inputs'!$G$12="Market",
_xlfn.IFS(BD$9=1,'Redlands Inputs'!$G$22,
BD$10&lt;='Redlands Inputs'!$H$20,'Redlands Inputs'!$G$22*(1+'Redlands Inputs'!$H$23)^(BD$8-1),
BD$10&gt;'Redlands Inputs'!$H$20,(('Redlands Inputs'!$K$17*'Redlands Inputs'!$H$17)/12)*(1+'Redlands Inputs'!$D$28)^(BD$8-1)))</f>
        <v>351778.33802591247</v>
      </c>
      <c r="BE14" s="39" cm="1">
        <f t="array" ref="BE14">_xlfn.IFS('Redlands Inputs'!$G$12="Vacate",
_xlfn.IFS(BE$9=1,'Redlands Inputs'!$G$22,
BE$10&lt;='Redlands Inputs'!$H$20,'Redlands Inputs'!$G$22*(1+'Redlands Inputs'!$H$23)^(BE$8-1),
BE$10&gt;'Redlands Inputs'!$H$20,'Redlands Inputs'!$C$26*(1+'Redlands Inputs'!$D$28)^(BE$8-1)),
'Redlands Inputs'!$G$12="Market",
_xlfn.IFS(BE$9=1,'Redlands Inputs'!$G$22,
BE$10&lt;='Redlands Inputs'!$H$20,'Redlands Inputs'!$G$22*(1+'Redlands Inputs'!$H$23)^(BE$8-1),
BE$10&gt;'Redlands Inputs'!$H$20,(('Redlands Inputs'!$K$17*'Redlands Inputs'!$H$17)/12)*(1+'Redlands Inputs'!$D$28)^(BE$8-1)))</f>
        <v>351778.33802591247</v>
      </c>
      <c r="BF14" s="39" cm="1">
        <f t="array" ref="BF14">_xlfn.IFS('Redlands Inputs'!$G$12="Vacate",
_xlfn.IFS(BF$9=1,'Redlands Inputs'!$G$22,
BF$10&lt;='Redlands Inputs'!$H$20,'Redlands Inputs'!$G$22*(1+'Redlands Inputs'!$H$23)^(BF$8-1),
BF$10&gt;'Redlands Inputs'!$H$20,'Redlands Inputs'!$C$26*(1+'Redlands Inputs'!$D$28)^(BF$8-1)),
'Redlands Inputs'!$G$12="Market",
_xlfn.IFS(BF$9=1,'Redlands Inputs'!$G$22,
BF$10&lt;='Redlands Inputs'!$H$20,'Redlands Inputs'!$G$22*(1+'Redlands Inputs'!$H$23)^(BF$8-1),
BF$10&gt;'Redlands Inputs'!$H$20,(('Redlands Inputs'!$K$17*'Redlands Inputs'!$H$17)/12)*(1+'Redlands Inputs'!$D$28)^(BF$8-1)))</f>
        <v>351778.33802591247</v>
      </c>
      <c r="BG14" s="39" cm="1">
        <f t="array" ref="BG14">_xlfn.IFS('Redlands Inputs'!$G$12="Vacate",
_xlfn.IFS(BG$9=1,'Redlands Inputs'!$G$22,
BG$10&lt;='Redlands Inputs'!$H$20,'Redlands Inputs'!$G$22*(1+'Redlands Inputs'!$H$23)^(BG$8-1),
BG$10&gt;'Redlands Inputs'!$H$20,'Redlands Inputs'!$C$26*(1+'Redlands Inputs'!$D$28)^(BG$8-1)),
'Redlands Inputs'!$G$12="Market",
_xlfn.IFS(BG$9=1,'Redlands Inputs'!$G$22,
BG$10&lt;='Redlands Inputs'!$H$20,'Redlands Inputs'!$G$22*(1+'Redlands Inputs'!$H$23)^(BG$8-1),
BG$10&gt;'Redlands Inputs'!$H$20,(('Redlands Inputs'!$K$17*'Redlands Inputs'!$H$17)/12)*(1+'Redlands Inputs'!$D$28)^(BG$8-1)))</f>
        <v>351778.33802591247</v>
      </c>
      <c r="BH14" s="39" cm="1">
        <f t="array" ref="BH14">_xlfn.IFS('Redlands Inputs'!$G$12="Vacate",
_xlfn.IFS(BH$9=1,'Redlands Inputs'!$G$22,
BH$10&lt;='Redlands Inputs'!$H$20,'Redlands Inputs'!$G$22*(1+'Redlands Inputs'!$H$23)^(BH$8-1),
BH$10&gt;'Redlands Inputs'!$H$20,'Redlands Inputs'!$C$26*(1+'Redlands Inputs'!$D$28)^(BH$8-1)),
'Redlands Inputs'!$G$12="Market",
_xlfn.IFS(BH$9=1,'Redlands Inputs'!$G$22,
BH$10&lt;='Redlands Inputs'!$H$20,'Redlands Inputs'!$G$22*(1+'Redlands Inputs'!$H$23)^(BH$8-1),
BH$10&gt;'Redlands Inputs'!$H$20,(('Redlands Inputs'!$K$17*'Redlands Inputs'!$H$17)/12)*(1+'Redlands Inputs'!$D$28)^(BH$8-1)))</f>
        <v>351778.33802591247</v>
      </c>
      <c r="BI14" s="39" cm="1">
        <f t="array" ref="BI14">_xlfn.IFS('Redlands Inputs'!$G$12="Vacate",
_xlfn.IFS(BI$9=1,'Redlands Inputs'!$G$22,
BI$10&lt;='Redlands Inputs'!$H$20,'Redlands Inputs'!$G$22*(1+'Redlands Inputs'!$H$23)^(BI$8-1),
BI$10&gt;'Redlands Inputs'!$H$20,'Redlands Inputs'!$C$26*(1+'Redlands Inputs'!$D$28)^(BI$8-1)),
'Redlands Inputs'!$G$12="Market",
_xlfn.IFS(BI$9=1,'Redlands Inputs'!$G$22,
BI$10&lt;='Redlands Inputs'!$H$20,'Redlands Inputs'!$G$22*(1+'Redlands Inputs'!$H$23)^(BI$8-1),
BI$10&gt;'Redlands Inputs'!$H$20,(('Redlands Inputs'!$K$17*'Redlands Inputs'!$H$17)/12)*(1+'Redlands Inputs'!$D$28)^(BI$8-1)))</f>
        <v>351778.33802591247</v>
      </c>
      <c r="BJ14" s="39" cm="1">
        <f t="array" ref="BJ14">_xlfn.IFS('Redlands Inputs'!$G$12="Vacate",
_xlfn.IFS(BJ$9=1,'Redlands Inputs'!$G$22,
BJ$10&lt;='Redlands Inputs'!$H$20,'Redlands Inputs'!$G$22*(1+'Redlands Inputs'!$H$23)^(BJ$8-1),
BJ$10&gt;'Redlands Inputs'!$H$20,'Redlands Inputs'!$C$26*(1+'Redlands Inputs'!$D$28)^(BJ$8-1)),
'Redlands Inputs'!$G$12="Market",
_xlfn.IFS(BJ$9=1,'Redlands Inputs'!$G$22,
BJ$10&lt;='Redlands Inputs'!$H$20,'Redlands Inputs'!$G$22*(1+'Redlands Inputs'!$H$23)^(BJ$8-1),
BJ$10&gt;'Redlands Inputs'!$H$20,(('Redlands Inputs'!$K$17*'Redlands Inputs'!$H$17)/12)*(1+'Redlands Inputs'!$D$28)^(BJ$8-1)))</f>
        <v>351778.33802591247</v>
      </c>
      <c r="BK14" s="39" cm="1">
        <f t="array" ref="BK14">_xlfn.IFS('Redlands Inputs'!$G$12="Vacate",
_xlfn.IFS(BK$9=1,'Redlands Inputs'!$G$22,
BK$10&lt;='Redlands Inputs'!$H$20,'Redlands Inputs'!$G$22*(1+'Redlands Inputs'!$H$23)^(BK$8-1),
BK$10&gt;'Redlands Inputs'!$H$20,'Redlands Inputs'!$C$26*(1+'Redlands Inputs'!$D$28)^(BK$8-1)),
'Redlands Inputs'!$G$12="Market",
_xlfn.IFS(BK$9=1,'Redlands Inputs'!$G$22,
BK$10&lt;='Redlands Inputs'!$H$20,'Redlands Inputs'!$G$22*(1+'Redlands Inputs'!$H$23)^(BK$8-1),
BK$10&gt;'Redlands Inputs'!$H$20,(('Redlands Inputs'!$K$17*'Redlands Inputs'!$H$17)/12)*(1+'Redlands Inputs'!$D$28)^(BK$8-1)))</f>
        <v>358813.90478643071</v>
      </c>
      <c r="BL14" s="39" cm="1">
        <f t="array" ref="BL14">_xlfn.IFS('Redlands Inputs'!$G$12="Vacate",
_xlfn.IFS(BL$9=1,'Redlands Inputs'!$G$22,
BL$10&lt;='Redlands Inputs'!$H$20,'Redlands Inputs'!$G$22*(1+'Redlands Inputs'!$H$23)^(BL$8-1),
BL$10&gt;'Redlands Inputs'!$H$20,'Redlands Inputs'!$C$26*(1+'Redlands Inputs'!$D$28)^(BL$8-1)),
'Redlands Inputs'!$G$12="Market",
_xlfn.IFS(BL$9=1,'Redlands Inputs'!$G$22,
BL$10&lt;='Redlands Inputs'!$H$20,'Redlands Inputs'!$G$22*(1+'Redlands Inputs'!$H$23)^(BL$8-1),
BL$10&gt;'Redlands Inputs'!$H$20,(('Redlands Inputs'!$K$17*'Redlands Inputs'!$H$17)/12)*(1+'Redlands Inputs'!$D$28)^(BL$8-1)))</f>
        <v>358813.90478643071</v>
      </c>
      <c r="BM14" s="39" cm="1">
        <f t="array" ref="BM14">_xlfn.IFS('Redlands Inputs'!$G$12="Vacate",
_xlfn.IFS(BM$9=1,'Redlands Inputs'!$G$22,
BM$10&lt;='Redlands Inputs'!$H$20,'Redlands Inputs'!$G$22*(1+'Redlands Inputs'!$H$23)^(BM$8-1),
BM$10&gt;'Redlands Inputs'!$H$20,'Redlands Inputs'!$C$26*(1+'Redlands Inputs'!$D$28)^(BM$8-1)),
'Redlands Inputs'!$G$12="Market",
_xlfn.IFS(BM$9=1,'Redlands Inputs'!$G$22,
BM$10&lt;='Redlands Inputs'!$H$20,'Redlands Inputs'!$G$22*(1+'Redlands Inputs'!$H$23)^(BM$8-1),
BM$10&gt;'Redlands Inputs'!$H$20,(('Redlands Inputs'!$K$17*'Redlands Inputs'!$H$17)/12)*(1+'Redlands Inputs'!$D$28)^(BM$8-1)))</f>
        <v>358813.90478643071</v>
      </c>
      <c r="BN14" s="39" cm="1">
        <f t="array" ref="BN14">_xlfn.IFS('Redlands Inputs'!$G$12="Vacate",
_xlfn.IFS(BN$9=1,'Redlands Inputs'!$G$22,
BN$10&lt;='Redlands Inputs'!$H$20,'Redlands Inputs'!$G$22*(1+'Redlands Inputs'!$H$23)^(BN$8-1),
BN$10&gt;'Redlands Inputs'!$H$20,'Redlands Inputs'!$C$26*(1+'Redlands Inputs'!$D$28)^(BN$8-1)),
'Redlands Inputs'!$G$12="Market",
_xlfn.IFS(BN$9=1,'Redlands Inputs'!$G$22,
BN$10&lt;='Redlands Inputs'!$H$20,'Redlands Inputs'!$G$22*(1+'Redlands Inputs'!$H$23)^(BN$8-1),
BN$10&gt;'Redlands Inputs'!$H$20,(('Redlands Inputs'!$K$17*'Redlands Inputs'!$H$17)/12)*(1+'Redlands Inputs'!$D$28)^(BN$8-1)))</f>
        <v>358813.90478643071</v>
      </c>
      <c r="BO14" s="39" cm="1">
        <f t="array" ref="BO14">_xlfn.IFS('Redlands Inputs'!$G$12="Vacate",
_xlfn.IFS(BO$9=1,'Redlands Inputs'!$G$22,
BO$10&lt;='Redlands Inputs'!$H$20,'Redlands Inputs'!$G$22*(1+'Redlands Inputs'!$H$23)^(BO$8-1),
BO$10&gt;'Redlands Inputs'!$H$20,'Redlands Inputs'!$C$26*(1+'Redlands Inputs'!$D$28)^(BO$8-1)),
'Redlands Inputs'!$G$12="Market",
_xlfn.IFS(BO$9=1,'Redlands Inputs'!$G$22,
BO$10&lt;='Redlands Inputs'!$H$20,'Redlands Inputs'!$G$22*(1+'Redlands Inputs'!$H$23)^(BO$8-1),
BO$10&gt;'Redlands Inputs'!$H$20,(('Redlands Inputs'!$K$17*'Redlands Inputs'!$H$17)/12)*(1+'Redlands Inputs'!$D$28)^(BO$8-1)))</f>
        <v>358813.90478643071</v>
      </c>
      <c r="BP14" s="39" cm="1">
        <f t="array" ref="BP14">_xlfn.IFS('Redlands Inputs'!$G$12="Vacate",
_xlfn.IFS(BP$9=1,'Redlands Inputs'!$G$22,
BP$10&lt;='Redlands Inputs'!$H$20,'Redlands Inputs'!$G$22*(1+'Redlands Inputs'!$H$23)^(BP$8-1),
BP$10&gt;'Redlands Inputs'!$H$20,'Redlands Inputs'!$C$26*(1+'Redlands Inputs'!$D$28)^(BP$8-1)),
'Redlands Inputs'!$G$12="Market",
_xlfn.IFS(BP$9=1,'Redlands Inputs'!$G$22,
BP$10&lt;='Redlands Inputs'!$H$20,'Redlands Inputs'!$G$22*(1+'Redlands Inputs'!$H$23)^(BP$8-1),
BP$10&gt;'Redlands Inputs'!$H$20,(('Redlands Inputs'!$K$17*'Redlands Inputs'!$H$17)/12)*(1+'Redlands Inputs'!$D$28)^(BP$8-1)))</f>
        <v>358813.90478643071</v>
      </c>
      <c r="BQ14" s="39" cm="1">
        <f t="array" ref="BQ14">_xlfn.IFS('Redlands Inputs'!$G$12="Vacate",
_xlfn.IFS(BQ$9=1,'Redlands Inputs'!$G$22,
BQ$10&lt;='Redlands Inputs'!$H$20,'Redlands Inputs'!$G$22*(1+'Redlands Inputs'!$H$23)^(BQ$8-1),
BQ$10&gt;'Redlands Inputs'!$H$20,'Redlands Inputs'!$C$26*(1+'Redlands Inputs'!$D$28)^(BQ$8-1)),
'Redlands Inputs'!$G$12="Market",
_xlfn.IFS(BQ$9=1,'Redlands Inputs'!$G$22,
BQ$10&lt;='Redlands Inputs'!$H$20,'Redlands Inputs'!$G$22*(1+'Redlands Inputs'!$H$23)^(BQ$8-1),
BQ$10&gt;'Redlands Inputs'!$H$20,(('Redlands Inputs'!$K$17*'Redlands Inputs'!$H$17)/12)*(1+'Redlands Inputs'!$D$28)^(BQ$8-1)))</f>
        <v>358813.90478643071</v>
      </c>
      <c r="BR14" s="39" cm="1">
        <f t="array" ref="BR14">_xlfn.IFS('Redlands Inputs'!$G$12="Vacate",
_xlfn.IFS(BR$9=1,'Redlands Inputs'!$G$22,
BR$10&lt;='Redlands Inputs'!$H$20,'Redlands Inputs'!$G$22*(1+'Redlands Inputs'!$H$23)^(BR$8-1),
BR$10&gt;'Redlands Inputs'!$H$20,'Redlands Inputs'!$C$26*(1+'Redlands Inputs'!$D$28)^(BR$8-1)),
'Redlands Inputs'!$G$12="Market",
_xlfn.IFS(BR$9=1,'Redlands Inputs'!$G$22,
BR$10&lt;='Redlands Inputs'!$H$20,'Redlands Inputs'!$G$22*(1+'Redlands Inputs'!$H$23)^(BR$8-1),
BR$10&gt;'Redlands Inputs'!$H$20,(('Redlands Inputs'!$K$17*'Redlands Inputs'!$H$17)/12)*(1+'Redlands Inputs'!$D$28)^(BR$8-1)))</f>
        <v>358813.90478643071</v>
      </c>
      <c r="BS14" s="39" cm="1">
        <f t="array" ref="BS14">_xlfn.IFS('Redlands Inputs'!$G$12="Vacate",
_xlfn.IFS(BS$9=1,'Redlands Inputs'!$G$22,
BS$10&lt;='Redlands Inputs'!$H$20,'Redlands Inputs'!$G$22*(1+'Redlands Inputs'!$H$23)^(BS$8-1),
BS$10&gt;'Redlands Inputs'!$H$20,'Redlands Inputs'!$C$26*(1+'Redlands Inputs'!$D$28)^(BS$8-1)),
'Redlands Inputs'!$G$12="Market",
_xlfn.IFS(BS$9=1,'Redlands Inputs'!$G$22,
BS$10&lt;='Redlands Inputs'!$H$20,'Redlands Inputs'!$G$22*(1+'Redlands Inputs'!$H$23)^(BS$8-1),
BS$10&gt;'Redlands Inputs'!$H$20,(('Redlands Inputs'!$K$17*'Redlands Inputs'!$H$17)/12)*(1+'Redlands Inputs'!$D$28)^(BS$8-1)))</f>
        <v>358813.90478643071</v>
      </c>
      <c r="BT14" s="39" cm="1">
        <f t="array" ref="BT14">_xlfn.IFS('Redlands Inputs'!$G$12="Vacate",
_xlfn.IFS(BT$9=1,'Redlands Inputs'!$G$22,
BT$10&lt;='Redlands Inputs'!$H$20,'Redlands Inputs'!$G$22*(1+'Redlands Inputs'!$H$23)^(BT$8-1),
BT$10&gt;'Redlands Inputs'!$H$20,'Redlands Inputs'!$C$26*(1+'Redlands Inputs'!$D$28)^(BT$8-1)),
'Redlands Inputs'!$G$12="Market",
_xlfn.IFS(BT$9=1,'Redlands Inputs'!$G$22,
BT$10&lt;='Redlands Inputs'!$H$20,'Redlands Inputs'!$G$22*(1+'Redlands Inputs'!$H$23)^(BT$8-1),
BT$10&gt;'Redlands Inputs'!$H$20,(('Redlands Inputs'!$K$17*'Redlands Inputs'!$H$17)/12)*(1+'Redlands Inputs'!$D$28)^(BT$8-1)))</f>
        <v>358813.90478643071</v>
      </c>
      <c r="BU14" s="39" cm="1">
        <f t="array" ref="BU14">_xlfn.IFS('Redlands Inputs'!$G$12="Vacate",
_xlfn.IFS(BU$9=1,'Redlands Inputs'!$G$22,
BU$10&lt;='Redlands Inputs'!$H$20,'Redlands Inputs'!$G$22*(1+'Redlands Inputs'!$H$23)^(BU$8-1),
BU$10&gt;'Redlands Inputs'!$H$20,'Redlands Inputs'!$C$26*(1+'Redlands Inputs'!$D$28)^(BU$8-1)),
'Redlands Inputs'!$G$12="Market",
_xlfn.IFS(BU$9=1,'Redlands Inputs'!$G$22,
BU$10&lt;='Redlands Inputs'!$H$20,'Redlands Inputs'!$G$22*(1+'Redlands Inputs'!$H$23)^(BU$8-1),
BU$10&gt;'Redlands Inputs'!$H$20,(('Redlands Inputs'!$K$17*'Redlands Inputs'!$H$17)/12)*(1+'Redlands Inputs'!$D$28)^(BU$8-1)))</f>
        <v>358813.90478643071</v>
      </c>
      <c r="BV14" s="39" cm="1">
        <f t="array" ref="BV14">_xlfn.IFS('Redlands Inputs'!$G$12="Vacate",
_xlfn.IFS(BV$9=1,'Redlands Inputs'!$G$22,
BV$10&lt;='Redlands Inputs'!$H$20,'Redlands Inputs'!$G$22*(1+'Redlands Inputs'!$H$23)^(BV$8-1),
BV$10&gt;'Redlands Inputs'!$H$20,'Redlands Inputs'!$C$26*(1+'Redlands Inputs'!$D$28)^(BV$8-1)),
'Redlands Inputs'!$G$12="Market",
_xlfn.IFS(BV$9=1,'Redlands Inputs'!$G$22,
BV$10&lt;='Redlands Inputs'!$H$20,'Redlands Inputs'!$G$22*(1+'Redlands Inputs'!$H$23)^(BV$8-1),
BV$10&gt;'Redlands Inputs'!$H$20,(('Redlands Inputs'!$K$17*'Redlands Inputs'!$H$17)/12)*(1+'Redlands Inputs'!$D$28)^(BV$8-1)))</f>
        <v>358813.90478643071</v>
      </c>
      <c r="BW14" s="39" cm="1">
        <f t="array" ref="BW14">_xlfn.IFS('Redlands Inputs'!$G$12="Vacate",
_xlfn.IFS(BW$9=1,'Redlands Inputs'!$G$22,
BW$10&lt;='Redlands Inputs'!$H$20,'Redlands Inputs'!$G$22*(1+'Redlands Inputs'!$H$23)^(BW$8-1),
BW$10&gt;'Redlands Inputs'!$H$20,'Redlands Inputs'!$C$26*(1+'Redlands Inputs'!$D$28)^(BW$8-1)),
'Redlands Inputs'!$G$12="Market",
_xlfn.IFS(BW$9=1,'Redlands Inputs'!$G$22,
BW$10&lt;='Redlands Inputs'!$H$20,'Redlands Inputs'!$G$22*(1+'Redlands Inputs'!$H$23)^(BW$8-1),
BW$10&gt;'Redlands Inputs'!$H$20,(('Redlands Inputs'!$K$17*'Redlands Inputs'!$H$17)/12)*(1+'Redlands Inputs'!$D$28)^(BW$8-1)))</f>
        <v>365990.18288215937</v>
      </c>
      <c r="BX14" s="39" cm="1">
        <f t="array" ref="BX14">_xlfn.IFS('Redlands Inputs'!$G$12="Vacate",
_xlfn.IFS(BX$9=1,'Redlands Inputs'!$G$22,
BX$10&lt;='Redlands Inputs'!$H$20,'Redlands Inputs'!$G$22*(1+'Redlands Inputs'!$H$23)^(BX$8-1),
BX$10&gt;'Redlands Inputs'!$H$20,'Redlands Inputs'!$C$26*(1+'Redlands Inputs'!$D$28)^(BX$8-1)),
'Redlands Inputs'!$G$12="Market",
_xlfn.IFS(BX$9=1,'Redlands Inputs'!$G$22,
BX$10&lt;='Redlands Inputs'!$H$20,'Redlands Inputs'!$G$22*(1+'Redlands Inputs'!$H$23)^(BX$8-1),
BX$10&gt;'Redlands Inputs'!$H$20,(('Redlands Inputs'!$K$17*'Redlands Inputs'!$H$17)/12)*(1+'Redlands Inputs'!$D$28)^(BX$8-1)))</f>
        <v>365990.18288215937</v>
      </c>
      <c r="BY14" s="39" cm="1">
        <f t="array" ref="BY14">_xlfn.IFS('Redlands Inputs'!$G$12="Vacate",
_xlfn.IFS(BY$9=1,'Redlands Inputs'!$G$22,
BY$10&lt;='Redlands Inputs'!$H$20,'Redlands Inputs'!$G$22*(1+'Redlands Inputs'!$H$23)^(BY$8-1),
BY$10&gt;'Redlands Inputs'!$H$20,'Redlands Inputs'!$C$26*(1+'Redlands Inputs'!$D$28)^(BY$8-1)),
'Redlands Inputs'!$G$12="Market",
_xlfn.IFS(BY$9=1,'Redlands Inputs'!$G$22,
BY$10&lt;='Redlands Inputs'!$H$20,'Redlands Inputs'!$G$22*(1+'Redlands Inputs'!$H$23)^(BY$8-1),
BY$10&gt;'Redlands Inputs'!$H$20,(('Redlands Inputs'!$K$17*'Redlands Inputs'!$H$17)/12)*(1+'Redlands Inputs'!$D$28)^(BY$8-1)))</f>
        <v>365990.18288215937</v>
      </c>
      <c r="BZ14" s="39" cm="1">
        <f t="array" ref="BZ14">_xlfn.IFS('Redlands Inputs'!$G$12="Vacate",
_xlfn.IFS(BZ$9=1,'Redlands Inputs'!$G$22,
BZ$10&lt;='Redlands Inputs'!$H$20,'Redlands Inputs'!$G$22*(1+'Redlands Inputs'!$H$23)^(BZ$8-1),
BZ$10&gt;'Redlands Inputs'!$H$20,'Redlands Inputs'!$C$26*(1+'Redlands Inputs'!$D$28)^(BZ$8-1)),
'Redlands Inputs'!$G$12="Market",
_xlfn.IFS(BZ$9=1,'Redlands Inputs'!$G$22,
BZ$10&lt;='Redlands Inputs'!$H$20,'Redlands Inputs'!$G$22*(1+'Redlands Inputs'!$H$23)^(BZ$8-1),
BZ$10&gt;'Redlands Inputs'!$H$20,(('Redlands Inputs'!$K$17*'Redlands Inputs'!$H$17)/12)*(1+'Redlands Inputs'!$D$28)^(BZ$8-1)))</f>
        <v>365990.18288215937</v>
      </c>
      <c r="CA14" s="39" cm="1">
        <f t="array" ref="CA14">_xlfn.IFS('Redlands Inputs'!$G$12="Vacate",
_xlfn.IFS(CA$9=1,'Redlands Inputs'!$G$22,
CA$10&lt;='Redlands Inputs'!$H$20,'Redlands Inputs'!$G$22*(1+'Redlands Inputs'!$H$23)^(CA$8-1),
CA$10&gt;'Redlands Inputs'!$H$20,'Redlands Inputs'!$C$26*(1+'Redlands Inputs'!$D$28)^(CA$8-1)),
'Redlands Inputs'!$G$12="Market",
_xlfn.IFS(CA$9=1,'Redlands Inputs'!$G$22,
CA$10&lt;='Redlands Inputs'!$H$20,'Redlands Inputs'!$G$22*(1+'Redlands Inputs'!$H$23)^(CA$8-1),
CA$10&gt;'Redlands Inputs'!$H$20,(('Redlands Inputs'!$K$17*'Redlands Inputs'!$H$17)/12)*(1+'Redlands Inputs'!$D$28)^(CA$8-1)))</f>
        <v>365990.18288215937</v>
      </c>
      <c r="CB14" s="39" cm="1">
        <f t="array" ref="CB14">_xlfn.IFS('Redlands Inputs'!$G$12="Vacate",
_xlfn.IFS(CB$9=1,'Redlands Inputs'!$G$22,
CB$10&lt;='Redlands Inputs'!$H$20,'Redlands Inputs'!$G$22*(1+'Redlands Inputs'!$H$23)^(CB$8-1),
CB$10&gt;'Redlands Inputs'!$H$20,'Redlands Inputs'!$C$26*(1+'Redlands Inputs'!$D$28)^(CB$8-1)),
'Redlands Inputs'!$G$12="Market",
_xlfn.IFS(CB$9=1,'Redlands Inputs'!$G$22,
CB$10&lt;='Redlands Inputs'!$H$20,'Redlands Inputs'!$G$22*(1+'Redlands Inputs'!$H$23)^(CB$8-1),
CB$10&gt;'Redlands Inputs'!$H$20,(('Redlands Inputs'!$K$17*'Redlands Inputs'!$H$17)/12)*(1+'Redlands Inputs'!$D$28)^(CB$8-1)))</f>
        <v>365990.18288215937</v>
      </c>
      <c r="CC14" s="39" cm="1">
        <f t="array" ref="CC14">_xlfn.IFS('Redlands Inputs'!$G$12="Vacate",
_xlfn.IFS(CC$9=1,'Redlands Inputs'!$G$22,
CC$10&lt;='Redlands Inputs'!$H$20,'Redlands Inputs'!$G$22*(1+'Redlands Inputs'!$H$23)^(CC$8-1),
CC$10&gt;'Redlands Inputs'!$H$20,'Redlands Inputs'!$C$26*(1+'Redlands Inputs'!$D$28)^(CC$8-1)),
'Redlands Inputs'!$G$12="Market",
_xlfn.IFS(CC$9=1,'Redlands Inputs'!$G$22,
CC$10&lt;='Redlands Inputs'!$H$20,'Redlands Inputs'!$G$22*(1+'Redlands Inputs'!$H$23)^(CC$8-1),
CC$10&gt;'Redlands Inputs'!$H$20,(('Redlands Inputs'!$K$17*'Redlands Inputs'!$H$17)/12)*(1+'Redlands Inputs'!$D$28)^(CC$8-1)))</f>
        <v>365990.18288215937</v>
      </c>
      <c r="CD14" s="39" cm="1">
        <f t="array" ref="CD14">_xlfn.IFS('Redlands Inputs'!$G$12="Vacate",
_xlfn.IFS(CD$9=1,'Redlands Inputs'!$G$22,
CD$10&lt;='Redlands Inputs'!$H$20,'Redlands Inputs'!$G$22*(1+'Redlands Inputs'!$H$23)^(CD$8-1),
CD$10&gt;'Redlands Inputs'!$H$20,'Redlands Inputs'!$C$26*(1+'Redlands Inputs'!$D$28)^(CD$8-1)),
'Redlands Inputs'!$G$12="Market",
_xlfn.IFS(CD$9=1,'Redlands Inputs'!$G$22,
CD$10&lt;='Redlands Inputs'!$H$20,'Redlands Inputs'!$G$22*(1+'Redlands Inputs'!$H$23)^(CD$8-1),
CD$10&gt;'Redlands Inputs'!$H$20,(('Redlands Inputs'!$K$17*'Redlands Inputs'!$H$17)/12)*(1+'Redlands Inputs'!$D$28)^(CD$8-1)))</f>
        <v>365990.18288215937</v>
      </c>
      <c r="CE14" s="39" cm="1">
        <f t="array" ref="CE14">_xlfn.IFS('Redlands Inputs'!$G$12="Vacate",
_xlfn.IFS(CE$9=1,'Redlands Inputs'!$G$22,
CE$10&lt;='Redlands Inputs'!$H$20,'Redlands Inputs'!$G$22*(1+'Redlands Inputs'!$H$23)^(CE$8-1),
CE$10&gt;'Redlands Inputs'!$H$20,'Redlands Inputs'!$C$26*(1+'Redlands Inputs'!$D$28)^(CE$8-1)),
'Redlands Inputs'!$G$12="Market",
_xlfn.IFS(CE$9=1,'Redlands Inputs'!$G$22,
CE$10&lt;='Redlands Inputs'!$H$20,'Redlands Inputs'!$G$22*(1+'Redlands Inputs'!$H$23)^(CE$8-1),
CE$10&gt;'Redlands Inputs'!$H$20,(('Redlands Inputs'!$K$17*'Redlands Inputs'!$H$17)/12)*(1+'Redlands Inputs'!$D$28)^(CE$8-1)))</f>
        <v>365990.18288215937</v>
      </c>
      <c r="CF14" s="39" cm="1">
        <f t="array" ref="CF14">_xlfn.IFS('Redlands Inputs'!$G$12="Vacate",
_xlfn.IFS(CF$9=1,'Redlands Inputs'!$G$22,
CF$10&lt;='Redlands Inputs'!$H$20,'Redlands Inputs'!$G$22*(1+'Redlands Inputs'!$H$23)^(CF$8-1),
CF$10&gt;'Redlands Inputs'!$H$20,'Redlands Inputs'!$C$26*(1+'Redlands Inputs'!$D$28)^(CF$8-1)),
'Redlands Inputs'!$G$12="Market",
_xlfn.IFS(CF$9=1,'Redlands Inputs'!$G$22,
CF$10&lt;='Redlands Inputs'!$H$20,'Redlands Inputs'!$G$22*(1+'Redlands Inputs'!$H$23)^(CF$8-1),
CF$10&gt;'Redlands Inputs'!$H$20,(('Redlands Inputs'!$K$17*'Redlands Inputs'!$H$17)/12)*(1+'Redlands Inputs'!$D$28)^(CF$8-1)))</f>
        <v>365990.18288215937</v>
      </c>
      <c r="CG14" s="39" cm="1">
        <f t="array" ref="CG14">_xlfn.IFS('Redlands Inputs'!$G$12="Vacate",
_xlfn.IFS(CG$9=1,'Redlands Inputs'!$G$22,
CG$10&lt;='Redlands Inputs'!$H$20,'Redlands Inputs'!$G$22*(1+'Redlands Inputs'!$H$23)^(CG$8-1),
CG$10&gt;'Redlands Inputs'!$H$20,'Redlands Inputs'!$C$26*(1+'Redlands Inputs'!$D$28)^(CG$8-1)),
'Redlands Inputs'!$G$12="Market",
_xlfn.IFS(CG$9=1,'Redlands Inputs'!$G$22,
CG$10&lt;='Redlands Inputs'!$H$20,'Redlands Inputs'!$G$22*(1+'Redlands Inputs'!$H$23)^(CG$8-1),
CG$10&gt;'Redlands Inputs'!$H$20,(('Redlands Inputs'!$K$17*'Redlands Inputs'!$H$17)/12)*(1+'Redlands Inputs'!$D$28)^(CG$8-1)))</f>
        <v>365990.18288215937</v>
      </c>
      <c r="CH14" s="39" cm="1">
        <f t="array" ref="CH14">_xlfn.IFS('Redlands Inputs'!$G$12="Vacate",
_xlfn.IFS(CH$9=1,'Redlands Inputs'!$G$22,
CH$10&lt;='Redlands Inputs'!$H$20,'Redlands Inputs'!$G$22*(1+'Redlands Inputs'!$H$23)^(CH$8-1),
CH$10&gt;'Redlands Inputs'!$H$20,'Redlands Inputs'!$C$26*(1+'Redlands Inputs'!$D$28)^(CH$8-1)),
'Redlands Inputs'!$G$12="Market",
_xlfn.IFS(CH$9=1,'Redlands Inputs'!$G$22,
CH$10&lt;='Redlands Inputs'!$H$20,'Redlands Inputs'!$G$22*(1+'Redlands Inputs'!$H$23)^(CH$8-1),
CH$10&gt;'Redlands Inputs'!$H$20,(('Redlands Inputs'!$K$17*'Redlands Inputs'!$H$17)/12)*(1+'Redlands Inputs'!$D$28)^(CH$8-1)))</f>
        <v>365990.18288215937</v>
      </c>
      <c r="CI14" s="39" cm="1">
        <f t="array" ref="CI14">_xlfn.IFS('Redlands Inputs'!$G$12="Vacate",
_xlfn.IFS(CI$9=1,'Redlands Inputs'!$G$22,
CI$10&lt;='Redlands Inputs'!$H$20,'Redlands Inputs'!$G$22*(1+'Redlands Inputs'!$H$23)^(CI$8-1),
CI$10&gt;'Redlands Inputs'!$H$20,'Redlands Inputs'!$C$26*(1+'Redlands Inputs'!$D$28)^(CI$8-1)),
'Redlands Inputs'!$G$12="Market",
_xlfn.IFS(CI$9=1,'Redlands Inputs'!$G$22,
CI$10&lt;='Redlands Inputs'!$H$20,'Redlands Inputs'!$G$22*(1+'Redlands Inputs'!$H$23)^(CI$8-1),
CI$10&gt;'Redlands Inputs'!$H$20,(('Redlands Inputs'!$K$17*'Redlands Inputs'!$H$17)/12)*(1+'Redlands Inputs'!$D$28)^(CI$8-1)))</f>
        <v>373309.98653980246</v>
      </c>
      <c r="CJ14" s="39" cm="1">
        <f t="array" ref="CJ14">_xlfn.IFS('Redlands Inputs'!$G$12="Vacate",
_xlfn.IFS(CJ$9=1,'Redlands Inputs'!$G$22,
CJ$10&lt;='Redlands Inputs'!$H$20,'Redlands Inputs'!$G$22*(1+'Redlands Inputs'!$H$23)^(CJ$8-1),
CJ$10&gt;'Redlands Inputs'!$H$20,'Redlands Inputs'!$C$26*(1+'Redlands Inputs'!$D$28)^(CJ$8-1)),
'Redlands Inputs'!$G$12="Market",
_xlfn.IFS(CJ$9=1,'Redlands Inputs'!$G$22,
CJ$10&lt;='Redlands Inputs'!$H$20,'Redlands Inputs'!$G$22*(1+'Redlands Inputs'!$H$23)^(CJ$8-1),
CJ$10&gt;'Redlands Inputs'!$H$20,(('Redlands Inputs'!$K$17*'Redlands Inputs'!$H$17)/12)*(1+'Redlands Inputs'!$D$28)^(CJ$8-1)))</f>
        <v>534908.5891506956</v>
      </c>
      <c r="CK14" s="39" cm="1">
        <f t="array" ref="CK14">_xlfn.IFS('Redlands Inputs'!$G$12="Vacate",
_xlfn.IFS(CK$9=1,'Redlands Inputs'!$G$22,
CK$10&lt;='Redlands Inputs'!$H$20,'Redlands Inputs'!$G$22*(1+'Redlands Inputs'!$H$23)^(CK$8-1),
CK$10&gt;'Redlands Inputs'!$H$20,'Redlands Inputs'!$C$26*(1+'Redlands Inputs'!$D$28)^(CK$8-1)),
'Redlands Inputs'!$G$12="Market",
_xlfn.IFS(CK$9=1,'Redlands Inputs'!$G$22,
CK$10&lt;='Redlands Inputs'!$H$20,'Redlands Inputs'!$G$22*(1+'Redlands Inputs'!$H$23)^(CK$8-1),
CK$10&gt;'Redlands Inputs'!$H$20,(('Redlands Inputs'!$K$17*'Redlands Inputs'!$H$17)/12)*(1+'Redlands Inputs'!$D$28)^(CK$8-1)))</f>
        <v>534908.5891506956</v>
      </c>
      <c r="CL14" s="39" cm="1">
        <f t="array" ref="CL14">_xlfn.IFS('Redlands Inputs'!$G$12="Vacate",
_xlfn.IFS(CL$9=1,'Redlands Inputs'!$G$22,
CL$10&lt;='Redlands Inputs'!$H$20,'Redlands Inputs'!$G$22*(1+'Redlands Inputs'!$H$23)^(CL$8-1),
CL$10&gt;'Redlands Inputs'!$H$20,'Redlands Inputs'!$C$26*(1+'Redlands Inputs'!$D$28)^(CL$8-1)),
'Redlands Inputs'!$G$12="Market",
_xlfn.IFS(CL$9=1,'Redlands Inputs'!$G$22,
CL$10&lt;='Redlands Inputs'!$H$20,'Redlands Inputs'!$G$22*(1+'Redlands Inputs'!$H$23)^(CL$8-1),
CL$10&gt;'Redlands Inputs'!$H$20,(('Redlands Inputs'!$K$17*'Redlands Inputs'!$H$17)/12)*(1+'Redlands Inputs'!$D$28)^(CL$8-1)))</f>
        <v>534908.5891506956</v>
      </c>
      <c r="CM14" s="39" cm="1">
        <f t="array" ref="CM14">_xlfn.IFS('Redlands Inputs'!$G$12="Vacate",
_xlfn.IFS(CM$9=1,'Redlands Inputs'!$G$22,
CM$10&lt;='Redlands Inputs'!$H$20,'Redlands Inputs'!$G$22*(1+'Redlands Inputs'!$H$23)^(CM$8-1),
CM$10&gt;'Redlands Inputs'!$H$20,'Redlands Inputs'!$C$26*(1+'Redlands Inputs'!$D$28)^(CM$8-1)),
'Redlands Inputs'!$G$12="Market",
_xlfn.IFS(CM$9=1,'Redlands Inputs'!$G$22,
CM$10&lt;='Redlands Inputs'!$H$20,'Redlands Inputs'!$G$22*(1+'Redlands Inputs'!$H$23)^(CM$8-1),
CM$10&gt;'Redlands Inputs'!$H$20,(('Redlands Inputs'!$K$17*'Redlands Inputs'!$H$17)/12)*(1+'Redlands Inputs'!$D$28)^(CM$8-1)))</f>
        <v>534908.5891506956</v>
      </c>
      <c r="CN14" s="39" cm="1">
        <f t="array" ref="CN14">_xlfn.IFS('Redlands Inputs'!$G$12="Vacate",
_xlfn.IFS(CN$9=1,'Redlands Inputs'!$G$22,
CN$10&lt;='Redlands Inputs'!$H$20,'Redlands Inputs'!$G$22*(1+'Redlands Inputs'!$H$23)^(CN$8-1),
CN$10&gt;'Redlands Inputs'!$H$20,'Redlands Inputs'!$C$26*(1+'Redlands Inputs'!$D$28)^(CN$8-1)),
'Redlands Inputs'!$G$12="Market",
_xlfn.IFS(CN$9=1,'Redlands Inputs'!$G$22,
CN$10&lt;='Redlands Inputs'!$H$20,'Redlands Inputs'!$G$22*(1+'Redlands Inputs'!$H$23)^(CN$8-1),
CN$10&gt;'Redlands Inputs'!$H$20,(('Redlands Inputs'!$K$17*'Redlands Inputs'!$H$17)/12)*(1+'Redlands Inputs'!$D$28)^(CN$8-1)))</f>
        <v>534908.5891506956</v>
      </c>
      <c r="CO14" s="39" cm="1">
        <f t="array" ref="CO14">_xlfn.IFS('Redlands Inputs'!$G$12="Vacate",
_xlfn.IFS(CO$9=1,'Redlands Inputs'!$G$22,
CO$10&lt;='Redlands Inputs'!$H$20,'Redlands Inputs'!$G$22*(1+'Redlands Inputs'!$H$23)^(CO$8-1),
CO$10&gt;'Redlands Inputs'!$H$20,'Redlands Inputs'!$C$26*(1+'Redlands Inputs'!$D$28)^(CO$8-1)),
'Redlands Inputs'!$G$12="Market",
_xlfn.IFS(CO$9=1,'Redlands Inputs'!$G$22,
CO$10&lt;='Redlands Inputs'!$H$20,'Redlands Inputs'!$G$22*(1+'Redlands Inputs'!$H$23)^(CO$8-1),
CO$10&gt;'Redlands Inputs'!$H$20,(('Redlands Inputs'!$K$17*'Redlands Inputs'!$H$17)/12)*(1+'Redlands Inputs'!$D$28)^(CO$8-1)))</f>
        <v>534908.5891506956</v>
      </c>
      <c r="CP14" s="39" cm="1">
        <f t="array" ref="CP14">_xlfn.IFS('Redlands Inputs'!$G$12="Vacate",
_xlfn.IFS(CP$9=1,'Redlands Inputs'!$G$22,
CP$10&lt;='Redlands Inputs'!$H$20,'Redlands Inputs'!$G$22*(1+'Redlands Inputs'!$H$23)^(CP$8-1),
CP$10&gt;'Redlands Inputs'!$H$20,'Redlands Inputs'!$C$26*(1+'Redlands Inputs'!$D$28)^(CP$8-1)),
'Redlands Inputs'!$G$12="Market",
_xlfn.IFS(CP$9=1,'Redlands Inputs'!$G$22,
CP$10&lt;='Redlands Inputs'!$H$20,'Redlands Inputs'!$G$22*(1+'Redlands Inputs'!$H$23)^(CP$8-1),
CP$10&gt;'Redlands Inputs'!$H$20,(('Redlands Inputs'!$K$17*'Redlands Inputs'!$H$17)/12)*(1+'Redlands Inputs'!$D$28)^(CP$8-1)))</f>
        <v>534908.5891506956</v>
      </c>
      <c r="CQ14" s="39" cm="1">
        <f t="array" ref="CQ14">_xlfn.IFS('Redlands Inputs'!$G$12="Vacate",
_xlfn.IFS(CQ$9=1,'Redlands Inputs'!$G$22,
CQ$10&lt;='Redlands Inputs'!$H$20,'Redlands Inputs'!$G$22*(1+'Redlands Inputs'!$H$23)^(CQ$8-1),
CQ$10&gt;'Redlands Inputs'!$H$20,'Redlands Inputs'!$C$26*(1+'Redlands Inputs'!$D$28)^(CQ$8-1)),
'Redlands Inputs'!$G$12="Market",
_xlfn.IFS(CQ$9=1,'Redlands Inputs'!$G$22,
CQ$10&lt;='Redlands Inputs'!$H$20,'Redlands Inputs'!$G$22*(1+'Redlands Inputs'!$H$23)^(CQ$8-1),
CQ$10&gt;'Redlands Inputs'!$H$20,(('Redlands Inputs'!$K$17*'Redlands Inputs'!$H$17)/12)*(1+'Redlands Inputs'!$D$28)^(CQ$8-1)))</f>
        <v>534908.5891506956</v>
      </c>
      <c r="CR14" s="39" cm="1">
        <f t="array" ref="CR14">_xlfn.IFS('Redlands Inputs'!$G$12="Vacate",
_xlfn.IFS(CR$9=1,'Redlands Inputs'!$G$22,
CR$10&lt;='Redlands Inputs'!$H$20,'Redlands Inputs'!$G$22*(1+'Redlands Inputs'!$H$23)^(CR$8-1),
CR$10&gt;'Redlands Inputs'!$H$20,'Redlands Inputs'!$C$26*(1+'Redlands Inputs'!$D$28)^(CR$8-1)),
'Redlands Inputs'!$G$12="Market",
_xlfn.IFS(CR$9=1,'Redlands Inputs'!$G$22,
CR$10&lt;='Redlands Inputs'!$H$20,'Redlands Inputs'!$G$22*(1+'Redlands Inputs'!$H$23)^(CR$8-1),
CR$10&gt;'Redlands Inputs'!$H$20,(('Redlands Inputs'!$K$17*'Redlands Inputs'!$H$17)/12)*(1+'Redlands Inputs'!$D$28)^(CR$8-1)))</f>
        <v>534908.5891506956</v>
      </c>
      <c r="CS14" s="39" cm="1">
        <f t="array" ref="CS14">_xlfn.IFS('Redlands Inputs'!$G$12="Vacate",
_xlfn.IFS(CS$9=1,'Redlands Inputs'!$G$22,
CS$10&lt;='Redlands Inputs'!$H$20,'Redlands Inputs'!$G$22*(1+'Redlands Inputs'!$H$23)^(CS$8-1),
CS$10&gt;'Redlands Inputs'!$H$20,'Redlands Inputs'!$C$26*(1+'Redlands Inputs'!$D$28)^(CS$8-1)),
'Redlands Inputs'!$G$12="Market",
_xlfn.IFS(CS$9=1,'Redlands Inputs'!$G$22,
CS$10&lt;='Redlands Inputs'!$H$20,'Redlands Inputs'!$G$22*(1+'Redlands Inputs'!$H$23)^(CS$8-1),
CS$10&gt;'Redlands Inputs'!$H$20,(('Redlands Inputs'!$K$17*'Redlands Inputs'!$H$17)/12)*(1+'Redlands Inputs'!$D$28)^(CS$8-1)))</f>
        <v>534908.5891506956</v>
      </c>
      <c r="CT14" s="39" cm="1">
        <f t="array" ref="CT14">_xlfn.IFS('Redlands Inputs'!$G$12="Vacate",
_xlfn.IFS(CT$9=1,'Redlands Inputs'!$G$22,
CT$10&lt;='Redlands Inputs'!$H$20,'Redlands Inputs'!$G$22*(1+'Redlands Inputs'!$H$23)^(CT$8-1),
CT$10&gt;'Redlands Inputs'!$H$20,'Redlands Inputs'!$C$26*(1+'Redlands Inputs'!$D$28)^(CT$8-1)),
'Redlands Inputs'!$G$12="Market",
_xlfn.IFS(CT$9=1,'Redlands Inputs'!$G$22,
CT$10&lt;='Redlands Inputs'!$H$20,'Redlands Inputs'!$G$22*(1+'Redlands Inputs'!$H$23)^(CT$8-1),
CT$10&gt;'Redlands Inputs'!$H$20,(('Redlands Inputs'!$K$17*'Redlands Inputs'!$H$17)/12)*(1+'Redlands Inputs'!$D$28)^(CT$8-1)))</f>
        <v>534908.5891506956</v>
      </c>
      <c r="CU14" s="39" cm="1">
        <f t="array" ref="CU14">_xlfn.IFS('Redlands Inputs'!$G$12="Vacate",
_xlfn.IFS(CU$9=1,'Redlands Inputs'!$G$22,
CU$10&lt;='Redlands Inputs'!$H$20,'Redlands Inputs'!$G$22*(1+'Redlands Inputs'!$H$23)^(CU$8-1),
CU$10&gt;'Redlands Inputs'!$H$20,'Redlands Inputs'!$C$26*(1+'Redlands Inputs'!$D$28)^(CU$8-1)),
'Redlands Inputs'!$G$12="Market",
_xlfn.IFS(CU$9=1,'Redlands Inputs'!$G$22,
CU$10&lt;='Redlands Inputs'!$H$20,'Redlands Inputs'!$G$22*(1+'Redlands Inputs'!$H$23)^(CU$8-1),
CU$10&gt;'Redlands Inputs'!$H$20,(('Redlands Inputs'!$K$17*'Redlands Inputs'!$H$17)/12)*(1+'Redlands Inputs'!$D$28)^(CU$8-1)))</f>
        <v>548281.303879463</v>
      </c>
      <c r="CV14" s="39" cm="1">
        <f t="array" ref="CV14">_xlfn.IFS('Redlands Inputs'!$G$12="Vacate",
_xlfn.IFS(CV$9=1,'Redlands Inputs'!$G$22,
CV$10&lt;='Redlands Inputs'!$H$20,'Redlands Inputs'!$G$22*(1+'Redlands Inputs'!$H$23)^(CV$8-1),
CV$10&gt;'Redlands Inputs'!$H$20,'Redlands Inputs'!$C$26*(1+'Redlands Inputs'!$D$28)^(CV$8-1)),
'Redlands Inputs'!$G$12="Market",
_xlfn.IFS(CV$9=1,'Redlands Inputs'!$G$22,
CV$10&lt;='Redlands Inputs'!$H$20,'Redlands Inputs'!$G$22*(1+'Redlands Inputs'!$H$23)^(CV$8-1),
CV$10&gt;'Redlands Inputs'!$H$20,(('Redlands Inputs'!$K$17*'Redlands Inputs'!$H$17)/12)*(1+'Redlands Inputs'!$D$28)^(CV$8-1)))</f>
        <v>548281.303879463</v>
      </c>
      <c r="CW14" s="39" cm="1">
        <f t="array" ref="CW14">_xlfn.IFS('Redlands Inputs'!$G$12="Vacate",
_xlfn.IFS(CW$9=1,'Redlands Inputs'!$G$22,
CW$10&lt;='Redlands Inputs'!$H$20,'Redlands Inputs'!$G$22*(1+'Redlands Inputs'!$H$23)^(CW$8-1),
CW$10&gt;'Redlands Inputs'!$H$20,'Redlands Inputs'!$C$26*(1+'Redlands Inputs'!$D$28)^(CW$8-1)),
'Redlands Inputs'!$G$12="Market",
_xlfn.IFS(CW$9=1,'Redlands Inputs'!$G$22,
CW$10&lt;='Redlands Inputs'!$H$20,'Redlands Inputs'!$G$22*(1+'Redlands Inputs'!$H$23)^(CW$8-1),
CW$10&gt;'Redlands Inputs'!$H$20,(('Redlands Inputs'!$K$17*'Redlands Inputs'!$H$17)/12)*(1+'Redlands Inputs'!$D$28)^(CW$8-1)))</f>
        <v>548281.303879463</v>
      </c>
      <c r="CX14" s="39" cm="1">
        <f t="array" ref="CX14">_xlfn.IFS('Redlands Inputs'!$G$12="Vacate",
_xlfn.IFS(CX$9=1,'Redlands Inputs'!$G$22,
CX$10&lt;='Redlands Inputs'!$H$20,'Redlands Inputs'!$G$22*(1+'Redlands Inputs'!$H$23)^(CX$8-1),
CX$10&gt;'Redlands Inputs'!$H$20,'Redlands Inputs'!$C$26*(1+'Redlands Inputs'!$D$28)^(CX$8-1)),
'Redlands Inputs'!$G$12="Market",
_xlfn.IFS(CX$9=1,'Redlands Inputs'!$G$22,
CX$10&lt;='Redlands Inputs'!$H$20,'Redlands Inputs'!$G$22*(1+'Redlands Inputs'!$H$23)^(CX$8-1),
CX$10&gt;'Redlands Inputs'!$H$20,(('Redlands Inputs'!$K$17*'Redlands Inputs'!$H$17)/12)*(1+'Redlands Inputs'!$D$28)^(CX$8-1)))</f>
        <v>548281.303879463</v>
      </c>
      <c r="CY14" s="39" cm="1">
        <f t="array" ref="CY14">_xlfn.IFS('Redlands Inputs'!$G$12="Vacate",
_xlfn.IFS(CY$9=1,'Redlands Inputs'!$G$22,
CY$10&lt;='Redlands Inputs'!$H$20,'Redlands Inputs'!$G$22*(1+'Redlands Inputs'!$H$23)^(CY$8-1),
CY$10&gt;'Redlands Inputs'!$H$20,'Redlands Inputs'!$C$26*(1+'Redlands Inputs'!$D$28)^(CY$8-1)),
'Redlands Inputs'!$G$12="Market",
_xlfn.IFS(CY$9=1,'Redlands Inputs'!$G$22,
CY$10&lt;='Redlands Inputs'!$H$20,'Redlands Inputs'!$G$22*(1+'Redlands Inputs'!$H$23)^(CY$8-1),
CY$10&gt;'Redlands Inputs'!$H$20,(('Redlands Inputs'!$K$17*'Redlands Inputs'!$H$17)/12)*(1+'Redlands Inputs'!$D$28)^(CY$8-1)))</f>
        <v>548281.303879463</v>
      </c>
      <c r="CZ14" s="39" cm="1">
        <f t="array" ref="CZ14">_xlfn.IFS('Redlands Inputs'!$G$12="Vacate",
_xlfn.IFS(CZ$9=1,'Redlands Inputs'!$G$22,
CZ$10&lt;='Redlands Inputs'!$H$20,'Redlands Inputs'!$G$22*(1+'Redlands Inputs'!$H$23)^(CZ$8-1),
CZ$10&gt;'Redlands Inputs'!$H$20,'Redlands Inputs'!$C$26*(1+'Redlands Inputs'!$D$28)^(CZ$8-1)),
'Redlands Inputs'!$G$12="Market",
_xlfn.IFS(CZ$9=1,'Redlands Inputs'!$G$22,
CZ$10&lt;='Redlands Inputs'!$H$20,'Redlands Inputs'!$G$22*(1+'Redlands Inputs'!$H$23)^(CZ$8-1),
CZ$10&gt;'Redlands Inputs'!$H$20,(('Redlands Inputs'!$K$17*'Redlands Inputs'!$H$17)/12)*(1+'Redlands Inputs'!$D$28)^(CZ$8-1)))</f>
        <v>548281.303879463</v>
      </c>
      <c r="DA14" s="39" cm="1">
        <f t="array" ref="DA14">_xlfn.IFS('Redlands Inputs'!$G$12="Vacate",
_xlfn.IFS(DA$9=1,'Redlands Inputs'!$G$22,
DA$10&lt;='Redlands Inputs'!$H$20,'Redlands Inputs'!$G$22*(1+'Redlands Inputs'!$H$23)^(DA$8-1),
DA$10&gt;'Redlands Inputs'!$H$20,'Redlands Inputs'!$C$26*(1+'Redlands Inputs'!$D$28)^(DA$8-1)),
'Redlands Inputs'!$G$12="Market",
_xlfn.IFS(DA$9=1,'Redlands Inputs'!$G$22,
DA$10&lt;='Redlands Inputs'!$H$20,'Redlands Inputs'!$G$22*(1+'Redlands Inputs'!$H$23)^(DA$8-1),
DA$10&gt;'Redlands Inputs'!$H$20,(('Redlands Inputs'!$K$17*'Redlands Inputs'!$H$17)/12)*(1+'Redlands Inputs'!$D$28)^(DA$8-1)))</f>
        <v>548281.303879463</v>
      </c>
      <c r="DB14" s="39" cm="1">
        <f t="array" ref="DB14">_xlfn.IFS('Redlands Inputs'!$G$12="Vacate",
_xlfn.IFS(DB$9=1,'Redlands Inputs'!$G$22,
DB$10&lt;='Redlands Inputs'!$H$20,'Redlands Inputs'!$G$22*(1+'Redlands Inputs'!$H$23)^(DB$8-1),
DB$10&gt;'Redlands Inputs'!$H$20,'Redlands Inputs'!$C$26*(1+'Redlands Inputs'!$D$28)^(DB$8-1)),
'Redlands Inputs'!$G$12="Market",
_xlfn.IFS(DB$9=1,'Redlands Inputs'!$G$22,
DB$10&lt;='Redlands Inputs'!$H$20,'Redlands Inputs'!$G$22*(1+'Redlands Inputs'!$H$23)^(DB$8-1),
DB$10&gt;'Redlands Inputs'!$H$20,(('Redlands Inputs'!$K$17*'Redlands Inputs'!$H$17)/12)*(1+'Redlands Inputs'!$D$28)^(DB$8-1)))</f>
        <v>548281.303879463</v>
      </c>
      <c r="DC14" s="39" cm="1">
        <f t="array" ref="DC14">_xlfn.IFS('Redlands Inputs'!$G$12="Vacate",
_xlfn.IFS(DC$9=1,'Redlands Inputs'!$G$22,
DC$10&lt;='Redlands Inputs'!$H$20,'Redlands Inputs'!$G$22*(1+'Redlands Inputs'!$H$23)^(DC$8-1),
DC$10&gt;'Redlands Inputs'!$H$20,'Redlands Inputs'!$C$26*(1+'Redlands Inputs'!$D$28)^(DC$8-1)),
'Redlands Inputs'!$G$12="Market",
_xlfn.IFS(DC$9=1,'Redlands Inputs'!$G$22,
DC$10&lt;='Redlands Inputs'!$H$20,'Redlands Inputs'!$G$22*(1+'Redlands Inputs'!$H$23)^(DC$8-1),
DC$10&gt;'Redlands Inputs'!$H$20,(('Redlands Inputs'!$K$17*'Redlands Inputs'!$H$17)/12)*(1+'Redlands Inputs'!$D$28)^(DC$8-1)))</f>
        <v>548281.303879463</v>
      </c>
      <c r="DD14" s="39" cm="1">
        <f t="array" ref="DD14">_xlfn.IFS('Redlands Inputs'!$G$12="Vacate",
_xlfn.IFS(DD$9=1,'Redlands Inputs'!$G$22,
DD$10&lt;='Redlands Inputs'!$H$20,'Redlands Inputs'!$G$22*(1+'Redlands Inputs'!$H$23)^(DD$8-1),
DD$10&gt;'Redlands Inputs'!$H$20,'Redlands Inputs'!$C$26*(1+'Redlands Inputs'!$D$28)^(DD$8-1)),
'Redlands Inputs'!$G$12="Market",
_xlfn.IFS(DD$9=1,'Redlands Inputs'!$G$22,
DD$10&lt;='Redlands Inputs'!$H$20,'Redlands Inputs'!$G$22*(1+'Redlands Inputs'!$H$23)^(DD$8-1),
DD$10&gt;'Redlands Inputs'!$H$20,(('Redlands Inputs'!$K$17*'Redlands Inputs'!$H$17)/12)*(1+'Redlands Inputs'!$D$28)^(DD$8-1)))</f>
        <v>548281.303879463</v>
      </c>
      <c r="DE14" s="39" cm="1">
        <f t="array" ref="DE14">_xlfn.IFS('Redlands Inputs'!$G$12="Vacate",
_xlfn.IFS(DE$9=1,'Redlands Inputs'!$G$22,
DE$10&lt;='Redlands Inputs'!$H$20,'Redlands Inputs'!$G$22*(1+'Redlands Inputs'!$H$23)^(DE$8-1),
DE$10&gt;'Redlands Inputs'!$H$20,'Redlands Inputs'!$C$26*(1+'Redlands Inputs'!$D$28)^(DE$8-1)),
'Redlands Inputs'!$G$12="Market",
_xlfn.IFS(DE$9=1,'Redlands Inputs'!$G$22,
DE$10&lt;='Redlands Inputs'!$H$20,'Redlands Inputs'!$G$22*(1+'Redlands Inputs'!$H$23)^(DE$8-1),
DE$10&gt;'Redlands Inputs'!$H$20,(('Redlands Inputs'!$K$17*'Redlands Inputs'!$H$17)/12)*(1+'Redlands Inputs'!$D$28)^(DE$8-1)))</f>
        <v>548281.303879463</v>
      </c>
      <c r="DF14" s="39" cm="1">
        <f t="array" ref="DF14">_xlfn.IFS('Redlands Inputs'!$G$12="Vacate",
_xlfn.IFS(DF$9=1,'Redlands Inputs'!$G$22,
DF$10&lt;='Redlands Inputs'!$H$20,'Redlands Inputs'!$G$22*(1+'Redlands Inputs'!$H$23)^(DF$8-1),
DF$10&gt;'Redlands Inputs'!$H$20,'Redlands Inputs'!$C$26*(1+'Redlands Inputs'!$D$28)^(DF$8-1)),
'Redlands Inputs'!$G$12="Market",
_xlfn.IFS(DF$9=1,'Redlands Inputs'!$G$22,
DF$10&lt;='Redlands Inputs'!$H$20,'Redlands Inputs'!$G$22*(1+'Redlands Inputs'!$H$23)^(DF$8-1),
DF$10&gt;'Redlands Inputs'!$H$20,(('Redlands Inputs'!$K$17*'Redlands Inputs'!$H$17)/12)*(1+'Redlands Inputs'!$D$28)^(DF$8-1)))</f>
        <v>548281.303879463</v>
      </c>
      <c r="DG14" s="39" cm="1">
        <f t="array" ref="DG14">_xlfn.IFS('Redlands Inputs'!$G$12="Vacate",
_xlfn.IFS(DG$9=1,'Redlands Inputs'!$G$22,
DG$10&lt;='Redlands Inputs'!$H$20,'Redlands Inputs'!$G$22*(1+'Redlands Inputs'!$H$23)^(DG$8-1),
DG$10&gt;'Redlands Inputs'!$H$20,'Redlands Inputs'!$C$26*(1+'Redlands Inputs'!$D$28)^(DG$8-1)),
'Redlands Inputs'!$G$12="Market",
_xlfn.IFS(DG$9=1,'Redlands Inputs'!$G$22,
DG$10&lt;='Redlands Inputs'!$H$20,'Redlands Inputs'!$G$22*(1+'Redlands Inputs'!$H$23)^(DG$8-1),
DG$10&gt;'Redlands Inputs'!$H$20,(('Redlands Inputs'!$K$17*'Redlands Inputs'!$H$17)/12)*(1+'Redlands Inputs'!$D$28)^(DG$8-1)))</f>
        <v>561988.33647644939</v>
      </c>
      <c r="DH14" s="39" cm="1">
        <f t="array" ref="DH14">_xlfn.IFS('Redlands Inputs'!$G$12="Vacate",
_xlfn.IFS(DH$9=1,'Redlands Inputs'!$G$22,
DH$10&lt;='Redlands Inputs'!$H$20,'Redlands Inputs'!$G$22*(1+'Redlands Inputs'!$H$23)^(DH$8-1),
DH$10&gt;'Redlands Inputs'!$H$20,'Redlands Inputs'!$C$26*(1+'Redlands Inputs'!$D$28)^(DH$8-1)),
'Redlands Inputs'!$G$12="Market",
_xlfn.IFS(DH$9=1,'Redlands Inputs'!$G$22,
DH$10&lt;='Redlands Inputs'!$H$20,'Redlands Inputs'!$G$22*(1+'Redlands Inputs'!$H$23)^(DH$8-1),
DH$10&gt;'Redlands Inputs'!$H$20,(('Redlands Inputs'!$K$17*'Redlands Inputs'!$H$17)/12)*(1+'Redlands Inputs'!$D$28)^(DH$8-1)))</f>
        <v>561988.33647644939</v>
      </c>
      <c r="DI14" s="39" cm="1">
        <f t="array" ref="DI14">_xlfn.IFS('Redlands Inputs'!$G$12="Vacate",
_xlfn.IFS(DI$9=1,'Redlands Inputs'!$G$22,
DI$10&lt;='Redlands Inputs'!$H$20,'Redlands Inputs'!$G$22*(1+'Redlands Inputs'!$H$23)^(DI$8-1),
DI$10&gt;'Redlands Inputs'!$H$20,'Redlands Inputs'!$C$26*(1+'Redlands Inputs'!$D$28)^(DI$8-1)),
'Redlands Inputs'!$G$12="Market",
_xlfn.IFS(DI$9=1,'Redlands Inputs'!$G$22,
DI$10&lt;='Redlands Inputs'!$H$20,'Redlands Inputs'!$G$22*(1+'Redlands Inputs'!$H$23)^(DI$8-1),
DI$10&gt;'Redlands Inputs'!$H$20,(('Redlands Inputs'!$K$17*'Redlands Inputs'!$H$17)/12)*(1+'Redlands Inputs'!$D$28)^(DI$8-1)))</f>
        <v>561988.33647644939</v>
      </c>
      <c r="DJ14" s="39" cm="1">
        <f t="array" ref="DJ14">_xlfn.IFS('Redlands Inputs'!$G$12="Vacate",
_xlfn.IFS(DJ$9=1,'Redlands Inputs'!$G$22,
DJ$10&lt;='Redlands Inputs'!$H$20,'Redlands Inputs'!$G$22*(1+'Redlands Inputs'!$H$23)^(DJ$8-1),
DJ$10&gt;'Redlands Inputs'!$H$20,'Redlands Inputs'!$C$26*(1+'Redlands Inputs'!$D$28)^(DJ$8-1)),
'Redlands Inputs'!$G$12="Market",
_xlfn.IFS(DJ$9=1,'Redlands Inputs'!$G$22,
DJ$10&lt;='Redlands Inputs'!$H$20,'Redlands Inputs'!$G$22*(1+'Redlands Inputs'!$H$23)^(DJ$8-1),
DJ$10&gt;'Redlands Inputs'!$H$20,(('Redlands Inputs'!$K$17*'Redlands Inputs'!$H$17)/12)*(1+'Redlands Inputs'!$D$28)^(DJ$8-1)))</f>
        <v>561988.33647644939</v>
      </c>
      <c r="DK14" s="39" cm="1">
        <f t="array" ref="DK14">_xlfn.IFS('Redlands Inputs'!$G$12="Vacate",
_xlfn.IFS(DK$9=1,'Redlands Inputs'!$G$22,
DK$10&lt;='Redlands Inputs'!$H$20,'Redlands Inputs'!$G$22*(1+'Redlands Inputs'!$H$23)^(DK$8-1),
DK$10&gt;'Redlands Inputs'!$H$20,'Redlands Inputs'!$C$26*(1+'Redlands Inputs'!$D$28)^(DK$8-1)),
'Redlands Inputs'!$G$12="Market",
_xlfn.IFS(DK$9=1,'Redlands Inputs'!$G$22,
DK$10&lt;='Redlands Inputs'!$H$20,'Redlands Inputs'!$G$22*(1+'Redlands Inputs'!$H$23)^(DK$8-1),
DK$10&gt;'Redlands Inputs'!$H$20,(('Redlands Inputs'!$K$17*'Redlands Inputs'!$H$17)/12)*(1+'Redlands Inputs'!$D$28)^(DK$8-1)))</f>
        <v>561988.33647644939</v>
      </c>
      <c r="DL14" s="39" cm="1">
        <f t="array" ref="DL14">_xlfn.IFS('Redlands Inputs'!$G$12="Vacate",
_xlfn.IFS(DL$9=1,'Redlands Inputs'!$G$22,
DL$10&lt;='Redlands Inputs'!$H$20,'Redlands Inputs'!$G$22*(1+'Redlands Inputs'!$H$23)^(DL$8-1),
DL$10&gt;'Redlands Inputs'!$H$20,'Redlands Inputs'!$C$26*(1+'Redlands Inputs'!$D$28)^(DL$8-1)),
'Redlands Inputs'!$G$12="Market",
_xlfn.IFS(DL$9=1,'Redlands Inputs'!$G$22,
DL$10&lt;='Redlands Inputs'!$H$20,'Redlands Inputs'!$G$22*(1+'Redlands Inputs'!$H$23)^(DL$8-1),
DL$10&gt;'Redlands Inputs'!$H$20,(('Redlands Inputs'!$K$17*'Redlands Inputs'!$H$17)/12)*(1+'Redlands Inputs'!$D$28)^(DL$8-1)))</f>
        <v>561988.33647644939</v>
      </c>
      <c r="DM14" s="39" cm="1">
        <f t="array" ref="DM14">_xlfn.IFS('Redlands Inputs'!$G$12="Vacate",
_xlfn.IFS(DM$9=1,'Redlands Inputs'!$G$22,
DM$10&lt;='Redlands Inputs'!$H$20,'Redlands Inputs'!$G$22*(1+'Redlands Inputs'!$H$23)^(DM$8-1),
DM$10&gt;'Redlands Inputs'!$H$20,'Redlands Inputs'!$C$26*(1+'Redlands Inputs'!$D$28)^(DM$8-1)),
'Redlands Inputs'!$G$12="Market",
_xlfn.IFS(DM$9=1,'Redlands Inputs'!$G$22,
DM$10&lt;='Redlands Inputs'!$H$20,'Redlands Inputs'!$G$22*(1+'Redlands Inputs'!$H$23)^(DM$8-1),
DM$10&gt;'Redlands Inputs'!$H$20,(('Redlands Inputs'!$K$17*'Redlands Inputs'!$H$17)/12)*(1+'Redlands Inputs'!$D$28)^(DM$8-1)))</f>
        <v>561988.33647644939</v>
      </c>
      <c r="DN14" s="39" cm="1">
        <f t="array" ref="DN14">_xlfn.IFS('Redlands Inputs'!$G$12="Vacate",
_xlfn.IFS(DN$9=1,'Redlands Inputs'!$G$22,
DN$10&lt;='Redlands Inputs'!$H$20,'Redlands Inputs'!$G$22*(1+'Redlands Inputs'!$H$23)^(DN$8-1),
DN$10&gt;'Redlands Inputs'!$H$20,'Redlands Inputs'!$C$26*(1+'Redlands Inputs'!$D$28)^(DN$8-1)),
'Redlands Inputs'!$G$12="Market",
_xlfn.IFS(DN$9=1,'Redlands Inputs'!$G$22,
DN$10&lt;='Redlands Inputs'!$H$20,'Redlands Inputs'!$G$22*(1+'Redlands Inputs'!$H$23)^(DN$8-1),
DN$10&gt;'Redlands Inputs'!$H$20,(('Redlands Inputs'!$K$17*'Redlands Inputs'!$H$17)/12)*(1+'Redlands Inputs'!$D$28)^(DN$8-1)))</f>
        <v>561988.33647644939</v>
      </c>
      <c r="DO14" s="39" cm="1">
        <f t="array" ref="DO14">_xlfn.IFS('Redlands Inputs'!$G$12="Vacate",
_xlfn.IFS(DO$9=1,'Redlands Inputs'!$G$22,
DO$10&lt;='Redlands Inputs'!$H$20,'Redlands Inputs'!$G$22*(1+'Redlands Inputs'!$H$23)^(DO$8-1),
DO$10&gt;'Redlands Inputs'!$H$20,'Redlands Inputs'!$C$26*(1+'Redlands Inputs'!$D$28)^(DO$8-1)),
'Redlands Inputs'!$G$12="Market",
_xlfn.IFS(DO$9=1,'Redlands Inputs'!$G$22,
DO$10&lt;='Redlands Inputs'!$H$20,'Redlands Inputs'!$G$22*(1+'Redlands Inputs'!$H$23)^(DO$8-1),
DO$10&gt;'Redlands Inputs'!$H$20,(('Redlands Inputs'!$K$17*'Redlands Inputs'!$H$17)/12)*(1+'Redlands Inputs'!$D$28)^(DO$8-1)))</f>
        <v>561988.33647644939</v>
      </c>
      <c r="DP14" s="39" cm="1">
        <f t="array" ref="DP14">_xlfn.IFS('Redlands Inputs'!$G$12="Vacate",
_xlfn.IFS(DP$9=1,'Redlands Inputs'!$G$22,
DP$10&lt;='Redlands Inputs'!$H$20,'Redlands Inputs'!$G$22*(1+'Redlands Inputs'!$H$23)^(DP$8-1),
DP$10&gt;'Redlands Inputs'!$H$20,'Redlands Inputs'!$C$26*(1+'Redlands Inputs'!$D$28)^(DP$8-1)),
'Redlands Inputs'!$G$12="Market",
_xlfn.IFS(DP$9=1,'Redlands Inputs'!$G$22,
DP$10&lt;='Redlands Inputs'!$H$20,'Redlands Inputs'!$G$22*(1+'Redlands Inputs'!$H$23)^(DP$8-1),
DP$10&gt;'Redlands Inputs'!$H$20,(('Redlands Inputs'!$K$17*'Redlands Inputs'!$H$17)/12)*(1+'Redlands Inputs'!$D$28)^(DP$8-1)))</f>
        <v>561988.33647644939</v>
      </c>
      <c r="DQ14" s="39" cm="1">
        <f t="array" ref="DQ14">_xlfn.IFS('Redlands Inputs'!$G$12="Vacate",
_xlfn.IFS(DQ$9=1,'Redlands Inputs'!$G$22,
DQ$10&lt;='Redlands Inputs'!$H$20,'Redlands Inputs'!$G$22*(1+'Redlands Inputs'!$H$23)^(DQ$8-1),
DQ$10&gt;'Redlands Inputs'!$H$20,'Redlands Inputs'!$C$26*(1+'Redlands Inputs'!$D$28)^(DQ$8-1)),
'Redlands Inputs'!$G$12="Market",
_xlfn.IFS(DQ$9=1,'Redlands Inputs'!$G$22,
DQ$10&lt;='Redlands Inputs'!$H$20,'Redlands Inputs'!$G$22*(1+'Redlands Inputs'!$H$23)^(DQ$8-1),
DQ$10&gt;'Redlands Inputs'!$H$20,(('Redlands Inputs'!$K$17*'Redlands Inputs'!$H$17)/12)*(1+'Redlands Inputs'!$D$28)^(DQ$8-1)))</f>
        <v>561988.33647644939</v>
      </c>
      <c r="DR14" s="39" cm="1">
        <f t="array" ref="DR14">_xlfn.IFS('Redlands Inputs'!$G$12="Vacate",
_xlfn.IFS(DR$9=1,'Redlands Inputs'!$G$22,
DR$10&lt;='Redlands Inputs'!$H$20,'Redlands Inputs'!$G$22*(1+'Redlands Inputs'!$H$23)^(DR$8-1),
DR$10&gt;'Redlands Inputs'!$H$20,'Redlands Inputs'!$C$26*(1+'Redlands Inputs'!$D$28)^(DR$8-1)),
'Redlands Inputs'!$G$12="Market",
_xlfn.IFS(DR$9=1,'Redlands Inputs'!$G$22,
DR$10&lt;='Redlands Inputs'!$H$20,'Redlands Inputs'!$G$22*(1+'Redlands Inputs'!$H$23)^(DR$8-1),
DR$10&gt;'Redlands Inputs'!$H$20,(('Redlands Inputs'!$K$17*'Redlands Inputs'!$H$17)/12)*(1+'Redlands Inputs'!$D$28)^(DR$8-1)))</f>
        <v>561988.33647644939</v>
      </c>
      <c r="DS14" s="39" cm="1">
        <f t="array" ref="DS14">_xlfn.IFS('Redlands Inputs'!$G$12="Vacate",
_xlfn.IFS(DS$9=1,'Redlands Inputs'!$G$22,
DS$10&lt;='Redlands Inputs'!$H$20,'Redlands Inputs'!$G$22*(1+'Redlands Inputs'!$H$23)^(DS$8-1),
DS$10&gt;'Redlands Inputs'!$H$20,'Redlands Inputs'!$C$26*(1+'Redlands Inputs'!$D$28)^(DS$8-1)),
'Redlands Inputs'!$G$12="Market",
_xlfn.IFS(DS$9=1,'Redlands Inputs'!$G$22,
DS$10&lt;='Redlands Inputs'!$H$20,'Redlands Inputs'!$G$22*(1+'Redlands Inputs'!$H$23)^(DS$8-1),
DS$10&gt;'Redlands Inputs'!$H$20,(('Redlands Inputs'!$K$17*'Redlands Inputs'!$H$17)/12)*(1+'Redlands Inputs'!$D$28)^(DS$8-1)))</f>
        <v>576038.04488836066</v>
      </c>
      <c r="DT14" s="39" cm="1">
        <f t="array" ref="DT14">_xlfn.IFS('Redlands Inputs'!$G$12="Vacate",
_xlfn.IFS(DT$9=1,'Redlands Inputs'!$G$22,
DT$10&lt;='Redlands Inputs'!$H$20,'Redlands Inputs'!$G$22*(1+'Redlands Inputs'!$H$23)^(DT$8-1),
DT$10&gt;'Redlands Inputs'!$H$20,'Redlands Inputs'!$C$26*(1+'Redlands Inputs'!$D$28)^(DT$8-1)),
'Redlands Inputs'!$G$12="Market",
_xlfn.IFS(DT$9=1,'Redlands Inputs'!$G$22,
DT$10&lt;='Redlands Inputs'!$H$20,'Redlands Inputs'!$G$22*(1+'Redlands Inputs'!$H$23)^(DT$8-1),
DT$10&gt;'Redlands Inputs'!$H$20,(('Redlands Inputs'!$K$17*'Redlands Inputs'!$H$17)/12)*(1+'Redlands Inputs'!$D$28)^(DT$8-1)))</f>
        <v>576038.04488836066</v>
      </c>
      <c r="DU14" s="39" cm="1">
        <f t="array" ref="DU14">_xlfn.IFS('Redlands Inputs'!$G$12="Vacate",
_xlfn.IFS(DU$9=1,'Redlands Inputs'!$G$22,
DU$10&lt;='Redlands Inputs'!$H$20,'Redlands Inputs'!$G$22*(1+'Redlands Inputs'!$H$23)^(DU$8-1),
DU$10&gt;'Redlands Inputs'!$H$20,'Redlands Inputs'!$C$26*(1+'Redlands Inputs'!$D$28)^(DU$8-1)),
'Redlands Inputs'!$G$12="Market",
_xlfn.IFS(DU$9=1,'Redlands Inputs'!$G$22,
DU$10&lt;='Redlands Inputs'!$H$20,'Redlands Inputs'!$G$22*(1+'Redlands Inputs'!$H$23)^(DU$8-1),
DU$10&gt;'Redlands Inputs'!$H$20,(('Redlands Inputs'!$K$17*'Redlands Inputs'!$H$17)/12)*(1+'Redlands Inputs'!$D$28)^(DU$8-1)))</f>
        <v>576038.04488836066</v>
      </c>
      <c r="DV14" s="39" cm="1">
        <f t="array" ref="DV14">_xlfn.IFS('Redlands Inputs'!$G$12="Vacate",
_xlfn.IFS(DV$9=1,'Redlands Inputs'!$G$22,
DV$10&lt;='Redlands Inputs'!$H$20,'Redlands Inputs'!$G$22*(1+'Redlands Inputs'!$H$23)^(DV$8-1),
DV$10&gt;'Redlands Inputs'!$H$20,'Redlands Inputs'!$C$26*(1+'Redlands Inputs'!$D$28)^(DV$8-1)),
'Redlands Inputs'!$G$12="Market",
_xlfn.IFS(DV$9=1,'Redlands Inputs'!$G$22,
DV$10&lt;='Redlands Inputs'!$H$20,'Redlands Inputs'!$G$22*(1+'Redlands Inputs'!$H$23)^(DV$8-1),
DV$10&gt;'Redlands Inputs'!$H$20,(('Redlands Inputs'!$K$17*'Redlands Inputs'!$H$17)/12)*(1+'Redlands Inputs'!$D$28)^(DV$8-1)))</f>
        <v>576038.04488836066</v>
      </c>
      <c r="DW14" s="39" cm="1">
        <f t="array" ref="DW14">_xlfn.IFS('Redlands Inputs'!$G$12="Vacate",
_xlfn.IFS(DW$9=1,'Redlands Inputs'!$G$22,
DW$10&lt;='Redlands Inputs'!$H$20,'Redlands Inputs'!$G$22*(1+'Redlands Inputs'!$H$23)^(DW$8-1),
DW$10&gt;'Redlands Inputs'!$H$20,'Redlands Inputs'!$C$26*(1+'Redlands Inputs'!$D$28)^(DW$8-1)),
'Redlands Inputs'!$G$12="Market",
_xlfn.IFS(DW$9=1,'Redlands Inputs'!$G$22,
DW$10&lt;='Redlands Inputs'!$H$20,'Redlands Inputs'!$G$22*(1+'Redlands Inputs'!$H$23)^(DW$8-1),
DW$10&gt;'Redlands Inputs'!$H$20,(('Redlands Inputs'!$K$17*'Redlands Inputs'!$H$17)/12)*(1+'Redlands Inputs'!$D$28)^(DW$8-1)))</f>
        <v>576038.04488836066</v>
      </c>
      <c r="DX14" s="39" cm="1">
        <f t="array" ref="DX14">_xlfn.IFS('Redlands Inputs'!$G$12="Vacate",
_xlfn.IFS(DX$9=1,'Redlands Inputs'!$G$22,
DX$10&lt;='Redlands Inputs'!$H$20,'Redlands Inputs'!$G$22*(1+'Redlands Inputs'!$H$23)^(DX$8-1),
DX$10&gt;'Redlands Inputs'!$H$20,'Redlands Inputs'!$C$26*(1+'Redlands Inputs'!$D$28)^(DX$8-1)),
'Redlands Inputs'!$G$12="Market",
_xlfn.IFS(DX$9=1,'Redlands Inputs'!$G$22,
DX$10&lt;='Redlands Inputs'!$H$20,'Redlands Inputs'!$G$22*(1+'Redlands Inputs'!$H$23)^(DX$8-1),
DX$10&gt;'Redlands Inputs'!$H$20,(('Redlands Inputs'!$K$17*'Redlands Inputs'!$H$17)/12)*(1+'Redlands Inputs'!$D$28)^(DX$8-1)))</f>
        <v>576038.04488836066</v>
      </c>
      <c r="DY14" s="39" cm="1">
        <f t="array" ref="DY14">_xlfn.IFS('Redlands Inputs'!$G$12="Vacate",
_xlfn.IFS(DY$9=1,'Redlands Inputs'!$G$22,
DY$10&lt;='Redlands Inputs'!$H$20,'Redlands Inputs'!$G$22*(1+'Redlands Inputs'!$H$23)^(DY$8-1),
DY$10&gt;'Redlands Inputs'!$H$20,'Redlands Inputs'!$C$26*(1+'Redlands Inputs'!$D$28)^(DY$8-1)),
'Redlands Inputs'!$G$12="Market",
_xlfn.IFS(DY$9=1,'Redlands Inputs'!$G$22,
DY$10&lt;='Redlands Inputs'!$H$20,'Redlands Inputs'!$G$22*(1+'Redlands Inputs'!$H$23)^(DY$8-1),
DY$10&gt;'Redlands Inputs'!$H$20,(('Redlands Inputs'!$K$17*'Redlands Inputs'!$H$17)/12)*(1+'Redlands Inputs'!$D$28)^(DY$8-1)))</f>
        <v>576038.04488836066</v>
      </c>
      <c r="DZ14" s="39" cm="1">
        <f t="array" ref="DZ14">_xlfn.IFS('Redlands Inputs'!$G$12="Vacate",
_xlfn.IFS(DZ$9=1,'Redlands Inputs'!$G$22,
DZ$10&lt;='Redlands Inputs'!$H$20,'Redlands Inputs'!$G$22*(1+'Redlands Inputs'!$H$23)^(DZ$8-1),
DZ$10&gt;'Redlands Inputs'!$H$20,'Redlands Inputs'!$C$26*(1+'Redlands Inputs'!$D$28)^(DZ$8-1)),
'Redlands Inputs'!$G$12="Market",
_xlfn.IFS(DZ$9=1,'Redlands Inputs'!$G$22,
DZ$10&lt;='Redlands Inputs'!$H$20,'Redlands Inputs'!$G$22*(1+'Redlands Inputs'!$H$23)^(DZ$8-1),
DZ$10&gt;'Redlands Inputs'!$H$20,(('Redlands Inputs'!$K$17*'Redlands Inputs'!$H$17)/12)*(1+'Redlands Inputs'!$D$28)^(DZ$8-1)))</f>
        <v>576038.04488836066</v>
      </c>
      <c r="EA14" s="39" cm="1">
        <f t="array" ref="EA14">_xlfn.IFS('Redlands Inputs'!$G$12="Vacate",
_xlfn.IFS(EA$9=1,'Redlands Inputs'!$G$22,
EA$10&lt;='Redlands Inputs'!$H$20,'Redlands Inputs'!$G$22*(1+'Redlands Inputs'!$H$23)^(EA$8-1),
EA$10&gt;'Redlands Inputs'!$H$20,'Redlands Inputs'!$C$26*(1+'Redlands Inputs'!$D$28)^(EA$8-1)),
'Redlands Inputs'!$G$12="Market",
_xlfn.IFS(EA$9=1,'Redlands Inputs'!$G$22,
EA$10&lt;='Redlands Inputs'!$H$20,'Redlands Inputs'!$G$22*(1+'Redlands Inputs'!$H$23)^(EA$8-1),
EA$10&gt;'Redlands Inputs'!$H$20,(('Redlands Inputs'!$K$17*'Redlands Inputs'!$H$17)/12)*(1+'Redlands Inputs'!$D$28)^(EA$8-1)))</f>
        <v>576038.04488836066</v>
      </c>
      <c r="EB14" s="39" cm="1">
        <f t="array" ref="EB14">_xlfn.IFS('Redlands Inputs'!$G$12="Vacate",
_xlfn.IFS(EB$9=1,'Redlands Inputs'!$G$22,
EB$10&lt;='Redlands Inputs'!$H$20,'Redlands Inputs'!$G$22*(1+'Redlands Inputs'!$H$23)^(EB$8-1),
EB$10&gt;'Redlands Inputs'!$H$20,'Redlands Inputs'!$C$26*(1+'Redlands Inputs'!$D$28)^(EB$8-1)),
'Redlands Inputs'!$G$12="Market",
_xlfn.IFS(EB$9=1,'Redlands Inputs'!$G$22,
EB$10&lt;='Redlands Inputs'!$H$20,'Redlands Inputs'!$G$22*(1+'Redlands Inputs'!$H$23)^(EB$8-1),
EB$10&gt;'Redlands Inputs'!$H$20,(('Redlands Inputs'!$K$17*'Redlands Inputs'!$H$17)/12)*(1+'Redlands Inputs'!$D$28)^(EB$8-1)))</f>
        <v>576038.04488836066</v>
      </c>
      <c r="EC14" s="39" cm="1">
        <f t="array" ref="EC14">_xlfn.IFS('Redlands Inputs'!$G$12="Vacate",
_xlfn.IFS(EC$9=1,'Redlands Inputs'!$G$22,
EC$10&lt;='Redlands Inputs'!$H$20,'Redlands Inputs'!$G$22*(1+'Redlands Inputs'!$H$23)^(EC$8-1),
EC$10&gt;'Redlands Inputs'!$H$20,'Redlands Inputs'!$C$26*(1+'Redlands Inputs'!$D$28)^(EC$8-1)),
'Redlands Inputs'!$G$12="Market",
_xlfn.IFS(EC$9=1,'Redlands Inputs'!$G$22,
EC$10&lt;='Redlands Inputs'!$H$20,'Redlands Inputs'!$G$22*(1+'Redlands Inputs'!$H$23)^(EC$8-1),
EC$10&gt;'Redlands Inputs'!$H$20,(('Redlands Inputs'!$K$17*'Redlands Inputs'!$H$17)/12)*(1+'Redlands Inputs'!$D$28)^(EC$8-1)))</f>
        <v>576038.04488836066</v>
      </c>
      <c r="ED14" s="39" cm="1">
        <f t="array" ref="ED14">_xlfn.IFS('Redlands Inputs'!$G$12="Vacate",
_xlfn.IFS(ED$9=1,'Redlands Inputs'!$G$22,
ED$10&lt;='Redlands Inputs'!$H$20,'Redlands Inputs'!$G$22*(1+'Redlands Inputs'!$H$23)^(ED$8-1),
ED$10&gt;'Redlands Inputs'!$H$20,'Redlands Inputs'!$C$26*(1+'Redlands Inputs'!$D$28)^(ED$8-1)),
'Redlands Inputs'!$G$12="Market",
_xlfn.IFS(ED$9=1,'Redlands Inputs'!$G$22,
ED$10&lt;='Redlands Inputs'!$H$20,'Redlands Inputs'!$G$22*(1+'Redlands Inputs'!$H$23)^(ED$8-1),
ED$10&gt;'Redlands Inputs'!$H$20,(('Redlands Inputs'!$K$17*'Redlands Inputs'!$H$17)/12)*(1+'Redlands Inputs'!$D$28)^(ED$8-1)))</f>
        <v>576038.04488836066</v>
      </c>
    </row>
    <row r="15" spans="1:134" ht="19.149999999999999" customHeight="1" x14ac:dyDescent="0.4">
      <c r="A15" s="9" t="s">
        <v>13</v>
      </c>
      <c r="B15" s="9"/>
      <c r="C15" s="40" cm="1">
        <f t="array" ref="C15">_xlfn.IFS('Redlands Inputs'!$G$12="Vacate",
IF(AND(C10&gt;'Redlands Inputs'!$H$20,C10&lt;'Redlands Inputs'!$D$24)=TRUE,-C$14,0),
'Redlands Inputs'!$G$12="Market",
IF(AND(C10&gt;'Redlands Inputs'!$H$20,C10&lt;EOMONTH('Redlands Inputs'!$H$20,'Redlands Inputs'!$K$18))=TRUE,-C$14,0),
'Redlands Inputs'!$G$12="Renew",0)</f>
        <v>0</v>
      </c>
      <c r="D15" s="40" cm="1">
        <f t="array" ref="D15">_xlfn.IFS('Redlands Inputs'!$G$12="Vacate",
IF(AND(D10&gt;'Redlands Inputs'!$H$20,D10&lt;'Redlands Inputs'!$D$24)=TRUE,-D$14,0),
'Redlands Inputs'!$G$12="Market",
IF(AND(D10&gt;'Redlands Inputs'!$H$20,D10&lt;EOMONTH('Redlands Inputs'!$H$20,'Redlands Inputs'!$K$18))=TRUE,-D$14,0),
'Redlands Inputs'!$G$12="Renew",0)</f>
        <v>0</v>
      </c>
      <c r="E15" s="40" cm="1">
        <f t="array" ref="E15">_xlfn.IFS('Redlands Inputs'!$G$12="Vacate",
IF(AND(E10&gt;'Redlands Inputs'!$H$20,E10&lt;'Redlands Inputs'!$D$24)=TRUE,-E$14,0),
'Redlands Inputs'!$G$12="Market",
IF(AND(E10&gt;'Redlands Inputs'!$H$20,E10&lt;EOMONTH('Redlands Inputs'!$H$20,'Redlands Inputs'!$K$18))=TRUE,-E$14,0),
'Redlands Inputs'!$G$12="Renew",0)</f>
        <v>0</v>
      </c>
      <c r="F15" s="40" cm="1">
        <f t="array" ref="F15">_xlfn.IFS('Redlands Inputs'!$G$12="Vacate",
IF(AND(F10&gt;'Redlands Inputs'!$H$20,F10&lt;'Redlands Inputs'!$D$24)=TRUE,-F$14,0),
'Redlands Inputs'!$G$12="Market",
IF(AND(F10&gt;'Redlands Inputs'!$H$20,F10&lt;EOMONTH('Redlands Inputs'!$H$20,'Redlands Inputs'!$K$18))=TRUE,-F$14,0),
'Redlands Inputs'!$G$12="Renew",0)</f>
        <v>0</v>
      </c>
      <c r="G15" s="40" cm="1">
        <f t="array" ref="G15">_xlfn.IFS('Redlands Inputs'!$G$12="Vacate",
IF(AND(G10&gt;'Redlands Inputs'!$H$20,G10&lt;'Redlands Inputs'!$D$24)=TRUE,-G$14,0),
'Redlands Inputs'!$G$12="Market",
IF(AND(G10&gt;'Redlands Inputs'!$H$20,G10&lt;EOMONTH('Redlands Inputs'!$H$20,'Redlands Inputs'!$K$18))=TRUE,-G$14,0),
'Redlands Inputs'!$G$12="Renew",0)</f>
        <v>0</v>
      </c>
      <c r="H15" s="40" cm="1">
        <f t="array" ref="H15">_xlfn.IFS('Redlands Inputs'!$G$12="Vacate",
IF(AND(H10&gt;'Redlands Inputs'!$H$20,H10&lt;'Redlands Inputs'!$D$24)=TRUE,-H$14,0),
'Redlands Inputs'!$G$12="Market",
IF(AND(H10&gt;'Redlands Inputs'!$H$20,H10&lt;EOMONTH('Redlands Inputs'!$H$20,'Redlands Inputs'!$K$18))=TRUE,-H$14,0),
'Redlands Inputs'!$G$12="Renew",0)</f>
        <v>0</v>
      </c>
      <c r="I15" s="40" cm="1">
        <f t="array" ref="I15">_xlfn.IFS('Redlands Inputs'!$G$12="Vacate",
IF(AND(I10&gt;'Redlands Inputs'!$H$20,I10&lt;'Redlands Inputs'!$D$24)=TRUE,-I$14,0),
'Redlands Inputs'!$G$12="Market",
IF(AND(I10&gt;'Redlands Inputs'!$H$20,I10&lt;EOMONTH('Redlands Inputs'!$H$20,'Redlands Inputs'!$K$18))=TRUE,-I$14,0),
'Redlands Inputs'!$G$12="Renew",0)</f>
        <v>0</v>
      </c>
      <c r="J15" s="40" cm="1">
        <f t="array" ref="J15">_xlfn.IFS('Redlands Inputs'!$G$12="Vacate",
IF(AND(J10&gt;'Redlands Inputs'!$H$20,J10&lt;'Redlands Inputs'!$D$24)=TRUE,-J$14,0),
'Redlands Inputs'!$G$12="Market",
IF(AND(J10&gt;'Redlands Inputs'!$H$20,J10&lt;EOMONTH('Redlands Inputs'!$H$20,'Redlands Inputs'!$K$18))=TRUE,-J$14,0),
'Redlands Inputs'!$G$12="Renew",0)</f>
        <v>0</v>
      </c>
      <c r="K15" s="40" cm="1">
        <f t="array" ref="K15">_xlfn.IFS('Redlands Inputs'!$G$12="Vacate",
IF(AND(K10&gt;'Redlands Inputs'!$H$20,K10&lt;'Redlands Inputs'!$D$24)=TRUE,-K$14,0),
'Redlands Inputs'!$G$12="Market",
IF(AND(K10&gt;'Redlands Inputs'!$H$20,K10&lt;EOMONTH('Redlands Inputs'!$H$20,'Redlands Inputs'!$K$18))=TRUE,-K$14,0),
'Redlands Inputs'!$G$12="Renew",0)</f>
        <v>0</v>
      </c>
      <c r="L15" s="40" cm="1">
        <f t="array" ref="L15">_xlfn.IFS('Redlands Inputs'!$G$12="Vacate",
IF(AND(L10&gt;'Redlands Inputs'!$H$20,L10&lt;'Redlands Inputs'!$D$24)=TRUE,-L$14,0),
'Redlands Inputs'!$G$12="Market",
IF(AND(L10&gt;'Redlands Inputs'!$H$20,L10&lt;EOMONTH('Redlands Inputs'!$H$20,'Redlands Inputs'!$K$18))=TRUE,-L$14,0),
'Redlands Inputs'!$G$12="Renew",0)</f>
        <v>0</v>
      </c>
      <c r="M15" s="40" cm="1">
        <f t="array" ref="M15">_xlfn.IFS('Redlands Inputs'!$G$12="Vacate",
IF(AND(M10&gt;'Redlands Inputs'!$H$20,M10&lt;'Redlands Inputs'!$D$24)=TRUE,-M$14,0),
'Redlands Inputs'!$G$12="Market",
IF(AND(M10&gt;'Redlands Inputs'!$H$20,M10&lt;EOMONTH('Redlands Inputs'!$H$20,'Redlands Inputs'!$K$18))=TRUE,-M$14,0),
'Redlands Inputs'!$G$12="Renew",0)</f>
        <v>0</v>
      </c>
      <c r="N15" s="40" cm="1">
        <f t="array" ref="N15">_xlfn.IFS('Redlands Inputs'!$G$12="Vacate",
IF(AND(N10&gt;'Redlands Inputs'!$H$20,N10&lt;'Redlands Inputs'!$D$24)=TRUE,-N$14,0),
'Redlands Inputs'!$G$12="Market",
IF(AND(N10&gt;'Redlands Inputs'!$H$20,N10&lt;EOMONTH('Redlands Inputs'!$H$20,'Redlands Inputs'!$K$18))=TRUE,-N$14,0),
'Redlands Inputs'!$G$12="Renew",0)</f>
        <v>0</v>
      </c>
      <c r="O15" s="40" cm="1">
        <f t="array" ref="O15">_xlfn.IFS('Redlands Inputs'!$G$12="Vacate",
IF(AND(O10&gt;'Redlands Inputs'!$H$20,O10&lt;'Redlands Inputs'!$D$24)=TRUE,-O$14,0),
'Redlands Inputs'!$G$12="Market",
IF(AND(O10&gt;'Redlands Inputs'!$H$20,O10&lt;EOMONTH('Redlands Inputs'!$H$20,'Redlands Inputs'!$K$18))=TRUE,-O$14,0),
'Redlands Inputs'!$G$12="Renew",0)</f>
        <v>0</v>
      </c>
      <c r="P15" s="40" cm="1">
        <f t="array" ref="P15">_xlfn.IFS('Redlands Inputs'!$G$12="Vacate",
IF(AND(P10&gt;'Redlands Inputs'!$H$20,P10&lt;'Redlands Inputs'!$D$24)=TRUE,-P$14,0),
'Redlands Inputs'!$G$12="Market",
IF(AND(P10&gt;'Redlands Inputs'!$H$20,P10&lt;EOMONTH('Redlands Inputs'!$H$20,'Redlands Inputs'!$K$18))=TRUE,-P$14,0),
'Redlands Inputs'!$G$12="Renew",0)</f>
        <v>0</v>
      </c>
      <c r="Q15" s="40" cm="1">
        <f t="array" ref="Q15">_xlfn.IFS('Redlands Inputs'!$G$12="Vacate",
IF(AND(Q10&gt;'Redlands Inputs'!$H$20,Q10&lt;'Redlands Inputs'!$D$24)=TRUE,-Q$14,0),
'Redlands Inputs'!$G$12="Market",
IF(AND(Q10&gt;'Redlands Inputs'!$H$20,Q10&lt;EOMONTH('Redlands Inputs'!$H$20,'Redlands Inputs'!$K$18))=TRUE,-Q$14,0),
'Redlands Inputs'!$G$12="Renew",0)</f>
        <v>0</v>
      </c>
      <c r="R15" s="40" cm="1">
        <f t="array" ref="R15">_xlfn.IFS('Redlands Inputs'!$G$12="Vacate",
IF(AND(R10&gt;'Redlands Inputs'!$H$20,R10&lt;'Redlands Inputs'!$D$24)=TRUE,-R$14,0),
'Redlands Inputs'!$G$12="Market",
IF(AND(R10&gt;'Redlands Inputs'!$H$20,R10&lt;EOMONTH('Redlands Inputs'!$H$20,'Redlands Inputs'!$K$18))=TRUE,-R$14,0),
'Redlands Inputs'!$G$12="Renew",0)</f>
        <v>0</v>
      </c>
      <c r="S15" s="40" cm="1">
        <f t="array" ref="S15">_xlfn.IFS('Redlands Inputs'!$G$12="Vacate",
IF(AND(S10&gt;'Redlands Inputs'!$H$20,S10&lt;'Redlands Inputs'!$D$24)=TRUE,-S$14,0),
'Redlands Inputs'!$G$12="Market",
IF(AND(S10&gt;'Redlands Inputs'!$H$20,S10&lt;EOMONTH('Redlands Inputs'!$H$20,'Redlands Inputs'!$K$18))=TRUE,-S$14,0),
'Redlands Inputs'!$G$12="Renew",0)</f>
        <v>0</v>
      </c>
      <c r="T15" s="40" cm="1">
        <f t="array" ref="T15">_xlfn.IFS('Redlands Inputs'!$G$12="Vacate",
IF(AND(T10&gt;'Redlands Inputs'!$H$20,T10&lt;'Redlands Inputs'!$D$24)=TRUE,-T$14,0),
'Redlands Inputs'!$G$12="Market",
IF(AND(T10&gt;'Redlands Inputs'!$H$20,T10&lt;EOMONTH('Redlands Inputs'!$H$20,'Redlands Inputs'!$K$18))=TRUE,-T$14,0),
'Redlands Inputs'!$G$12="Renew",0)</f>
        <v>0</v>
      </c>
      <c r="U15" s="40" cm="1">
        <f t="array" ref="U15">_xlfn.IFS('Redlands Inputs'!$G$12="Vacate",
IF(AND(U10&gt;'Redlands Inputs'!$H$20,U10&lt;'Redlands Inputs'!$D$24)=TRUE,-U$14,0),
'Redlands Inputs'!$G$12="Market",
IF(AND(U10&gt;'Redlands Inputs'!$H$20,U10&lt;EOMONTH('Redlands Inputs'!$H$20,'Redlands Inputs'!$K$18))=TRUE,-U$14,0),
'Redlands Inputs'!$G$12="Renew",0)</f>
        <v>0</v>
      </c>
      <c r="V15" s="40" cm="1">
        <f t="array" ref="V15">_xlfn.IFS('Redlands Inputs'!$G$12="Vacate",
IF(AND(V10&gt;'Redlands Inputs'!$H$20,V10&lt;'Redlands Inputs'!$D$24)=TRUE,-V$14,0),
'Redlands Inputs'!$G$12="Market",
IF(AND(V10&gt;'Redlands Inputs'!$H$20,V10&lt;EOMONTH('Redlands Inputs'!$H$20,'Redlands Inputs'!$K$18))=TRUE,-V$14,0),
'Redlands Inputs'!$G$12="Renew",0)</f>
        <v>0</v>
      </c>
      <c r="W15" s="40" cm="1">
        <f t="array" ref="W15">_xlfn.IFS('Redlands Inputs'!$G$12="Vacate",
IF(AND(W10&gt;'Redlands Inputs'!$H$20,W10&lt;'Redlands Inputs'!$D$24)=TRUE,-W$14,0),
'Redlands Inputs'!$G$12="Market",
IF(AND(W10&gt;'Redlands Inputs'!$H$20,W10&lt;EOMONTH('Redlands Inputs'!$H$20,'Redlands Inputs'!$K$18))=TRUE,-W$14,0),
'Redlands Inputs'!$G$12="Renew",0)</f>
        <v>0</v>
      </c>
      <c r="X15" s="40" cm="1">
        <f t="array" ref="X15">_xlfn.IFS('Redlands Inputs'!$G$12="Vacate",
IF(AND(X10&gt;'Redlands Inputs'!$H$20,X10&lt;'Redlands Inputs'!$D$24)=TRUE,-X$14,0),
'Redlands Inputs'!$G$12="Market",
IF(AND(X10&gt;'Redlands Inputs'!$H$20,X10&lt;EOMONTH('Redlands Inputs'!$H$20,'Redlands Inputs'!$K$18))=TRUE,-X$14,0),
'Redlands Inputs'!$G$12="Renew",0)</f>
        <v>0</v>
      </c>
      <c r="Y15" s="40" cm="1">
        <f t="array" ref="Y15">_xlfn.IFS('Redlands Inputs'!$G$12="Vacate",
IF(AND(Y10&gt;'Redlands Inputs'!$H$20,Y10&lt;'Redlands Inputs'!$D$24)=TRUE,-Y$14,0),
'Redlands Inputs'!$G$12="Market",
IF(AND(Y10&gt;'Redlands Inputs'!$H$20,Y10&lt;EOMONTH('Redlands Inputs'!$H$20,'Redlands Inputs'!$K$18))=TRUE,-Y$14,0),
'Redlands Inputs'!$G$12="Renew",0)</f>
        <v>0</v>
      </c>
      <c r="Z15" s="40" cm="1">
        <f t="array" ref="Z15">_xlfn.IFS('Redlands Inputs'!$G$12="Vacate",
IF(AND(Z10&gt;'Redlands Inputs'!$H$20,Z10&lt;'Redlands Inputs'!$D$24)=TRUE,-Z$14,0),
'Redlands Inputs'!$G$12="Market",
IF(AND(Z10&gt;'Redlands Inputs'!$H$20,Z10&lt;EOMONTH('Redlands Inputs'!$H$20,'Redlands Inputs'!$K$18))=TRUE,-Z$14,0),
'Redlands Inputs'!$G$12="Renew",0)</f>
        <v>0</v>
      </c>
      <c r="AA15" s="40" cm="1">
        <f t="array" ref="AA15">_xlfn.IFS('Redlands Inputs'!$G$12="Vacate",
IF(AND(AA10&gt;'Redlands Inputs'!$H$20,AA10&lt;'Redlands Inputs'!$D$24)=TRUE,-AA$14,0),
'Redlands Inputs'!$G$12="Market",
IF(AND(AA10&gt;'Redlands Inputs'!$H$20,AA10&lt;EOMONTH('Redlands Inputs'!$H$20,'Redlands Inputs'!$K$18))=TRUE,-AA$14,0),
'Redlands Inputs'!$G$12="Renew",0)</f>
        <v>0</v>
      </c>
      <c r="AB15" s="40" cm="1">
        <f t="array" ref="AB15">_xlfn.IFS('Redlands Inputs'!$G$12="Vacate",
IF(AND(AB10&gt;'Redlands Inputs'!$H$20,AB10&lt;'Redlands Inputs'!$D$24)=TRUE,-AB$14,0),
'Redlands Inputs'!$G$12="Market",
IF(AND(AB10&gt;'Redlands Inputs'!$H$20,AB10&lt;EOMONTH('Redlands Inputs'!$H$20,'Redlands Inputs'!$K$18))=TRUE,-AB$14,0),
'Redlands Inputs'!$G$12="Renew",0)</f>
        <v>0</v>
      </c>
      <c r="AC15" s="40" cm="1">
        <f t="array" ref="AC15">_xlfn.IFS('Redlands Inputs'!$G$12="Vacate",
IF(AND(AC10&gt;'Redlands Inputs'!$H$20,AC10&lt;'Redlands Inputs'!$D$24)=TRUE,-AC$14,0),
'Redlands Inputs'!$G$12="Market",
IF(AND(AC10&gt;'Redlands Inputs'!$H$20,AC10&lt;EOMONTH('Redlands Inputs'!$H$20,'Redlands Inputs'!$K$18))=TRUE,-AC$14,0),
'Redlands Inputs'!$G$12="Renew",0)</f>
        <v>0</v>
      </c>
      <c r="AD15" s="40" cm="1">
        <f t="array" ref="AD15">_xlfn.IFS('Redlands Inputs'!$G$12="Vacate",
IF(AND(AD10&gt;'Redlands Inputs'!$H$20,AD10&lt;'Redlands Inputs'!$D$24)=TRUE,-AD$14,0),
'Redlands Inputs'!$G$12="Market",
IF(AND(AD10&gt;'Redlands Inputs'!$H$20,AD10&lt;EOMONTH('Redlands Inputs'!$H$20,'Redlands Inputs'!$K$18))=TRUE,-AD$14,0),
'Redlands Inputs'!$G$12="Renew",0)</f>
        <v>0</v>
      </c>
      <c r="AE15" s="40" cm="1">
        <f t="array" ref="AE15">_xlfn.IFS('Redlands Inputs'!$G$12="Vacate",
IF(AND(AE10&gt;'Redlands Inputs'!$H$20,AE10&lt;'Redlands Inputs'!$D$24)=TRUE,-AE$14,0),
'Redlands Inputs'!$G$12="Market",
IF(AND(AE10&gt;'Redlands Inputs'!$H$20,AE10&lt;EOMONTH('Redlands Inputs'!$H$20,'Redlands Inputs'!$K$18))=TRUE,-AE$14,0),
'Redlands Inputs'!$G$12="Renew",0)</f>
        <v>0</v>
      </c>
      <c r="AF15" s="40" cm="1">
        <f t="array" ref="AF15">_xlfn.IFS('Redlands Inputs'!$G$12="Vacate",
IF(AND(AF10&gt;'Redlands Inputs'!$H$20,AF10&lt;'Redlands Inputs'!$D$24)=TRUE,-AF$14,0),
'Redlands Inputs'!$G$12="Market",
IF(AND(AF10&gt;'Redlands Inputs'!$H$20,AF10&lt;EOMONTH('Redlands Inputs'!$H$20,'Redlands Inputs'!$K$18))=TRUE,-AF$14,0),
'Redlands Inputs'!$G$12="Renew",0)</f>
        <v>0</v>
      </c>
      <c r="AG15" s="40" cm="1">
        <f t="array" ref="AG15">_xlfn.IFS('Redlands Inputs'!$G$12="Vacate",
IF(AND(AG10&gt;'Redlands Inputs'!$H$20,AG10&lt;'Redlands Inputs'!$D$24)=TRUE,-AG$14,0),
'Redlands Inputs'!$G$12="Market",
IF(AND(AG10&gt;'Redlands Inputs'!$H$20,AG10&lt;EOMONTH('Redlands Inputs'!$H$20,'Redlands Inputs'!$K$18))=TRUE,-AG$14,0),
'Redlands Inputs'!$G$12="Renew",0)</f>
        <v>0</v>
      </c>
      <c r="AH15" s="40" cm="1">
        <f t="array" ref="AH15">_xlfn.IFS('Redlands Inputs'!$G$12="Vacate",
IF(AND(AH10&gt;'Redlands Inputs'!$H$20,AH10&lt;'Redlands Inputs'!$D$24)=TRUE,-AH$14,0),
'Redlands Inputs'!$G$12="Market",
IF(AND(AH10&gt;'Redlands Inputs'!$H$20,AH10&lt;EOMONTH('Redlands Inputs'!$H$20,'Redlands Inputs'!$K$18))=TRUE,-AH$14,0),
'Redlands Inputs'!$G$12="Renew",0)</f>
        <v>0</v>
      </c>
      <c r="AI15" s="40" cm="1">
        <f t="array" ref="AI15">_xlfn.IFS('Redlands Inputs'!$G$12="Vacate",
IF(AND(AI10&gt;'Redlands Inputs'!$H$20,AI10&lt;'Redlands Inputs'!$D$24)=TRUE,-AI$14,0),
'Redlands Inputs'!$G$12="Market",
IF(AND(AI10&gt;'Redlands Inputs'!$H$20,AI10&lt;EOMONTH('Redlands Inputs'!$H$20,'Redlands Inputs'!$K$18))=TRUE,-AI$14,0),
'Redlands Inputs'!$G$12="Renew",0)</f>
        <v>0</v>
      </c>
      <c r="AJ15" s="40" cm="1">
        <f t="array" ref="AJ15">_xlfn.IFS('Redlands Inputs'!$G$12="Vacate",
IF(AND(AJ10&gt;'Redlands Inputs'!$H$20,AJ10&lt;'Redlands Inputs'!$D$24)=TRUE,-AJ$14,0),
'Redlands Inputs'!$G$12="Market",
IF(AND(AJ10&gt;'Redlands Inputs'!$H$20,AJ10&lt;EOMONTH('Redlands Inputs'!$H$20,'Redlands Inputs'!$K$18))=TRUE,-AJ$14,0),
'Redlands Inputs'!$G$12="Renew",0)</f>
        <v>0</v>
      </c>
      <c r="AK15" s="40" cm="1">
        <f t="array" ref="AK15">_xlfn.IFS('Redlands Inputs'!$G$12="Vacate",
IF(AND(AK10&gt;'Redlands Inputs'!$H$20,AK10&lt;'Redlands Inputs'!$D$24)=TRUE,-AK$14,0),
'Redlands Inputs'!$G$12="Market",
IF(AND(AK10&gt;'Redlands Inputs'!$H$20,AK10&lt;EOMONTH('Redlands Inputs'!$H$20,'Redlands Inputs'!$K$18))=TRUE,-AK$14,0),
'Redlands Inputs'!$G$12="Renew",0)</f>
        <v>0</v>
      </c>
      <c r="AL15" s="40" cm="1">
        <f t="array" ref="AL15">_xlfn.IFS('Redlands Inputs'!$G$12="Vacate",
IF(AND(AL10&gt;'Redlands Inputs'!$H$20,AL10&lt;'Redlands Inputs'!$D$24)=TRUE,-AL$14,0),
'Redlands Inputs'!$G$12="Market",
IF(AND(AL10&gt;'Redlands Inputs'!$H$20,AL10&lt;EOMONTH('Redlands Inputs'!$H$20,'Redlands Inputs'!$K$18))=TRUE,-AL$14,0),
'Redlands Inputs'!$G$12="Renew",0)</f>
        <v>0</v>
      </c>
      <c r="AM15" s="40" cm="1">
        <f t="array" ref="AM15">_xlfn.IFS('Redlands Inputs'!$G$12="Vacate",
IF(AND(AM10&gt;'Redlands Inputs'!$H$20,AM10&lt;'Redlands Inputs'!$D$24)=TRUE,-AM$14,0),
'Redlands Inputs'!$G$12="Market",
IF(AND(AM10&gt;'Redlands Inputs'!$H$20,AM10&lt;EOMONTH('Redlands Inputs'!$H$20,'Redlands Inputs'!$K$18))=TRUE,-AM$14,0),
'Redlands Inputs'!$G$12="Renew",0)</f>
        <v>0</v>
      </c>
      <c r="AN15" s="40" cm="1">
        <f t="array" ref="AN15">_xlfn.IFS('Redlands Inputs'!$G$12="Vacate",
IF(AND(AN10&gt;'Redlands Inputs'!$H$20,AN10&lt;'Redlands Inputs'!$D$24)=TRUE,-AN$14,0),
'Redlands Inputs'!$G$12="Market",
IF(AND(AN10&gt;'Redlands Inputs'!$H$20,AN10&lt;EOMONTH('Redlands Inputs'!$H$20,'Redlands Inputs'!$K$18))=TRUE,-AN$14,0),
'Redlands Inputs'!$G$12="Renew",0)</f>
        <v>0</v>
      </c>
      <c r="AO15" s="40" cm="1">
        <f t="array" ref="AO15">_xlfn.IFS('Redlands Inputs'!$G$12="Vacate",
IF(AND(AO10&gt;'Redlands Inputs'!$H$20,AO10&lt;'Redlands Inputs'!$D$24)=TRUE,-AO$14,0),
'Redlands Inputs'!$G$12="Market",
IF(AND(AO10&gt;'Redlands Inputs'!$H$20,AO10&lt;EOMONTH('Redlands Inputs'!$H$20,'Redlands Inputs'!$K$18))=TRUE,-AO$14,0),
'Redlands Inputs'!$G$12="Renew",0)</f>
        <v>0</v>
      </c>
      <c r="AP15" s="40" cm="1">
        <f t="array" ref="AP15">_xlfn.IFS('Redlands Inputs'!$G$12="Vacate",
IF(AND(AP10&gt;'Redlands Inputs'!$H$20,AP10&lt;'Redlands Inputs'!$D$24)=TRUE,-AP$14,0),
'Redlands Inputs'!$G$12="Market",
IF(AND(AP10&gt;'Redlands Inputs'!$H$20,AP10&lt;EOMONTH('Redlands Inputs'!$H$20,'Redlands Inputs'!$K$18))=TRUE,-AP$14,0),
'Redlands Inputs'!$G$12="Renew",0)</f>
        <v>0</v>
      </c>
      <c r="AQ15" s="40" cm="1">
        <f t="array" ref="AQ15">_xlfn.IFS('Redlands Inputs'!$G$12="Vacate",
IF(AND(AQ10&gt;'Redlands Inputs'!$H$20,AQ10&lt;'Redlands Inputs'!$D$24)=TRUE,-AQ$14,0),
'Redlands Inputs'!$G$12="Market",
IF(AND(AQ10&gt;'Redlands Inputs'!$H$20,AQ10&lt;EOMONTH('Redlands Inputs'!$H$20,'Redlands Inputs'!$K$18))=TRUE,-AQ$14,0),
'Redlands Inputs'!$G$12="Renew",0)</f>
        <v>0</v>
      </c>
      <c r="AR15" s="40" cm="1">
        <f t="array" ref="AR15">_xlfn.IFS('Redlands Inputs'!$G$12="Vacate",
IF(AND(AR10&gt;'Redlands Inputs'!$H$20,AR10&lt;'Redlands Inputs'!$D$24)=TRUE,-AR$14,0),
'Redlands Inputs'!$G$12="Market",
IF(AND(AR10&gt;'Redlands Inputs'!$H$20,AR10&lt;EOMONTH('Redlands Inputs'!$H$20,'Redlands Inputs'!$K$18))=TRUE,-AR$14,0),
'Redlands Inputs'!$G$12="Renew",0)</f>
        <v>0</v>
      </c>
      <c r="AS15" s="40" cm="1">
        <f t="array" ref="AS15">_xlfn.IFS('Redlands Inputs'!$G$12="Vacate",
IF(AND(AS10&gt;'Redlands Inputs'!$H$20,AS10&lt;'Redlands Inputs'!$D$24)=TRUE,-AS$14,0),
'Redlands Inputs'!$G$12="Market",
IF(AND(AS10&gt;'Redlands Inputs'!$H$20,AS10&lt;EOMONTH('Redlands Inputs'!$H$20,'Redlands Inputs'!$K$18))=TRUE,-AS$14,0),
'Redlands Inputs'!$G$12="Renew",0)</f>
        <v>0</v>
      </c>
      <c r="AT15" s="40" cm="1">
        <f t="array" ref="AT15">_xlfn.IFS('Redlands Inputs'!$G$12="Vacate",
IF(AND(AT10&gt;'Redlands Inputs'!$H$20,AT10&lt;'Redlands Inputs'!$D$24)=TRUE,-AT$14,0),
'Redlands Inputs'!$G$12="Market",
IF(AND(AT10&gt;'Redlands Inputs'!$H$20,AT10&lt;EOMONTH('Redlands Inputs'!$H$20,'Redlands Inputs'!$K$18))=TRUE,-AT$14,0),
'Redlands Inputs'!$G$12="Renew",0)</f>
        <v>0</v>
      </c>
      <c r="AU15" s="40" cm="1">
        <f t="array" ref="AU15">_xlfn.IFS('Redlands Inputs'!$G$12="Vacate",
IF(AND(AU10&gt;'Redlands Inputs'!$H$20,AU10&lt;'Redlands Inputs'!$D$24)=TRUE,-AU$14,0),
'Redlands Inputs'!$G$12="Market",
IF(AND(AU10&gt;'Redlands Inputs'!$H$20,AU10&lt;EOMONTH('Redlands Inputs'!$H$20,'Redlands Inputs'!$K$18))=TRUE,-AU$14,0),
'Redlands Inputs'!$G$12="Renew",0)</f>
        <v>0</v>
      </c>
      <c r="AV15" s="40" cm="1">
        <f t="array" ref="AV15">_xlfn.IFS('Redlands Inputs'!$G$12="Vacate",
IF(AND(AV10&gt;'Redlands Inputs'!$H$20,AV10&lt;'Redlands Inputs'!$D$24)=TRUE,-AV$14,0),
'Redlands Inputs'!$G$12="Market",
IF(AND(AV10&gt;'Redlands Inputs'!$H$20,AV10&lt;EOMONTH('Redlands Inputs'!$H$20,'Redlands Inputs'!$K$18))=TRUE,-AV$14,0),
'Redlands Inputs'!$G$12="Renew",0)</f>
        <v>0</v>
      </c>
      <c r="AW15" s="40" cm="1">
        <f t="array" ref="AW15">_xlfn.IFS('Redlands Inputs'!$G$12="Vacate",
IF(AND(AW10&gt;'Redlands Inputs'!$H$20,AW10&lt;'Redlands Inputs'!$D$24)=TRUE,-AW$14,0),
'Redlands Inputs'!$G$12="Market",
IF(AND(AW10&gt;'Redlands Inputs'!$H$20,AW10&lt;EOMONTH('Redlands Inputs'!$H$20,'Redlands Inputs'!$K$18))=TRUE,-AW$14,0),
'Redlands Inputs'!$G$12="Renew",0)</f>
        <v>0</v>
      </c>
      <c r="AX15" s="40" cm="1">
        <f t="array" ref="AX15">_xlfn.IFS('Redlands Inputs'!$G$12="Vacate",
IF(AND(AX10&gt;'Redlands Inputs'!$H$20,AX10&lt;'Redlands Inputs'!$D$24)=TRUE,-AX$14,0),
'Redlands Inputs'!$G$12="Market",
IF(AND(AX10&gt;'Redlands Inputs'!$H$20,AX10&lt;EOMONTH('Redlands Inputs'!$H$20,'Redlands Inputs'!$K$18))=TRUE,-AX$14,0),
'Redlands Inputs'!$G$12="Renew",0)</f>
        <v>0</v>
      </c>
      <c r="AY15" s="40" cm="1">
        <f t="array" ref="AY15">_xlfn.IFS('Redlands Inputs'!$G$12="Vacate",
IF(AND(AY10&gt;'Redlands Inputs'!$H$20,AY10&lt;'Redlands Inputs'!$D$24)=TRUE,-AY$14,0),
'Redlands Inputs'!$G$12="Market",
IF(AND(AY10&gt;'Redlands Inputs'!$H$20,AY10&lt;EOMONTH('Redlands Inputs'!$H$20,'Redlands Inputs'!$K$18))=TRUE,-AY$14,0),
'Redlands Inputs'!$G$12="Renew",0)</f>
        <v>0</v>
      </c>
      <c r="AZ15" s="40" cm="1">
        <f t="array" ref="AZ15">_xlfn.IFS('Redlands Inputs'!$G$12="Vacate",
IF(AND(AZ10&gt;'Redlands Inputs'!$H$20,AZ10&lt;'Redlands Inputs'!$D$24)=TRUE,-AZ$14,0),
'Redlands Inputs'!$G$12="Market",
IF(AND(AZ10&gt;'Redlands Inputs'!$H$20,AZ10&lt;EOMONTH('Redlands Inputs'!$H$20,'Redlands Inputs'!$K$18))=TRUE,-AZ$14,0),
'Redlands Inputs'!$G$12="Renew",0)</f>
        <v>0</v>
      </c>
      <c r="BA15" s="40" cm="1">
        <f t="array" ref="BA15">_xlfn.IFS('Redlands Inputs'!$G$12="Vacate",
IF(AND(BA10&gt;'Redlands Inputs'!$H$20,BA10&lt;'Redlands Inputs'!$D$24)=TRUE,-BA$14,0),
'Redlands Inputs'!$G$12="Market",
IF(AND(BA10&gt;'Redlands Inputs'!$H$20,BA10&lt;EOMONTH('Redlands Inputs'!$H$20,'Redlands Inputs'!$K$18))=TRUE,-BA$14,0),
'Redlands Inputs'!$G$12="Renew",0)</f>
        <v>0</v>
      </c>
      <c r="BB15" s="40" cm="1">
        <f t="array" ref="BB15">_xlfn.IFS('Redlands Inputs'!$G$12="Vacate",
IF(AND(BB10&gt;'Redlands Inputs'!$H$20,BB10&lt;'Redlands Inputs'!$D$24)=TRUE,-BB$14,0),
'Redlands Inputs'!$G$12="Market",
IF(AND(BB10&gt;'Redlands Inputs'!$H$20,BB10&lt;EOMONTH('Redlands Inputs'!$H$20,'Redlands Inputs'!$K$18))=TRUE,-BB$14,0),
'Redlands Inputs'!$G$12="Renew",0)</f>
        <v>0</v>
      </c>
      <c r="BC15" s="40" cm="1">
        <f t="array" ref="BC15">_xlfn.IFS('Redlands Inputs'!$G$12="Vacate",
IF(AND(BC10&gt;'Redlands Inputs'!$H$20,BC10&lt;'Redlands Inputs'!$D$24)=TRUE,-BC$14,0),
'Redlands Inputs'!$G$12="Market",
IF(AND(BC10&gt;'Redlands Inputs'!$H$20,BC10&lt;EOMONTH('Redlands Inputs'!$H$20,'Redlands Inputs'!$K$18))=TRUE,-BC$14,0),
'Redlands Inputs'!$G$12="Renew",0)</f>
        <v>0</v>
      </c>
      <c r="BD15" s="40" cm="1">
        <f t="array" ref="BD15">_xlfn.IFS('Redlands Inputs'!$G$12="Vacate",
IF(AND(BD10&gt;'Redlands Inputs'!$H$20,BD10&lt;'Redlands Inputs'!$D$24)=TRUE,-BD$14,0),
'Redlands Inputs'!$G$12="Market",
IF(AND(BD10&gt;'Redlands Inputs'!$H$20,BD10&lt;EOMONTH('Redlands Inputs'!$H$20,'Redlands Inputs'!$K$18))=TRUE,-BD$14,0),
'Redlands Inputs'!$G$12="Renew",0)</f>
        <v>0</v>
      </c>
      <c r="BE15" s="40" cm="1">
        <f t="array" ref="BE15">_xlfn.IFS('Redlands Inputs'!$G$12="Vacate",
IF(AND(BE10&gt;'Redlands Inputs'!$H$20,BE10&lt;'Redlands Inputs'!$D$24)=TRUE,-BE$14,0),
'Redlands Inputs'!$G$12="Market",
IF(AND(BE10&gt;'Redlands Inputs'!$H$20,BE10&lt;EOMONTH('Redlands Inputs'!$H$20,'Redlands Inputs'!$K$18))=TRUE,-BE$14,0),
'Redlands Inputs'!$G$12="Renew",0)</f>
        <v>0</v>
      </c>
      <c r="BF15" s="40" cm="1">
        <f t="array" ref="BF15">_xlfn.IFS('Redlands Inputs'!$G$12="Vacate",
IF(AND(BF10&gt;'Redlands Inputs'!$H$20,BF10&lt;'Redlands Inputs'!$D$24)=TRUE,-BF$14,0),
'Redlands Inputs'!$G$12="Market",
IF(AND(BF10&gt;'Redlands Inputs'!$H$20,BF10&lt;EOMONTH('Redlands Inputs'!$H$20,'Redlands Inputs'!$K$18))=TRUE,-BF$14,0),
'Redlands Inputs'!$G$12="Renew",0)</f>
        <v>0</v>
      </c>
      <c r="BG15" s="40" cm="1">
        <f t="array" ref="BG15">_xlfn.IFS('Redlands Inputs'!$G$12="Vacate",
IF(AND(BG10&gt;'Redlands Inputs'!$H$20,BG10&lt;'Redlands Inputs'!$D$24)=TRUE,-BG$14,0),
'Redlands Inputs'!$G$12="Market",
IF(AND(BG10&gt;'Redlands Inputs'!$H$20,BG10&lt;EOMONTH('Redlands Inputs'!$H$20,'Redlands Inputs'!$K$18))=TRUE,-BG$14,0),
'Redlands Inputs'!$G$12="Renew",0)</f>
        <v>0</v>
      </c>
      <c r="BH15" s="40" cm="1">
        <f t="array" ref="BH15">_xlfn.IFS('Redlands Inputs'!$G$12="Vacate",
IF(AND(BH10&gt;'Redlands Inputs'!$H$20,BH10&lt;'Redlands Inputs'!$D$24)=TRUE,-BH$14,0),
'Redlands Inputs'!$G$12="Market",
IF(AND(BH10&gt;'Redlands Inputs'!$H$20,BH10&lt;EOMONTH('Redlands Inputs'!$H$20,'Redlands Inputs'!$K$18))=TRUE,-BH$14,0),
'Redlands Inputs'!$G$12="Renew",0)</f>
        <v>0</v>
      </c>
      <c r="BI15" s="40" cm="1">
        <f t="array" ref="BI15">_xlfn.IFS('Redlands Inputs'!$G$12="Vacate",
IF(AND(BI10&gt;'Redlands Inputs'!$H$20,BI10&lt;'Redlands Inputs'!$D$24)=TRUE,-BI$14,0),
'Redlands Inputs'!$G$12="Market",
IF(AND(BI10&gt;'Redlands Inputs'!$H$20,BI10&lt;EOMONTH('Redlands Inputs'!$H$20,'Redlands Inputs'!$K$18))=TRUE,-BI$14,0),
'Redlands Inputs'!$G$12="Renew",0)</f>
        <v>0</v>
      </c>
      <c r="BJ15" s="40" cm="1">
        <f t="array" ref="BJ15">_xlfn.IFS('Redlands Inputs'!$G$12="Vacate",
IF(AND(BJ10&gt;'Redlands Inputs'!$H$20,BJ10&lt;'Redlands Inputs'!$D$24)=TRUE,-BJ$14,0),
'Redlands Inputs'!$G$12="Market",
IF(AND(BJ10&gt;'Redlands Inputs'!$H$20,BJ10&lt;EOMONTH('Redlands Inputs'!$H$20,'Redlands Inputs'!$K$18))=TRUE,-BJ$14,0),
'Redlands Inputs'!$G$12="Renew",0)</f>
        <v>0</v>
      </c>
      <c r="BK15" s="40" cm="1">
        <f t="array" ref="BK15">_xlfn.IFS('Redlands Inputs'!$G$12="Vacate",
IF(AND(BK10&gt;'Redlands Inputs'!$H$20,BK10&lt;'Redlands Inputs'!$D$24)=TRUE,-BK$14,0),
'Redlands Inputs'!$G$12="Market",
IF(AND(BK10&gt;'Redlands Inputs'!$H$20,BK10&lt;EOMONTH('Redlands Inputs'!$H$20,'Redlands Inputs'!$K$18))=TRUE,-BK$14,0),
'Redlands Inputs'!$G$12="Renew",0)</f>
        <v>0</v>
      </c>
      <c r="BL15" s="40" cm="1">
        <f t="array" ref="BL15">_xlfn.IFS('Redlands Inputs'!$G$12="Vacate",
IF(AND(BL10&gt;'Redlands Inputs'!$H$20,BL10&lt;'Redlands Inputs'!$D$24)=TRUE,-BL$14,0),
'Redlands Inputs'!$G$12="Market",
IF(AND(BL10&gt;'Redlands Inputs'!$H$20,BL10&lt;EOMONTH('Redlands Inputs'!$H$20,'Redlands Inputs'!$K$18))=TRUE,-BL$14,0),
'Redlands Inputs'!$G$12="Renew",0)</f>
        <v>0</v>
      </c>
      <c r="BM15" s="40" cm="1">
        <f t="array" ref="BM15">_xlfn.IFS('Redlands Inputs'!$G$12="Vacate",
IF(AND(BM10&gt;'Redlands Inputs'!$H$20,BM10&lt;'Redlands Inputs'!$D$24)=TRUE,-BM$14,0),
'Redlands Inputs'!$G$12="Market",
IF(AND(BM10&gt;'Redlands Inputs'!$H$20,BM10&lt;EOMONTH('Redlands Inputs'!$H$20,'Redlands Inputs'!$K$18))=TRUE,-BM$14,0),
'Redlands Inputs'!$G$12="Renew",0)</f>
        <v>0</v>
      </c>
      <c r="BN15" s="40" cm="1">
        <f t="array" ref="BN15">_xlfn.IFS('Redlands Inputs'!$G$12="Vacate",
IF(AND(BN10&gt;'Redlands Inputs'!$H$20,BN10&lt;'Redlands Inputs'!$D$24)=TRUE,-BN$14,0),
'Redlands Inputs'!$G$12="Market",
IF(AND(BN10&gt;'Redlands Inputs'!$H$20,BN10&lt;EOMONTH('Redlands Inputs'!$H$20,'Redlands Inputs'!$K$18))=TRUE,-BN$14,0),
'Redlands Inputs'!$G$12="Renew",0)</f>
        <v>0</v>
      </c>
      <c r="BO15" s="40" cm="1">
        <f t="array" ref="BO15">_xlfn.IFS('Redlands Inputs'!$G$12="Vacate",
IF(AND(BO10&gt;'Redlands Inputs'!$H$20,BO10&lt;'Redlands Inputs'!$D$24)=TRUE,-BO$14,0),
'Redlands Inputs'!$G$12="Market",
IF(AND(BO10&gt;'Redlands Inputs'!$H$20,BO10&lt;EOMONTH('Redlands Inputs'!$H$20,'Redlands Inputs'!$K$18))=TRUE,-BO$14,0),
'Redlands Inputs'!$G$12="Renew",0)</f>
        <v>0</v>
      </c>
      <c r="BP15" s="40" cm="1">
        <f t="array" ref="BP15">_xlfn.IFS('Redlands Inputs'!$G$12="Vacate",
IF(AND(BP10&gt;'Redlands Inputs'!$H$20,BP10&lt;'Redlands Inputs'!$D$24)=TRUE,-BP$14,0),
'Redlands Inputs'!$G$12="Market",
IF(AND(BP10&gt;'Redlands Inputs'!$H$20,BP10&lt;EOMONTH('Redlands Inputs'!$H$20,'Redlands Inputs'!$K$18))=TRUE,-BP$14,0),
'Redlands Inputs'!$G$12="Renew",0)</f>
        <v>0</v>
      </c>
      <c r="BQ15" s="40" cm="1">
        <f t="array" ref="BQ15">_xlfn.IFS('Redlands Inputs'!$G$12="Vacate",
IF(AND(BQ10&gt;'Redlands Inputs'!$H$20,BQ10&lt;'Redlands Inputs'!$D$24)=TRUE,-BQ$14,0),
'Redlands Inputs'!$G$12="Market",
IF(AND(BQ10&gt;'Redlands Inputs'!$H$20,BQ10&lt;EOMONTH('Redlands Inputs'!$H$20,'Redlands Inputs'!$K$18))=TRUE,-BQ$14,0),
'Redlands Inputs'!$G$12="Renew",0)</f>
        <v>0</v>
      </c>
      <c r="BR15" s="40" cm="1">
        <f t="array" ref="BR15">_xlfn.IFS('Redlands Inputs'!$G$12="Vacate",
IF(AND(BR10&gt;'Redlands Inputs'!$H$20,BR10&lt;'Redlands Inputs'!$D$24)=TRUE,-BR$14,0),
'Redlands Inputs'!$G$12="Market",
IF(AND(BR10&gt;'Redlands Inputs'!$H$20,BR10&lt;EOMONTH('Redlands Inputs'!$H$20,'Redlands Inputs'!$K$18))=TRUE,-BR$14,0),
'Redlands Inputs'!$G$12="Renew",0)</f>
        <v>0</v>
      </c>
      <c r="BS15" s="40" cm="1">
        <f t="array" ref="BS15">_xlfn.IFS('Redlands Inputs'!$G$12="Vacate",
IF(AND(BS10&gt;'Redlands Inputs'!$H$20,BS10&lt;'Redlands Inputs'!$D$24)=TRUE,-BS$14,0),
'Redlands Inputs'!$G$12="Market",
IF(AND(BS10&gt;'Redlands Inputs'!$H$20,BS10&lt;EOMONTH('Redlands Inputs'!$H$20,'Redlands Inputs'!$K$18))=TRUE,-BS$14,0),
'Redlands Inputs'!$G$12="Renew",0)</f>
        <v>0</v>
      </c>
      <c r="BT15" s="40" cm="1">
        <f t="array" ref="BT15">_xlfn.IFS('Redlands Inputs'!$G$12="Vacate",
IF(AND(BT10&gt;'Redlands Inputs'!$H$20,BT10&lt;'Redlands Inputs'!$D$24)=TRUE,-BT$14,0),
'Redlands Inputs'!$G$12="Market",
IF(AND(BT10&gt;'Redlands Inputs'!$H$20,BT10&lt;EOMONTH('Redlands Inputs'!$H$20,'Redlands Inputs'!$K$18))=TRUE,-BT$14,0),
'Redlands Inputs'!$G$12="Renew",0)</f>
        <v>0</v>
      </c>
      <c r="BU15" s="40" cm="1">
        <f t="array" ref="BU15">_xlfn.IFS('Redlands Inputs'!$G$12="Vacate",
IF(AND(BU10&gt;'Redlands Inputs'!$H$20,BU10&lt;'Redlands Inputs'!$D$24)=TRUE,-BU$14,0),
'Redlands Inputs'!$G$12="Market",
IF(AND(BU10&gt;'Redlands Inputs'!$H$20,BU10&lt;EOMONTH('Redlands Inputs'!$H$20,'Redlands Inputs'!$K$18))=TRUE,-BU$14,0),
'Redlands Inputs'!$G$12="Renew",0)</f>
        <v>0</v>
      </c>
      <c r="BV15" s="40" cm="1">
        <f t="array" ref="BV15">_xlfn.IFS('Redlands Inputs'!$G$12="Vacate",
IF(AND(BV10&gt;'Redlands Inputs'!$H$20,BV10&lt;'Redlands Inputs'!$D$24)=TRUE,-BV$14,0),
'Redlands Inputs'!$G$12="Market",
IF(AND(BV10&gt;'Redlands Inputs'!$H$20,BV10&lt;EOMONTH('Redlands Inputs'!$H$20,'Redlands Inputs'!$K$18))=TRUE,-BV$14,0),
'Redlands Inputs'!$G$12="Renew",0)</f>
        <v>0</v>
      </c>
      <c r="BW15" s="40" cm="1">
        <f t="array" ref="BW15">_xlfn.IFS('Redlands Inputs'!$G$12="Vacate",
IF(AND(BW10&gt;'Redlands Inputs'!$H$20,BW10&lt;'Redlands Inputs'!$D$24)=TRUE,-BW$14,0),
'Redlands Inputs'!$G$12="Market",
IF(AND(BW10&gt;'Redlands Inputs'!$H$20,BW10&lt;EOMONTH('Redlands Inputs'!$H$20,'Redlands Inputs'!$K$18))=TRUE,-BW$14,0),
'Redlands Inputs'!$G$12="Renew",0)</f>
        <v>0</v>
      </c>
      <c r="BX15" s="40" cm="1">
        <f t="array" ref="BX15">_xlfn.IFS('Redlands Inputs'!$G$12="Vacate",
IF(AND(BX10&gt;'Redlands Inputs'!$H$20,BX10&lt;'Redlands Inputs'!$D$24)=TRUE,-BX$14,0),
'Redlands Inputs'!$G$12="Market",
IF(AND(BX10&gt;'Redlands Inputs'!$H$20,BX10&lt;EOMONTH('Redlands Inputs'!$H$20,'Redlands Inputs'!$K$18))=TRUE,-BX$14,0),
'Redlands Inputs'!$G$12="Renew",0)</f>
        <v>0</v>
      </c>
      <c r="BY15" s="40" cm="1">
        <f t="array" ref="BY15">_xlfn.IFS('Redlands Inputs'!$G$12="Vacate",
IF(AND(BY10&gt;'Redlands Inputs'!$H$20,BY10&lt;'Redlands Inputs'!$D$24)=TRUE,-BY$14,0),
'Redlands Inputs'!$G$12="Market",
IF(AND(BY10&gt;'Redlands Inputs'!$H$20,BY10&lt;EOMONTH('Redlands Inputs'!$H$20,'Redlands Inputs'!$K$18))=TRUE,-BY$14,0),
'Redlands Inputs'!$G$12="Renew",0)</f>
        <v>0</v>
      </c>
      <c r="BZ15" s="40" cm="1">
        <f t="array" ref="BZ15">_xlfn.IFS('Redlands Inputs'!$G$12="Vacate",
IF(AND(BZ10&gt;'Redlands Inputs'!$H$20,BZ10&lt;'Redlands Inputs'!$D$24)=TRUE,-BZ$14,0),
'Redlands Inputs'!$G$12="Market",
IF(AND(BZ10&gt;'Redlands Inputs'!$H$20,BZ10&lt;EOMONTH('Redlands Inputs'!$H$20,'Redlands Inputs'!$K$18))=TRUE,-BZ$14,0),
'Redlands Inputs'!$G$12="Renew",0)</f>
        <v>0</v>
      </c>
      <c r="CA15" s="40" cm="1">
        <f t="array" ref="CA15">_xlfn.IFS('Redlands Inputs'!$G$12="Vacate",
IF(AND(CA10&gt;'Redlands Inputs'!$H$20,CA10&lt;'Redlands Inputs'!$D$24)=TRUE,-CA$14,0),
'Redlands Inputs'!$G$12="Market",
IF(AND(CA10&gt;'Redlands Inputs'!$H$20,CA10&lt;EOMONTH('Redlands Inputs'!$H$20,'Redlands Inputs'!$K$18))=TRUE,-CA$14,0),
'Redlands Inputs'!$G$12="Renew",0)</f>
        <v>0</v>
      </c>
      <c r="CB15" s="40" cm="1">
        <f t="array" ref="CB15">_xlfn.IFS('Redlands Inputs'!$G$12="Vacate",
IF(AND(CB10&gt;'Redlands Inputs'!$H$20,CB10&lt;'Redlands Inputs'!$D$24)=TRUE,-CB$14,0),
'Redlands Inputs'!$G$12="Market",
IF(AND(CB10&gt;'Redlands Inputs'!$H$20,CB10&lt;EOMONTH('Redlands Inputs'!$H$20,'Redlands Inputs'!$K$18))=TRUE,-CB$14,0),
'Redlands Inputs'!$G$12="Renew",0)</f>
        <v>0</v>
      </c>
      <c r="CC15" s="40" cm="1">
        <f t="array" ref="CC15">_xlfn.IFS('Redlands Inputs'!$G$12="Vacate",
IF(AND(CC10&gt;'Redlands Inputs'!$H$20,CC10&lt;'Redlands Inputs'!$D$24)=TRUE,-CC$14,0),
'Redlands Inputs'!$G$12="Market",
IF(AND(CC10&gt;'Redlands Inputs'!$H$20,CC10&lt;EOMONTH('Redlands Inputs'!$H$20,'Redlands Inputs'!$K$18))=TRUE,-CC$14,0),
'Redlands Inputs'!$G$12="Renew",0)</f>
        <v>0</v>
      </c>
      <c r="CD15" s="40" cm="1">
        <f t="array" ref="CD15">_xlfn.IFS('Redlands Inputs'!$G$12="Vacate",
IF(AND(CD10&gt;'Redlands Inputs'!$H$20,CD10&lt;'Redlands Inputs'!$D$24)=TRUE,-CD$14,0),
'Redlands Inputs'!$G$12="Market",
IF(AND(CD10&gt;'Redlands Inputs'!$H$20,CD10&lt;EOMONTH('Redlands Inputs'!$H$20,'Redlands Inputs'!$K$18))=TRUE,-CD$14,0),
'Redlands Inputs'!$G$12="Renew",0)</f>
        <v>0</v>
      </c>
      <c r="CE15" s="40" cm="1">
        <f t="array" ref="CE15">_xlfn.IFS('Redlands Inputs'!$G$12="Vacate",
IF(AND(CE10&gt;'Redlands Inputs'!$H$20,CE10&lt;'Redlands Inputs'!$D$24)=TRUE,-CE$14,0),
'Redlands Inputs'!$G$12="Market",
IF(AND(CE10&gt;'Redlands Inputs'!$H$20,CE10&lt;EOMONTH('Redlands Inputs'!$H$20,'Redlands Inputs'!$K$18))=TRUE,-CE$14,0),
'Redlands Inputs'!$G$12="Renew",0)</f>
        <v>0</v>
      </c>
      <c r="CF15" s="40" cm="1">
        <f t="array" ref="CF15">_xlfn.IFS('Redlands Inputs'!$G$12="Vacate",
IF(AND(CF10&gt;'Redlands Inputs'!$H$20,CF10&lt;'Redlands Inputs'!$D$24)=TRUE,-CF$14,0),
'Redlands Inputs'!$G$12="Market",
IF(AND(CF10&gt;'Redlands Inputs'!$H$20,CF10&lt;EOMONTH('Redlands Inputs'!$H$20,'Redlands Inputs'!$K$18))=TRUE,-CF$14,0),
'Redlands Inputs'!$G$12="Renew",0)</f>
        <v>0</v>
      </c>
      <c r="CG15" s="40" cm="1">
        <f t="array" ref="CG15">_xlfn.IFS('Redlands Inputs'!$G$12="Vacate",
IF(AND(CG10&gt;'Redlands Inputs'!$H$20,CG10&lt;'Redlands Inputs'!$D$24)=TRUE,-CG$14,0),
'Redlands Inputs'!$G$12="Market",
IF(AND(CG10&gt;'Redlands Inputs'!$H$20,CG10&lt;EOMONTH('Redlands Inputs'!$H$20,'Redlands Inputs'!$K$18))=TRUE,-CG$14,0),
'Redlands Inputs'!$G$12="Renew",0)</f>
        <v>0</v>
      </c>
      <c r="CH15" s="40" cm="1">
        <f t="array" ref="CH15">_xlfn.IFS('Redlands Inputs'!$G$12="Vacate",
IF(AND(CH10&gt;'Redlands Inputs'!$H$20,CH10&lt;'Redlands Inputs'!$D$24)=TRUE,-CH$14,0),
'Redlands Inputs'!$G$12="Market",
IF(AND(CH10&gt;'Redlands Inputs'!$H$20,CH10&lt;EOMONTH('Redlands Inputs'!$H$20,'Redlands Inputs'!$K$18))=TRUE,-CH$14,0),
'Redlands Inputs'!$G$12="Renew",0)</f>
        <v>0</v>
      </c>
      <c r="CI15" s="40" cm="1">
        <f t="array" ref="CI15">_xlfn.IFS('Redlands Inputs'!$G$12="Vacate",
IF(AND(CI10&gt;'Redlands Inputs'!$H$20,CI10&lt;'Redlands Inputs'!$D$24)=TRUE,-CI$14,0),
'Redlands Inputs'!$G$12="Market",
IF(AND(CI10&gt;'Redlands Inputs'!$H$20,CI10&lt;EOMONTH('Redlands Inputs'!$H$20,'Redlands Inputs'!$K$18))=TRUE,-CI$14,0),
'Redlands Inputs'!$G$12="Renew",0)</f>
        <v>0</v>
      </c>
      <c r="CJ15" s="40" cm="1">
        <f t="array" ref="CJ15">_xlfn.IFS('Redlands Inputs'!$G$12="Vacate",
IF(AND(CJ10&gt;'Redlands Inputs'!$H$20,CJ10&lt;'Redlands Inputs'!$D$24)=TRUE,-CJ$14,0),
'Redlands Inputs'!$G$12="Market",
IF(AND(CJ10&gt;'Redlands Inputs'!$H$20,CJ10&lt;EOMONTH('Redlands Inputs'!$H$20,'Redlands Inputs'!$K$18))=TRUE,-CJ$14,0),
'Redlands Inputs'!$G$12="Renew",0)</f>
        <v>0</v>
      </c>
      <c r="CK15" s="40" cm="1">
        <f t="array" ref="CK15">_xlfn.IFS('Redlands Inputs'!$G$12="Vacate",
IF(AND(CK10&gt;'Redlands Inputs'!$H$20,CK10&lt;'Redlands Inputs'!$D$24)=TRUE,-CK$14,0),
'Redlands Inputs'!$G$12="Market",
IF(AND(CK10&gt;'Redlands Inputs'!$H$20,CK10&lt;EOMONTH('Redlands Inputs'!$H$20,'Redlands Inputs'!$K$18))=TRUE,-CK$14,0),
'Redlands Inputs'!$G$12="Renew",0)</f>
        <v>0</v>
      </c>
      <c r="CL15" s="40" cm="1">
        <f t="array" ref="CL15">_xlfn.IFS('Redlands Inputs'!$G$12="Vacate",
IF(AND(CL10&gt;'Redlands Inputs'!$H$20,CL10&lt;'Redlands Inputs'!$D$24)=TRUE,-CL$14,0),
'Redlands Inputs'!$G$12="Market",
IF(AND(CL10&gt;'Redlands Inputs'!$H$20,CL10&lt;EOMONTH('Redlands Inputs'!$H$20,'Redlands Inputs'!$K$18))=TRUE,-CL$14,0),
'Redlands Inputs'!$G$12="Renew",0)</f>
        <v>0</v>
      </c>
      <c r="CM15" s="40" cm="1">
        <f t="array" ref="CM15">_xlfn.IFS('Redlands Inputs'!$G$12="Vacate",
IF(AND(CM10&gt;'Redlands Inputs'!$H$20,CM10&lt;'Redlands Inputs'!$D$24)=TRUE,-CM$14,0),
'Redlands Inputs'!$G$12="Market",
IF(AND(CM10&gt;'Redlands Inputs'!$H$20,CM10&lt;EOMONTH('Redlands Inputs'!$H$20,'Redlands Inputs'!$K$18))=TRUE,-CM$14,0),
'Redlands Inputs'!$G$12="Renew",0)</f>
        <v>0</v>
      </c>
      <c r="CN15" s="40" cm="1">
        <f t="array" ref="CN15">_xlfn.IFS('Redlands Inputs'!$G$12="Vacate",
IF(AND(CN10&gt;'Redlands Inputs'!$H$20,CN10&lt;'Redlands Inputs'!$D$24)=TRUE,-CN$14,0),
'Redlands Inputs'!$G$12="Market",
IF(AND(CN10&gt;'Redlands Inputs'!$H$20,CN10&lt;EOMONTH('Redlands Inputs'!$H$20,'Redlands Inputs'!$K$18))=TRUE,-CN$14,0),
'Redlands Inputs'!$G$12="Renew",0)</f>
        <v>0</v>
      </c>
      <c r="CO15" s="40" cm="1">
        <f t="array" ref="CO15">_xlfn.IFS('Redlands Inputs'!$G$12="Vacate",
IF(AND(CO10&gt;'Redlands Inputs'!$H$20,CO10&lt;'Redlands Inputs'!$D$24)=TRUE,-CO$14,0),
'Redlands Inputs'!$G$12="Market",
IF(AND(CO10&gt;'Redlands Inputs'!$H$20,CO10&lt;EOMONTH('Redlands Inputs'!$H$20,'Redlands Inputs'!$K$18))=TRUE,-CO$14,0),
'Redlands Inputs'!$G$12="Renew",0)</f>
        <v>0</v>
      </c>
      <c r="CP15" s="40" cm="1">
        <f t="array" ref="CP15">_xlfn.IFS('Redlands Inputs'!$G$12="Vacate",
IF(AND(CP10&gt;'Redlands Inputs'!$H$20,CP10&lt;'Redlands Inputs'!$D$24)=TRUE,-CP$14,0),
'Redlands Inputs'!$G$12="Market",
IF(AND(CP10&gt;'Redlands Inputs'!$H$20,CP10&lt;EOMONTH('Redlands Inputs'!$H$20,'Redlands Inputs'!$K$18))=TRUE,-CP$14,0),
'Redlands Inputs'!$G$12="Renew",0)</f>
        <v>0</v>
      </c>
      <c r="CQ15" s="40" cm="1">
        <f t="array" ref="CQ15">_xlfn.IFS('Redlands Inputs'!$G$12="Vacate",
IF(AND(CQ10&gt;'Redlands Inputs'!$H$20,CQ10&lt;'Redlands Inputs'!$D$24)=TRUE,-CQ$14,0),
'Redlands Inputs'!$G$12="Market",
IF(AND(CQ10&gt;'Redlands Inputs'!$H$20,CQ10&lt;EOMONTH('Redlands Inputs'!$H$20,'Redlands Inputs'!$K$18))=TRUE,-CQ$14,0),
'Redlands Inputs'!$G$12="Renew",0)</f>
        <v>0</v>
      </c>
      <c r="CR15" s="40" cm="1">
        <f t="array" ref="CR15">_xlfn.IFS('Redlands Inputs'!$G$12="Vacate",
IF(AND(CR10&gt;'Redlands Inputs'!$H$20,CR10&lt;'Redlands Inputs'!$D$24)=TRUE,-CR$14,0),
'Redlands Inputs'!$G$12="Market",
IF(AND(CR10&gt;'Redlands Inputs'!$H$20,CR10&lt;EOMONTH('Redlands Inputs'!$H$20,'Redlands Inputs'!$K$18))=TRUE,-CR$14,0),
'Redlands Inputs'!$G$12="Renew",0)</f>
        <v>0</v>
      </c>
      <c r="CS15" s="40" cm="1">
        <f t="array" ref="CS15">_xlfn.IFS('Redlands Inputs'!$G$12="Vacate",
IF(AND(CS10&gt;'Redlands Inputs'!$H$20,CS10&lt;'Redlands Inputs'!$D$24)=TRUE,-CS$14,0),
'Redlands Inputs'!$G$12="Market",
IF(AND(CS10&gt;'Redlands Inputs'!$H$20,CS10&lt;EOMONTH('Redlands Inputs'!$H$20,'Redlands Inputs'!$K$18))=TRUE,-CS$14,0),
'Redlands Inputs'!$G$12="Renew",0)</f>
        <v>0</v>
      </c>
      <c r="CT15" s="40" cm="1">
        <f t="array" ref="CT15">_xlfn.IFS('Redlands Inputs'!$G$12="Vacate",
IF(AND(CT10&gt;'Redlands Inputs'!$H$20,CT10&lt;'Redlands Inputs'!$D$24)=TRUE,-CT$14,0),
'Redlands Inputs'!$G$12="Market",
IF(AND(CT10&gt;'Redlands Inputs'!$H$20,CT10&lt;EOMONTH('Redlands Inputs'!$H$20,'Redlands Inputs'!$K$18))=TRUE,-CT$14,0),
'Redlands Inputs'!$G$12="Renew",0)</f>
        <v>0</v>
      </c>
      <c r="CU15" s="40" cm="1">
        <f t="array" ref="CU15">_xlfn.IFS('Redlands Inputs'!$G$12="Vacate",
IF(AND(CU10&gt;'Redlands Inputs'!$H$20,CU10&lt;'Redlands Inputs'!$D$24)=TRUE,-CU$14,0),
'Redlands Inputs'!$G$12="Market",
IF(AND(CU10&gt;'Redlands Inputs'!$H$20,CU10&lt;EOMONTH('Redlands Inputs'!$H$20,'Redlands Inputs'!$K$18))=TRUE,-CU$14,0),
'Redlands Inputs'!$G$12="Renew",0)</f>
        <v>0</v>
      </c>
      <c r="CV15" s="40" cm="1">
        <f t="array" ref="CV15">_xlfn.IFS('Redlands Inputs'!$G$12="Vacate",
IF(AND(CV10&gt;'Redlands Inputs'!$H$20,CV10&lt;'Redlands Inputs'!$D$24)=TRUE,-CV$14,0),
'Redlands Inputs'!$G$12="Market",
IF(AND(CV10&gt;'Redlands Inputs'!$H$20,CV10&lt;EOMONTH('Redlands Inputs'!$H$20,'Redlands Inputs'!$K$18))=TRUE,-CV$14,0),
'Redlands Inputs'!$G$12="Renew",0)</f>
        <v>0</v>
      </c>
      <c r="CW15" s="40" cm="1">
        <f t="array" ref="CW15">_xlfn.IFS('Redlands Inputs'!$G$12="Vacate",
IF(AND(CW10&gt;'Redlands Inputs'!$H$20,CW10&lt;'Redlands Inputs'!$D$24)=TRUE,-CW$14,0),
'Redlands Inputs'!$G$12="Market",
IF(AND(CW10&gt;'Redlands Inputs'!$H$20,CW10&lt;EOMONTH('Redlands Inputs'!$H$20,'Redlands Inputs'!$K$18))=TRUE,-CW$14,0),
'Redlands Inputs'!$G$12="Renew",0)</f>
        <v>0</v>
      </c>
      <c r="CX15" s="40" cm="1">
        <f t="array" ref="CX15">_xlfn.IFS('Redlands Inputs'!$G$12="Vacate",
IF(AND(CX10&gt;'Redlands Inputs'!$H$20,CX10&lt;'Redlands Inputs'!$D$24)=TRUE,-CX$14,0),
'Redlands Inputs'!$G$12="Market",
IF(AND(CX10&gt;'Redlands Inputs'!$H$20,CX10&lt;EOMONTH('Redlands Inputs'!$H$20,'Redlands Inputs'!$K$18))=TRUE,-CX$14,0),
'Redlands Inputs'!$G$12="Renew",0)</f>
        <v>0</v>
      </c>
      <c r="CY15" s="40" cm="1">
        <f t="array" ref="CY15">_xlfn.IFS('Redlands Inputs'!$G$12="Vacate",
IF(AND(CY10&gt;'Redlands Inputs'!$H$20,CY10&lt;'Redlands Inputs'!$D$24)=TRUE,-CY$14,0),
'Redlands Inputs'!$G$12="Market",
IF(AND(CY10&gt;'Redlands Inputs'!$H$20,CY10&lt;EOMONTH('Redlands Inputs'!$H$20,'Redlands Inputs'!$K$18))=TRUE,-CY$14,0),
'Redlands Inputs'!$G$12="Renew",0)</f>
        <v>0</v>
      </c>
      <c r="CZ15" s="40" cm="1">
        <f t="array" ref="CZ15">_xlfn.IFS('Redlands Inputs'!$G$12="Vacate",
IF(AND(CZ10&gt;'Redlands Inputs'!$H$20,CZ10&lt;'Redlands Inputs'!$D$24)=TRUE,-CZ$14,0),
'Redlands Inputs'!$G$12="Market",
IF(AND(CZ10&gt;'Redlands Inputs'!$H$20,CZ10&lt;EOMONTH('Redlands Inputs'!$H$20,'Redlands Inputs'!$K$18))=TRUE,-CZ$14,0),
'Redlands Inputs'!$G$12="Renew",0)</f>
        <v>0</v>
      </c>
      <c r="DA15" s="40" cm="1">
        <f t="array" ref="DA15">_xlfn.IFS('Redlands Inputs'!$G$12="Vacate",
IF(AND(DA10&gt;'Redlands Inputs'!$H$20,DA10&lt;'Redlands Inputs'!$D$24)=TRUE,-DA$14,0),
'Redlands Inputs'!$G$12="Market",
IF(AND(DA10&gt;'Redlands Inputs'!$H$20,DA10&lt;EOMONTH('Redlands Inputs'!$H$20,'Redlands Inputs'!$K$18))=TRUE,-DA$14,0),
'Redlands Inputs'!$G$12="Renew",0)</f>
        <v>0</v>
      </c>
      <c r="DB15" s="40" cm="1">
        <f t="array" ref="DB15">_xlfn.IFS('Redlands Inputs'!$G$12="Vacate",
IF(AND(DB10&gt;'Redlands Inputs'!$H$20,DB10&lt;'Redlands Inputs'!$D$24)=TRUE,-DB$14,0),
'Redlands Inputs'!$G$12="Market",
IF(AND(DB10&gt;'Redlands Inputs'!$H$20,DB10&lt;EOMONTH('Redlands Inputs'!$H$20,'Redlands Inputs'!$K$18))=TRUE,-DB$14,0),
'Redlands Inputs'!$G$12="Renew",0)</f>
        <v>0</v>
      </c>
      <c r="DC15" s="40" cm="1">
        <f t="array" ref="DC15">_xlfn.IFS('Redlands Inputs'!$G$12="Vacate",
IF(AND(DC10&gt;'Redlands Inputs'!$H$20,DC10&lt;'Redlands Inputs'!$D$24)=TRUE,-DC$14,0),
'Redlands Inputs'!$G$12="Market",
IF(AND(DC10&gt;'Redlands Inputs'!$H$20,DC10&lt;EOMONTH('Redlands Inputs'!$H$20,'Redlands Inputs'!$K$18))=TRUE,-DC$14,0),
'Redlands Inputs'!$G$12="Renew",0)</f>
        <v>0</v>
      </c>
      <c r="DD15" s="40" cm="1">
        <f t="array" ref="DD15">_xlfn.IFS('Redlands Inputs'!$G$12="Vacate",
IF(AND(DD10&gt;'Redlands Inputs'!$H$20,DD10&lt;'Redlands Inputs'!$D$24)=TRUE,-DD$14,0),
'Redlands Inputs'!$G$12="Market",
IF(AND(DD10&gt;'Redlands Inputs'!$H$20,DD10&lt;EOMONTH('Redlands Inputs'!$H$20,'Redlands Inputs'!$K$18))=TRUE,-DD$14,0),
'Redlands Inputs'!$G$12="Renew",0)</f>
        <v>0</v>
      </c>
      <c r="DE15" s="40" cm="1">
        <f t="array" ref="DE15">_xlfn.IFS('Redlands Inputs'!$G$12="Vacate",
IF(AND(DE10&gt;'Redlands Inputs'!$H$20,DE10&lt;'Redlands Inputs'!$D$24)=TRUE,-DE$14,0),
'Redlands Inputs'!$G$12="Market",
IF(AND(DE10&gt;'Redlands Inputs'!$H$20,DE10&lt;EOMONTH('Redlands Inputs'!$H$20,'Redlands Inputs'!$K$18))=TRUE,-DE$14,0),
'Redlands Inputs'!$G$12="Renew",0)</f>
        <v>0</v>
      </c>
      <c r="DF15" s="40" cm="1">
        <f t="array" ref="DF15">_xlfn.IFS('Redlands Inputs'!$G$12="Vacate",
IF(AND(DF10&gt;'Redlands Inputs'!$H$20,DF10&lt;'Redlands Inputs'!$D$24)=TRUE,-DF$14,0),
'Redlands Inputs'!$G$12="Market",
IF(AND(DF10&gt;'Redlands Inputs'!$H$20,DF10&lt;EOMONTH('Redlands Inputs'!$H$20,'Redlands Inputs'!$K$18))=TRUE,-DF$14,0),
'Redlands Inputs'!$G$12="Renew",0)</f>
        <v>0</v>
      </c>
      <c r="DG15" s="40" cm="1">
        <f t="array" ref="DG15">_xlfn.IFS('Redlands Inputs'!$G$12="Vacate",
IF(AND(DG10&gt;'Redlands Inputs'!$H$20,DG10&lt;'Redlands Inputs'!$D$24)=TRUE,-DG$14,0),
'Redlands Inputs'!$G$12="Market",
IF(AND(DG10&gt;'Redlands Inputs'!$H$20,DG10&lt;EOMONTH('Redlands Inputs'!$H$20,'Redlands Inputs'!$K$18))=TRUE,-DG$14,0),
'Redlands Inputs'!$G$12="Renew",0)</f>
        <v>0</v>
      </c>
      <c r="DH15" s="40" cm="1">
        <f t="array" ref="DH15">_xlfn.IFS('Redlands Inputs'!$G$12="Vacate",
IF(AND(DH10&gt;'Redlands Inputs'!$H$20,DH10&lt;'Redlands Inputs'!$D$24)=TRUE,-DH$14,0),
'Redlands Inputs'!$G$12="Market",
IF(AND(DH10&gt;'Redlands Inputs'!$H$20,DH10&lt;EOMONTH('Redlands Inputs'!$H$20,'Redlands Inputs'!$K$18))=TRUE,-DH$14,0),
'Redlands Inputs'!$G$12="Renew",0)</f>
        <v>0</v>
      </c>
      <c r="DI15" s="40" cm="1">
        <f t="array" ref="DI15">_xlfn.IFS('Redlands Inputs'!$G$12="Vacate",
IF(AND(DI10&gt;'Redlands Inputs'!$H$20,DI10&lt;'Redlands Inputs'!$D$24)=TRUE,-DI$14,0),
'Redlands Inputs'!$G$12="Market",
IF(AND(DI10&gt;'Redlands Inputs'!$H$20,DI10&lt;EOMONTH('Redlands Inputs'!$H$20,'Redlands Inputs'!$K$18))=TRUE,-DI$14,0),
'Redlands Inputs'!$G$12="Renew",0)</f>
        <v>0</v>
      </c>
      <c r="DJ15" s="40" cm="1">
        <f t="array" ref="DJ15">_xlfn.IFS('Redlands Inputs'!$G$12="Vacate",
IF(AND(DJ10&gt;'Redlands Inputs'!$H$20,DJ10&lt;'Redlands Inputs'!$D$24)=TRUE,-DJ$14,0),
'Redlands Inputs'!$G$12="Market",
IF(AND(DJ10&gt;'Redlands Inputs'!$H$20,DJ10&lt;EOMONTH('Redlands Inputs'!$H$20,'Redlands Inputs'!$K$18))=TRUE,-DJ$14,0),
'Redlands Inputs'!$G$12="Renew",0)</f>
        <v>0</v>
      </c>
      <c r="DK15" s="40" cm="1">
        <f t="array" ref="DK15">_xlfn.IFS('Redlands Inputs'!$G$12="Vacate",
IF(AND(DK10&gt;'Redlands Inputs'!$H$20,DK10&lt;'Redlands Inputs'!$D$24)=TRUE,-DK$14,0),
'Redlands Inputs'!$G$12="Market",
IF(AND(DK10&gt;'Redlands Inputs'!$H$20,DK10&lt;EOMONTH('Redlands Inputs'!$H$20,'Redlands Inputs'!$K$18))=TRUE,-DK$14,0),
'Redlands Inputs'!$G$12="Renew",0)</f>
        <v>0</v>
      </c>
      <c r="DL15" s="40" cm="1">
        <f t="array" ref="DL15">_xlfn.IFS('Redlands Inputs'!$G$12="Vacate",
IF(AND(DL10&gt;'Redlands Inputs'!$H$20,DL10&lt;'Redlands Inputs'!$D$24)=TRUE,-DL$14,0),
'Redlands Inputs'!$G$12="Market",
IF(AND(DL10&gt;'Redlands Inputs'!$H$20,DL10&lt;EOMONTH('Redlands Inputs'!$H$20,'Redlands Inputs'!$K$18))=TRUE,-DL$14,0),
'Redlands Inputs'!$G$12="Renew",0)</f>
        <v>0</v>
      </c>
      <c r="DM15" s="40" cm="1">
        <f t="array" ref="DM15">_xlfn.IFS('Redlands Inputs'!$G$12="Vacate",
IF(AND(DM10&gt;'Redlands Inputs'!$H$20,DM10&lt;'Redlands Inputs'!$D$24)=TRUE,-DM$14,0),
'Redlands Inputs'!$G$12="Market",
IF(AND(DM10&gt;'Redlands Inputs'!$H$20,DM10&lt;EOMONTH('Redlands Inputs'!$H$20,'Redlands Inputs'!$K$18))=TRUE,-DM$14,0),
'Redlands Inputs'!$G$12="Renew",0)</f>
        <v>0</v>
      </c>
      <c r="DN15" s="40" cm="1">
        <f t="array" ref="DN15">_xlfn.IFS('Redlands Inputs'!$G$12="Vacate",
IF(AND(DN10&gt;'Redlands Inputs'!$H$20,DN10&lt;'Redlands Inputs'!$D$24)=TRUE,-DN$14,0),
'Redlands Inputs'!$G$12="Market",
IF(AND(DN10&gt;'Redlands Inputs'!$H$20,DN10&lt;EOMONTH('Redlands Inputs'!$H$20,'Redlands Inputs'!$K$18))=TRUE,-DN$14,0),
'Redlands Inputs'!$G$12="Renew",0)</f>
        <v>0</v>
      </c>
      <c r="DO15" s="40" cm="1">
        <f t="array" ref="DO15">_xlfn.IFS('Redlands Inputs'!$G$12="Vacate",
IF(AND(DO10&gt;'Redlands Inputs'!$H$20,DO10&lt;'Redlands Inputs'!$D$24)=TRUE,-DO$14,0),
'Redlands Inputs'!$G$12="Market",
IF(AND(DO10&gt;'Redlands Inputs'!$H$20,DO10&lt;EOMONTH('Redlands Inputs'!$H$20,'Redlands Inputs'!$K$18))=TRUE,-DO$14,0),
'Redlands Inputs'!$G$12="Renew",0)</f>
        <v>0</v>
      </c>
      <c r="DP15" s="40" cm="1">
        <f t="array" ref="DP15">_xlfn.IFS('Redlands Inputs'!$G$12="Vacate",
IF(AND(DP10&gt;'Redlands Inputs'!$H$20,DP10&lt;'Redlands Inputs'!$D$24)=TRUE,-DP$14,0),
'Redlands Inputs'!$G$12="Market",
IF(AND(DP10&gt;'Redlands Inputs'!$H$20,DP10&lt;EOMONTH('Redlands Inputs'!$H$20,'Redlands Inputs'!$K$18))=TRUE,-DP$14,0),
'Redlands Inputs'!$G$12="Renew",0)</f>
        <v>0</v>
      </c>
      <c r="DQ15" s="40" cm="1">
        <f t="array" ref="DQ15">_xlfn.IFS('Redlands Inputs'!$G$12="Vacate",
IF(AND(DQ10&gt;'Redlands Inputs'!$H$20,DQ10&lt;'Redlands Inputs'!$D$24)=TRUE,-DQ$14,0),
'Redlands Inputs'!$G$12="Market",
IF(AND(DQ10&gt;'Redlands Inputs'!$H$20,DQ10&lt;EOMONTH('Redlands Inputs'!$H$20,'Redlands Inputs'!$K$18))=TRUE,-DQ$14,0),
'Redlands Inputs'!$G$12="Renew",0)</f>
        <v>0</v>
      </c>
      <c r="DR15" s="40" cm="1">
        <f t="array" ref="DR15">_xlfn.IFS('Redlands Inputs'!$G$12="Vacate",
IF(AND(DR10&gt;'Redlands Inputs'!$H$20,DR10&lt;'Redlands Inputs'!$D$24)=TRUE,-DR$14,0),
'Redlands Inputs'!$G$12="Market",
IF(AND(DR10&gt;'Redlands Inputs'!$H$20,DR10&lt;EOMONTH('Redlands Inputs'!$H$20,'Redlands Inputs'!$K$18))=TRUE,-DR$14,0),
'Redlands Inputs'!$G$12="Renew",0)</f>
        <v>0</v>
      </c>
      <c r="DS15" s="40" cm="1">
        <f t="array" ref="DS15">_xlfn.IFS('Redlands Inputs'!$G$12="Vacate",
IF(AND(DS10&gt;'Redlands Inputs'!$H$20,DS10&lt;'Redlands Inputs'!$D$24)=TRUE,-DS$14,0),
'Redlands Inputs'!$G$12="Market",
IF(AND(DS10&gt;'Redlands Inputs'!$H$20,DS10&lt;EOMONTH('Redlands Inputs'!$H$20,'Redlands Inputs'!$K$18))=TRUE,-DS$14,0),
'Redlands Inputs'!$G$12="Renew",0)</f>
        <v>0</v>
      </c>
      <c r="DT15" s="40" cm="1">
        <f t="array" ref="DT15">_xlfn.IFS('Redlands Inputs'!$G$12="Vacate",
IF(AND(DT10&gt;'Redlands Inputs'!$H$20,DT10&lt;'Redlands Inputs'!$D$24)=TRUE,-DT$14,0),
'Redlands Inputs'!$G$12="Market",
IF(AND(DT10&gt;'Redlands Inputs'!$H$20,DT10&lt;EOMONTH('Redlands Inputs'!$H$20,'Redlands Inputs'!$K$18))=TRUE,-DT$14,0),
'Redlands Inputs'!$G$12="Renew",0)</f>
        <v>0</v>
      </c>
      <c r="DU15" s="40" cm="1">
        <f t="array" ref="DU15">_xlfn.IFS('Redlands Inputs'!$G$12="Vacate",
IF(AND(DU10&gt;'Redlands Inputs'!$H$20,DU10&lt;'Redlands Inputs'!$D$24)=TRUE,-DU$14,0),
'Redlands Inputs'!$G$12="Market",
IF(AND(DU10&gt;'Redlands Inputs'!$H$20,DU10&lt;EOMONTH('Redlands Inputs'!$H$20,'Redlands Inputs'!$K$18))=TRUE,-DU$14,0),
'Redlands Inputs'!$G$12="Renew",0)</f>
        <v>0</v>
      </c>
      <c r="DV15" s="40" cm="1">
        <f t="array" ref="DV15">_xlfn.IFS('Redlands Inputs'!$G$12="Vacate",
IF(AND(DV10&gt;'Redlands Inputs'!$H$20,DV10&lt;'Redlands Inputs'!$D$24)=TRUE,-DV$14,0),
'Redlands Inputs'!$G$12="Market",
IF(AND(DV10&gt;'Redlands Inputs'!$H$20,DV10&lt;EOMONTH('Redlands Inputs'!$H$20,'Redlands Inputs'!$K$18))=TRUE,-DV$14,0),
'Redlands Inputs'!$G$12="Renew",0)</f>
        <v>0</v>
      </c>
      <c r="DW15" s="40" cm="1">
        <f t="array" ref="DW15">_xlfn.IFS('Redlands Inputs'!$G$12="Vacate",
IF(AND(DW10&gt;'Redlands Inputs'!$H$20,DW10&lt;'Redlands Inputs'!$D$24)=TRUE,-DW$14,0),
'Redlands Inputs'!$G$12="Market",
IF(AND(DW10&gt;'Redlands Inputs'!$H$20,DW10&lt;EOMONTH('Redlands Inputs'!$H$20,'Redlands Inputs'!$K$18))=TRUE,-DW$14,0),
'Redlands Inputs'!$G$12="Renew",0)</f>
        <v>0</v>
      </c>
      <c r="DX15" s="40" cm="1">
        <f t="array" ref="DX15">_xlfn.IFS('Redlands Inputs'!$G$12="Vacate",
IF(AND(DX10&gt;'Redlands Inputs'!$H$20,DX10&lt;'Redlands Inputs'!$D$24)=TRUE,-DX$14,0),
'Redlands Inputs'!$G$12="Market",
IF(AND(DX10&gt;'Redlands Inputs'!$H$20,DX10&lt;EOMONTH('Redlands Inputs'!$H$20,'Redlands Inputs'!$K$18))=TRUE,-DX$14,0),
'Redlands Inputs'!$G$12="Renew",0)</f>
        <v>0</v>
      </c>
      <c r="DY15" s="40" cm="1">
        <f t="array" ref="DY15">_xlfn.IFS('Redlands Inputs'!$G$12="Vacate",
IF(AND(DY10&gt;'Redlands Inputs'!$H$20,DY10&lt;'Redlands Inputs'!$D$24)=TRUE,-DY$14,0),
'Redlands Inputs'!$G$12="Market",
IF(AND(DY10&gt;'Redlands Inputs'!$H$20,DY10&lt;EOMONTH('Redlands Inputs'!$H$20,'Redlands Inputs'!$K$18))=TRUE,-DY$14,0),
'Redlands Inputs'!$G$12="Renew",0)</f>
        <v>0</v>
      </c>
      <c r="DZ15" s="40" cm="1">
        <f t="array" ref="DZ15">_xlfn.IFS('Redlands Inputs'!$G$12="Vacate",
IF(AND(DZ10&gt;'Redlands Inputs'!$H$20,DZ10&lt;'Redlands Inputs'!$D$24)=TRUE,-DZ$14,0),
'Redlands Inputs'!$G$12="Market",
IF(AND(DZ10&gt;'Redlands Inputs'!$H$20,DZ10&lt;EOMONTH('Redlands Inputs'!$H$20,'Redlands Inputs'!$K$18))=TRUE,-DZ$14,0),
'Redlands Inputs'!$G$12="Renew",0)</f>
        <v>0</v>
      </c>
      <c r="EA15" s="40" cm="1">
        <f t="array" ref="EA15">_xlfn.IFS('Redlands Inputs'!$G$12="Vacate",
IF(AND(EA10&gt;'Redlands Inputs'!$H$20,EA10&lt;'Redlands Inputs'!$D$24)=TRUE,-EA$14,0),
'Redlands Inputs'!$G$12="Market",
IF(AND(EA10&gt;'Redlands Inputs'!$H$20,EA10&lt;EOMONTH('Redlands Inputs'!$H$20,'Redlands Inputs'!$K$18))=TRUE,-EA$14,0),
'Redlands Inputs'!$G$12="Renew",0)</f>
        <v>0</v>
      </c>
      <c r="EB15" s="40" cm="1">
        <f t="array" ref="EB15">_xlfn.IFS('Redlands Inputs'!$G$12="Vacate",
IF(AND(EB10&gt;'Redlands Inputs'!$H$20,EB10&lt;'Redlands Inputs'!$D$24)=TRUE,-EB$14,0),
'Redlands Inputs'!$G$12="Market",
IF(AND(EB10&gt;'Redlands Inputs'!$H$20,EB10&lt;EOMONTH('Redlands Inputs'!$H$20,'Redlands Inputs'!$K$18))=TRUE,-EB$14,0),
'Redlands Inputs'!$G$12="Renew",0)</f>
        <v>0</v>
      </c>
      <c r="EC15" s="40" cm="1">
        <f t="array" ref="EC15">_xlfn.IFS('Redlands Inputs'!$G$12="Vacate",
IF(AND(EC10&gt;'Redlands Inputs'!$H$20,EC10&lt;'Redlands Inputs'!$D$24)=TRUE,-EC$14,0),
'Redlands Inputs'!$G$12="Market",
IF(AND(EC10&gt;'Redlands Inputs'!$H$20,EC10&lt;EOMONTH('Redlands Inputs'!$H$20,'Redlands Inputs'!$K$18))=TRUE,-EC$14,0),
'Redlands Inputs'!$G$12="Renew",0)</f>
        <v>0</v>
      </c>
      <c r="ED15" s="40" cm="1">
        <f t="array" ref="ED15">_xlfn.IFS('Redlands Inputs'!$G$12="Vacate",
IF(AND(ED10&gt;'Redlands Inputs'!$H$20,ED10&lt;'Redlands Inputs'!$D$24)=TRUE,-ED$14,0),
'Redlands Inputs'!$G$12="Market",
IF(AND(ED10&gt;'Redlands Inputs'!$H$20,ED10&lt;EOMONTH('Redlands Inputs'!$H$20,'Redlands Inputs'!$K$18))=TRUE,-ED$14,0),
'Redlands Inputs'!$G$12="Renew",0)</f>
        <v>0</v>
      </c>
    </row>
    <row r="16" spans="1:134" ht="19.149999999999999" customHeight="1" x14ac:dyDescent="0.4">
      <c r="A16" s="9" t="s">
        <v>14</v>
      </c>
      <c r="B16" s="9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</row>
    <row r="17" spans="1:134" ht="19.149999999999999" customHeight="1" x14ac:dyDescent="0.4">
      <c r="A17" s="8" t="s">
        <v>15</v>
      </c>
      <c r="B17" s="8"/>
      <c r="C17" s="80">
        <f>SUM(C14:C16)</f>
        <v>324988.80856044823</v>
      </c>
      <c r="D17" s="80">
        <f t="shared" ref="D17:BO17" si="6">SUM(D14:D16)</f>
        <v>324988.80856044823</v>
      </c>
      <c r="E17" s="80">
        <f t="shared" si="6"/>
        <v>324988.80856044823</v>
      </c>
      <c r="F17" s="80">
        <f t="shared" si="6"/>
        <v>324988.80856044823</v>
      </c>
      <c r="G17" s="80">
        <f t="shared" si="6"/>
        <v>324988.80856044823</v>
      </c>
      <c r="H17" s="80">
        <f t="shared" si="6"/>
        <v>324988.80856044823</v>
      </c>
      <c r="I17" s="80">
        <f t="shared" si="6"/>
        <v>324988.80856044823</v>
      </c>
      <c r="J17" s="80">
        <f t="shared" si="6"/>
        <v>324988.80856044823</v>
      </c>
      <c r="K17" s="80">
        <f t="shared" si="6"/>
        <v>324988.80856044823</v>
      </c>
      <c r="L17" s="80">
        <f t="shared" si="6"/>
        <v>324988.80856044823</v>
      </c>
      <c r="M17" s="80">
        <f t="shared" si="6"/>
        <v>324988.80856044823</v>
      </c>
      <c r="N17" s="80">
        <f t="shared" si="6"/>
        <v>324988.80856044823</v>
      </c>
      <c r="O17" s="80">
        <f t="shared" si="6"/>
        <v>331488.58473165717</v>
      </c>
      <c r="P17" s="80">
        <f t="shared" si="6"/>
        <v>331488.58473165717</v>
      </c>
      <c r="Q17" s="80">
        <f t="shared" si="6"/>
        <v>331488.58473165717</v>
      </c>
      <c r="R17" s="80">
        <f t="shared" si="6"/>
        <v>331488.58473165717</v>
      </c>
      <c r="S17" s="80">
        <f t="shared" si="6"/>
        <v>331488.58473165717</v>
      </c>
      <c r="T17" s="80">
        <f t="shared" si="6"/>
        <v>331488.58473165717</v>
      </c>
      <c r="U17" s="80">
        <f t="shared" si="6"/>
        <v>331488.58473165717</v>
      </c>
      <c r="V17" s="80">
        <f t="shared" si="6"/>
        <v>331488.58473165717</v>
      </c>
      <c r="W17" s="80">
        <f t="shared" si="6"/>
        <v>331488.58473165717</v>
      </c>
      <c r="X17" s="80">
        <f t="shared" si="6"/>
        <v>331488.58473165717</v>
      </c>
      <c r="Y17" s="80">
        <f t="shared" si="6"/>
        <v>331488.58473165717</v>
      </c>
      <c r="Z17" s="80">
        <f t="shared" si="6"/>
        <v>331488.58473165717</v>
      </c>
      <c r="AA17" s="80">
        <f t="shared" si="6"/>
        <v>338118.35642629035</v>
      </c>
      <c r="AB17" s="80">
        <f t="shared" si="6"/>
        <v>338118.35642629035</v>
      </c>
      <c r="AC17" s="80">
        <f t="shared" si="6"/>
        <v>338118.35642629035</v>
      </c>
      <c r="AD17" s="80">
        <f t="shared" si="6"/>
        <v>338118.35642629035</v>
      </c>
      <c r="AE17" s="80">
        <f t="shared" si="6"/>
        <v>338118.35642629035</v>
      </c>
      <c r="AF17" s="80">
        <f t="shared" si="6"/>
        <v>338118.35642629035</v>
      </c>
      <c r="AG17" s="80">
        <f t="shared" si="6"/>
        <v>338118.35642629035</v>
      </c>
      <c r="AH17" s="80">
        <f t="shared" si="6"/>
        <v>338118.35642629035</v>
      </c>
      <c r="AI17" s="80">
        <f t="shared" si="6"/>
        <v>338118.35642629035</v>
      </c>
      <c r="AJ17" s="80">
        <f t="shared" si="6"/>
        <v>338118.35642629035</v>
      </c>
      <c r="AK17" s="80">
        <f t="shared" si="6"/>
        <v>338118.35642629035</v>
      </c>
      <c r="AL17" s="80">
        <f t="shared" si="6"/>
        <v>338118.35642629035</v>
      </c>
      <c r="AM17" s="80">
        <f t="shared" si="6"/>
        <v>344880.7235548161</v>
      </c>
      <c r="AN17" s="80">
        <f t="shared" si="6"/>
        <v>344880.7235548161</v>
      </c>
      <c r="AO17" s="80">
        <f t="shared" si="6"/>
        <v>344880.7235548161</v>
      </c>
      <c r="AP17" s="80">
        <f t="shared" si="6"/>
        <v>344880.7235548161</v>
      </c>
      <c r="AQ17" s="80">
        <f t="shared" si="6"/>
        <v>344880.7235548161</v>
      </c>
      <c r="AR17" s="80">
        <f t="shared" si="6"/>
        <v>344880.7235548161</v>
      </c>
      <c r="AS17" s="80">
        <f t="shared" si="6"/>
        <v>344880.7235548161</v>
      </c>
      <c r="AT17" s="80">
        <f t="shared" si="6"/>
        <v>344880.7235548161</v>
      </c>
      <c r="AU17" s="80">
        <f t="shared" si="6"/>
        <v>344880.7235548161</v>
      </c>
      <c r="AV17" s="80">
        <f t="shared" si="6"/>
        <v>344880.7235548161</v>
      </c>
      <c r="AW17" s="80">
        <f t="shared" si="6"/>
        <v>344880.7235548161</v>
      </c>
      <c r="AX17" s="80">
        <f t="shared" si="6"/>
        <v>344880.7235548161</v>
      </c>
      <c r="AY17" s="80">
        <f t="shared" si="6"/>
        <v>351778.33802591247</v>
      </c>
      <c r="AZ17" s="80">
        <f t="shared" si="6"/>
        <v>351778.33802591247</v>
      </c>
      <c r="BA17" s="80">
        <f t="shared" si="6"/>
        <v>351778.33802591247</v>
      </c>
      <c r="BB17" s="80">
        <f t="shared" si="6"/>
        <v>351778.33802591247</v>
      </c>
      <c r="BC17" s="80">
        <f t="shared" si="6"/>
        <v>351778.33802591247</v>
      </c>
      <c r="BD17" s="80">
        <f t="shared" si="6"/>
        <v>351778.33802591247</v>
      </c>
      <c r="BE17" s="80">
        <f t="shared" si="6"/>
        <v>351778.33802591247</v>
      </c>
      <c r="BF17" s="80">
        <f t="shared" si="6"/>
        <v>351778.33802591247</v>
      </c>
      <c r="BG17" s="80">
        <f t="shared" si="6"/>
        <v>351778.33802591247</v>
      </c>
      <c r="BH17" s="80">
        <f t="shared" si="6"/>
        <v>351778.33802591247</v>
      </c>
      <c r="BI17" s="80">
        <f t="shared" si="6"/>
        <v>351778.33802591247</v>
      </c>
      <c r="BJ17" s="80">
        <f t="shared" si="6"/>
        <v>351778.33802591247</v>
      </c>
      <c r="BK17" s="80">
        <f t="shared" si="6"/>
        <v>358813.90478643071</v>
      </c>
      <c r="BL17" s="80">
        <f t="shared" si="6"/>
        <v>358813.90478643071</v>
      </c>
      <c r="BM17" s="80">
        <f t="shared" si="6"/>
        <v>358813.90478643071</v>
      </c>
      <c r="BN17" s="80">
        <f t="shared" si="6"/>
        <v>358813.90478643071</v>
      </c>
      <c r="BO17" s="80">
        <f t="shared" si="6"/>
        <v>358813.90478643071</v>
      </c>
      <c r="BP17" s="80">
        <f t="shared" ref="BP17:EA17" si="7">SUM(BP14:BP16)</f>
        <v>358813.90478643071</v>
      </c>
      <c r="BQ17" s="80">
        <f t="shared" si="7"/>
        <v>358813.90478643071</v>
      </c>
      <c r="BR17" s="80">
        <f t="shared" si="7"/>
        <v>358813.90478643071</v>
      </c>
      <c r="BS17" s="80">
        <f t="shared" si="7"/>
        <v>358813.90478643071</v>
      </c>
      <c r="BT17" s="80">
        <f t="shared" si="7"/>
        <v>358813.90478643071</v>
      </c>
      <c r="BU17" s="80">
        <f t="shared" si="7"/>
        <v>358813.90478643071</v>
      </c>
      <c r="BV17" s="80">
        <f t="shared" si="7"/>
        <v>358813.90478643071</v>
      </c>
      <c r="BW17" s="80">
        <f t="shared" si="7"/>
        <v>365990.18288215937</v>
      </c>
      <c r="BX17" s="80">
        <f t="shared" si="7"/>
        <v>365990.18288215937</v>
      </c>
      <c r="BY17" s="80">
        <f t="shared" si="7"/>
        <v>365990.18288215937</v>
      </c>
      <c r="BZ17" s="80">
        <f t="shared" si="7"/>
        <v>365990.18288215937</v>
      </c>
      <c r="CA17" s="80">
        <f t="shared" si="7"/>
        <v>365990.18288215937</v>
      </c>
      <c r="CB17" s="80">
        <f t="shared" si="7"/>
        <v>365990.18288215937</v>
      </c>
      <c r="CC17" s="80">
        <f t="shared" si="7"/>
        <v>365990.18288215937</v>
      </c>
      <c r="CD17" s="80">
        <f t="shared" si="7"/>
        <v>365990.18288215937</v>
      </c>
      <c r="CE17" s="80">
        <f t="shared" si="7"/>
        <v>365990.18288215937</v>
      </c>
      <c r="CF17" s="80">
        <f t="shared" si="7"/>
        <v>365990.18288215937</v>
      </c>
      <c r="CG17" s="80">
        <f t="shared" si="7"/>
        <v>365990.18288215937</v>
      </c>
      <c r="CH17" s="80">
        <f t="shared" si="7"/>
        <v>365990.18288215937</v>
      </c>
      <c r="CI17" s="80">
        <f t="shared" si="7"/>
        <v>373309.98653980246</v>
      </c>
      <c r="CJ17" s="80">
        <f t="shared" si="7"/>
        <v>534908.5891506956</v>
      </c>
      <c r="CK17" s="80">
        <f t="shared" si="7"/>
        <v>534908.5891506956</v>
      </c>
      <c r="CL17" s="80">
        <f t="shared" si="7"/>
        <v>534908.5891506956</v>
      </c>
      <c r="CM17" s="80">
        <f t="shared" si="7"/>
        <v>534908.5891506956</v>
      </c>
      <c r="CN17" s="80">
        <f t="shared" si="7"/>
        <v>534908.5891506956</v>
      </c>
      <c r="CO17" s="80">
        <f t="shared" si="7"/>
        <v>534908.5891506956</v>
      </c>
      <c r="CP17" s="80">
        <f t="shared" si="7"/>
        <v>534908.5891506956</v>
      </c>
      <c r="CQ17" s="80">
        <f t="shared" si="7"/>
        <v>534908.5891506956</v>
      </c>
      <c r="CR17" s="80">
        <f t="shared" si="7"/>
        <v>534908.5891506956</v>
      </c>
      <c r="CS17" s="80">
        <f t="shared" si="7"/>
        <v>534908.5891506956</v>
      </c>
      <c r="CT17" s="80">
        <f t="shared" si="7"/>
        <v>534908.5891506956</v>
      </c>
      <c r="CU17" s="80">
        <f t="shared" si="7"/>
        <v>548281.303879463</v>
      </c>
      <c r="CV17" s="80">
        <f t="shared" si="7"/>
        <v>548281.303879463</v>
      </c>
      <c r="CW17" s="80">
        <f t="shared" si="7"/>
        <v>548281.303879463</v>
      </c>
      <c r="CX17" s="80">
        <f t="shared" si="7"/>
        <v>548281.303879463</v>
      </c>
      <c r="CY17" s="80">
        <f t="shared" si="7"/>
        <v>548281.303879463</v>
      </c>
      <c r="CZ17" s="80">
        <f t="shared" si="7"/>
        <v>548281.303879463</v>
      </c>
      <c r="DA17" s="80">
        <f t="shared" si="7"/>
        <v>548281.303879463</v>
      </c>
      <c r="DB17" s="80">
        <f t="shared" si="7"/>
        <v>548281.303879463</v>
      </c>
      <c r="DC17" s="80">
        <f t="shared" si="7"/>
        <v>548281.303879463</v>
      </c>
      <c r="DD17" s="80">
        <f t="shared" si="7"/>
        <v>548281.303879463</v>
      </c>
      <c r="DE17" s="80">
        <f t="shared" si="7"/>
        <v>548281.303879463</v>
      </c>
      <c r="DF17" s="80">
        <f t="shared" si="7"/>
        <v>548281.303879463</v>
      </c>
      <c r="DG17" s="80">
        <f t="shared" si="7"/>
        <v>561988.33647644939</v>
      </c>
      <c r="DH17" s="80">
        <f t="shared" si="7"/>
        <v>561988.33647644939</v>
      </c>
      <c r="DI17" s="80">
        <f t="shared" si="7"/>
        <v>561988.33647644939</v>
      </c>
      <c r="DJ17" s="80">
        <f t="shared" si="7"/>
        <v>561988.33647644939</v>
      </c>
      <c r="DK17" s="80">
        <f t="shared" si="7"/>
        <v>561988.33647644939</v>
      </c>
      <c r="DL17" s="80">
        <f t="shared" si="7"/>
        <v>561988.33647644939</v>
      </c>
      <c r="DM17" s="80">
        <f t="shared" si="7"/>
        <v>561988.33647644939</v>
      </c>
      <c r="DN17" s="80">
        <f t="shared" si="7"/>
        <v>561988.33647644939</v>
      </c>
      <c r="DO17" s="80">
        <f t="shared" si="7"/>
        <v>561988.33647644939</v>
      </c>
      <c r="DP17" s="80">
        <f t="shared" si="7"/>
        <v>561988.33647644939</v>
      </c>
      <c r="DQ17" s="80">
        <f t="shared" si="7"/>
        <v>561988.33647644939</v>
      </c>
      <c r="DR17" s="80">
        <f t="shared" si="7"/>
        <v>561988.33647644939</v>
      </c>
      <c r="DS17" s="80">
        <f t="shared" si="7"/>
        <v>576038.04488836066</v>
      </c>
      <c r="DT17" s="80">
        <f t="shared" si="7"/>
        <v>576038.04488836066</v>
      </c>
      <c r="DU17" s="80">
        <f t="shared" si="7"/>
        <v>576038.04488836066</v>
      </c>
      <c r="DV17" s="80">
        <f t="shared" si="7"/>
        <v>576038.04488836066</v>
      </c>
      <c r="DW17" s="80">
        <f t="shared" si="7"/>
        <v>576038.04488836066</v>
      </c>
      <c r="DX17" s="80">
        <f t="shared" si="7"/>
        <v>576038.04488836066</v>
      </c>
      <c r="DY17" s="80">
        <f t="shared" si="7"/>
        <v>576038.04488836066</v>
      </c>
      <c r="DZ17" s="80">
        <f t="shared" si="7"/>
        <v>576038.04488836066</v>
      </c>
      <c r="EA17" s="80">
        <f t="shared" si="7"/>
        <v>576038.04488836066</v>
      </c>
      <c r="EB17" s="80">
        <f t="shared" ref="EB17:ED17" si="8">SUM(EB14:EB16)</f>
        <v>576038.04488836066</v>
      </c>
      <c r="EC17" s="80">
        <f t="shared" si="8"/>
        <v>576038.04488836066</v>
      </c>
      <c r="ED17" s="80">
        <f t="shared" si="8"/>
        <v>576038.04488836066</v>
      </c>
    </row>
    <row r="18" spans="1:134" ht="19.149999999999999" customHeight="1" x14ac:dyDescent="0.4">
      <c r="A18" s="7" t="s">
        <v>16</v>
      </c>
      <c r="B18" s="7"/>
      <c r="C18" s="80">
        <f>C17</f>
        <v>324988.80856044823</v>
      </c>
      <c r="D18" s="80">
        <f t="shared" ref="D18:BO18" si="9">D17</f>
        <v>324988.80856044823</v>
      </c>
      <c r="E18" s="80">
        <f t="shared" si="9"/>
        <v>324988.80856044823</v>
      </c>
      <c r="F18" s="80">
        <f t="shared" si="9"/>
        <v>324988.80856044823</v>
      </c>
      <c r="G18" s="80">
        <f t="shared" si="9"/>
        <v>324988.80856044823</v>
      </c>
      <c r="H18" s="80">
        <f t="shared" si="9"/>
        <v>324988.80856044823</v>
      </c>
      <c r="I18" s="80">
        <f t="shared" si="9"/>
        <v>324988.80856044823</v>
      </c>
      <c r="J18" s="80">
        <f t="shared" si="9"/>
        <v>324988.80856044823</v>
      </c>
      <c r="K18" s="80">
        <f t="shared" si="9"/>
        <v>324988.80856044823</v>
      </c>
      <c r="L18" s="80">
        <f t="shared" si="9"/>
        <v>324988.80856044823</v>
      </c>
      <c r="M18" s="80">
        <f t="shared" si="9"/>
        <v>324988.80856044823</v>
      </c>
      <c r="N18" s="80">
        <f t="shared" si="9"/>
        <v>324988.80856044823</v>
      </c>
      <c r="O18" s="80">
        <f t="shared" si="9"/>
        <v>331488.58473165717</v>
      </c>
      <c r="P18" s="80">
        <f t="shared" si="9"/>
        <v>331488.58473165717</v>
      </c>
      <c r="Q18" s="80">
        <f t="shared" si="9"/>
        <v>331488.58473165717</v>
      </c>
      <c r="R18" s="80">
        <f t="shared" si="9"/>
        <v>331488.58473165717</v>
      </c>
      <c r="S18" s="80">
        <f t="shared" si="9"/>
        <v>331488.58473165717</v>
      </c>
      <c r="T18" s="80">
        <f t="shared" si="9"/>
        <v>331488.58473165717</v>
      </c>
      <c r="U18" s="80">
        <f t="shared" si="9"/>
        <v>331488.58473165717</v>
      </c>
      <c r="V18" s="80">
        <f t="shared" si="9"/>
        <v>331488.58473165717</v>
      </c>
      <c r="W18" s="80">
        <f t="shared" si="9"/>
        <v>331488.58473165717</v>
      </c>
      <c r="X18" s="80">
        <f t="shared" si="9"/>
        <v>331488.58473165717</v>
      </c>
      <c r="Y18" s="80">
        <f t="shared" si="9"/>
        <v>331488.58473165717</v>
      </c>
      <c r="Z18" s="80">
        <f t="shared" si="9"/>
        <v>331488.58473165717</v>
      </c>
      <c r="AA18" s="80">
        <f t="shared" si="9"/>
        <v>338118.35642629035</v>
      </c>
      <c r="AB18" s="80">
        <f t="shared" si="9"/>
        <v>338118.35642629035</v>
      </c>
      <c r="AC18" s="80">
        <f t="shared" si="9"/>
        <v>338118.35642629035</v>
      </c>
      <c r="AD18" s="80">
        <f t="shared" si="9"/>
        <v>338118.35642629035</v>
      </c>
      <c r="AE18" s="80">
        <f t="shared" si="9"/>
        <v>338118.35642629035</v>
      </c>
      <c r="AF18" s="80">
        <f t="shared" si="9"/>
        <v>338118.35642629035</v>
      </c>
      <c r="AG18" s="80">
        <f t="shared" si="9"/>
        <v>338118.35642629035</v>
      </c>
      <c r="AH18" s="80">
        <f t="shared" si="9"/>
        <v>338118.35642629035</v>
      </c>
      <c r="AI18" s="80">
        <f t="shared" si="9"/>
        <v>338118.35642629035</v>
      </c>
      <c r="AJ18" s="80">
        <f t="shared" si="9"/>
        <v>338118.35642629035</v>
      </c>
      <c r="AK18" s="80">
        <f t="shared" si="9"/>
        <v>338118.35642629035</v>
      </c>
      <c r="AL18" s="80">
        <f t="shared" si="9"/>
        <v>338118.35642629035</v>
      </c>
      <c r="AM18" s="80">
        <f t="shared" si="9"/>
        <v>344880.7235548161</v>
      </c>
      <c r="AN18" s="80">
        <f t="shared" si="9"/>
        <v>344880.7235548161</v>
      </c>
      <c r="AO18" s="80">
        <f t="shared" si="9"/>
        <v>344880.7235548161</v>
      </c>
      <c r="AP18" s="80">
        <f t="shared" si="9"/>
        <v>344880.7235548161</v>
      </c>
      <c r="AQ18" s="80">
        <f t="shared" si="9"/>
        <v>344880.7235548161</v>
      </c>
      <c r="AR18" s="80">
        <f t="shared" si="9"/>
        <v>344880.7235548161</v>
      </c>
      <c r="AS18" s="80">
        <f t="shared" si="9"/>
        <v>344880.7235548161</v>
      </c>
      <c r="AT18" s="80">
        <f t="shared" si="9"/>
        <v>344880.7235548161</v>
      </c>
      <c r="AU18" s="80">
        <f t="shared" si="9"/>
        <v>344880.7235548161</v>
      </c>
      <c r="AV18" s="80">
        <f t="shared" si="9"/>
        <v>344880.7235548161</v>
      </c>
      <c r="AW18" s="80">
        <f t="shared" si="9"/>
        <v>344880.7235548161</v>
      </c>
      <c r="AX18" s="80">
        <f t="shared" si="9"/>
        <v>344880.7235548161</v>
      </c>
      <c r="AY18" s="80">
        <f t="shared" si="9"/>
        <v>351778.33802591247</v>
      </c>
      <c r="AZ18" s="80">
        <f t="shared" si="9"/>
        <v>351778.33802591247</v>
      </c>
      <c r="BA18" s="80">
        <f t="shared" si="9"/>
        <v>351778.33802591247</v>
      </c>
      <c r="BB18" s="80">
        <f t="shared" si="9"/>
        <v>351778.33802591247</v>
      </c>
      <c r="BC18" s="80">
        <f t="shared" si="9"/>
        <v>351778.33802591247</v>
      </c>
      <c r="BD18" s="80">
        <f t="shared" si="9"/>
        <v>351778.33802591247</v>
      </c>
      <c r="BE18" s="80">
        <f t="shared" si="9"/>
        <v>351778.33802591247</v>
      </c>
      <c r="BF18" s="80">
        <f t="shared" si="9"/>
        <v>351778.33802591247</v>
      </c>
      <c r="BG18" s="80">
        <f t="shared" si="9"/>
        <v>351778.33802591247</v>
      </c>
      <c r="BH18" s="80">
        <f t="shared" si="9"/>
        <v>351778.33802591247</v>
      </c>
      <c r="BI18" s="80">
        <f t="shared" si="9"/>
        <v>351778.33802591247</v>
      </c>
      <c r="BJ18" s="80">
        <f t="shared" si="9"/>
        <v>351778.33802591247</v>
      </c>
      <c r="BK18" s="80">
        <f t="shared" si="9"/>
        <v>358813.90478643071</v>
      </c>
      <c r="BL18" s="80">
        <f t="shared" si="9"/>
        <v>358813.90478643071</v>
      </c>
      <c r="BM18" s="80">
        <f t="shared" si="9"/>
        <v>358813.90478643071</v>
      </c>
      <c r="BN18" s="80">
        <f t="shared" si="9"/>
        <v>358813.90478643071</v>
      </c>
      <c r="BO18" s="80">
        <f t="shared" si="9"/>
        <v>358813.90478643071</v>
      </c>
      <c r="BP18" s="80">
        <f t="shared" ref="BP18:EA18" si="10">BP17</f>
        <v>358813.90478643071</v>
      </c>
      <c r="BQ18" s="80">
        <f t="shared" si="10"/>
        <v>358813.90478643071</v>
      </c>
      <c r="BR18" s="80">
        <f t="shared" si="10"/>
        <v>358813.90478643071</v>
      </c>
      <c r="BS18" s="80">
        <f t="shared" si="10"/>
        <v>358813.90478643071</v>
      </c>
      <c r="BT18" s="80">
        <f t="shared" si="10"/>
        <v>358813.90478643071</v>
      </c>
      <c r="BU18" s="80">
        <f t="shared" si="10"/>
        <v>358813.90478643071</v>
      </c>
      <c r="BV18" s="80">
        <f t="shared" si="10"/>
        <v>358813.90478643071</v>
      </c>
      <c r="BW18" s="80">
        <f t="shared" si="10"/>
        <v>365990.18288215937</v>
      </c>
      <c r="BX18" s="80">
        <f t="shared" si="10"/>
        <v>365990.18288215937</v>
      </c>
      <c r="BY18" s="80">
        <f t="shared" si="10"/>
        <v>365990.18288215937</v>
      </c>
      <c r="BZ18" s="80">
        <f t="shared" si="10"/>
        <v>365990.18288215937</v>
      </c>
      <c r="CA18" s="80">
        <f t="shared" si="10"/>
        <v>365990.18288215937</v>
      </c>
      <c r="CB18" s="80">
        <f t="shared" si="10"/>
        <v>365990.18288215937</v>
      </c>
      <c r="CC18" s="80">
        <f t="shared" si="10"/>
        <v>365990.18288215937</v>
      </c>
      <c r="CD18" s="80">
        <f t="shared" si="10"/>
        <v>365990.18288215937</v>
      </c>
      <c r="CE18" s="80">
        <f t="shared" si="10"/>
        <v>365990.18288215937</v>
      </c>
      <c r="CF18" s="80">
        <f t="shared" si="10"/>
        <v>365990.18288215937</v>
      </c>
      <c r="CG18" s="80">
        <f t="shared" si="10"/>
        <v>365990.18288215937</v>
      </c>
      <c r="CH18" s="80">
        <f t="shared" si="10"/>
        <v>365990.18288215937</v>
      </c>
      <c r="CI18" s="80">
        <f t="shared" si="10"/>
        <v>373309.98653980246</v>
      </c>
      <c r="CJ18" s="80">
        <f t="shared" si="10"/>
        <v>534908.5891506956</v>
      </c>
      <c r="CK18" s="80">
        <f t="shared" si="10"/>
        <v>534908.5891506956</v>
      </c>
      <c r="CL18" s="80">
        <f t="shared" si="10"/>
        <v>534908.5891506956</v>
      </c>
      <c r="CM18" s="80">
        <f t="shared" si="10"/>
        <v>534908.5891506956</v>
      </c>
      <c r="CN18" s="80">
        <f t="shared" si="10"/>
        <v>534908.5891506956</v>
      </c>
      <c r="CO18" s="80">
        <f t="shared" si="10"/>
        <v>534908.5891506956</v>
      </c>
      <c r="CP18" s="80">
        <f t="shared" si="10"/>
        <v>534908.5891506956</v>
      </c>
      <c r="CQ18" s="80">
        <f t="shared" si="10"/>
        <v>534908.5891506956</v>
      </c>
      <c r="CR18" s="80">
        <f t="shared" si="10"/>
        <v>534908.5891506956</v>
      </c>
      <c r="CS18" s="80">
        <f t="shared" si="10"/>
        <v>534908.5891506956</v>
      </c>
      <c r="CT18" s="80">
        <f t="shared" si="10"/>
        <v>534908.5891506956</v>
      </c>
      <c r="CU18" s="80">
        <f t="shared" si="10"/>
        <v>548281.303879463</v>
      </c>
      <c r="CV18" s="80">
        <f t="shared" si="10"/>
        <v>548281.303879463</v>
      </c>
      <c r="CW18" s="80">
        <f t="shared" si="10"/>
        <v>548281.303879463</v>
      </c>
      <c r="CX18" s="80">
        <f t="shared" si="10"/>
        <v>548281.303879463</v>
      </c>
      <c r="CY18" s="80">
        <f t="shared" si="10"/>
        <v>548281.303879463</v>
      </c>
      <c r="CZ18" s="80">
        <f t="shared" si="10"/>
        <v>548281.303879463</v>
      </c>
      <c r="DA18" s="80">
        <f t="shared" si="10"/>
        <v>548281.303879463</v>
      </c>
      <c r="DB18" s="80">
        <f t="shared" si="10"/>
        <v>548281.303879463</v>
      </c>
      <c r="DC18" s="80">
        <f t="shared" si="10"/>
        <v>548281.303879463</v>
      </c>
      <c r="DD18" s="80">
        <f t="shared" si="10"/>
        <v>548281.303879463</v>
      </c>
      <c r="DE18" s="80">
        <f t="shared" si="10"/>
        <v>548281.303879463</v>
      </c>
      <c r="DF18" s="80">
        <f t="shared" si="10"/>
        <v>548281.303879463</v>
      </c>
      <c r="DG18" s="80">
        <f t="shared" si="10"/>
        <v>561988.33647644939</v>
      </c>
      <c r="DH18" s="80">
        <f t="shared" si="10"/>
        <v>561988.33647644939</v>
      </c>
      <c r="DI18" s="80">
        <f t="shared" si="10"/>
        <v>561988.33647644939</v>
      </c>
      <c r="DJ18" s="80">
        <f t="shared" si="10"/>
        <v>561988.33647644939</v>
      </c>
      <c r="DK18" s="80">
        <f t="shared" si="10"/>
        <v>561988.33647644939</v>
      </c>
      <c r="DL18" s="80">
        <f t="shared" si="10"/>
        <v>561988.33647644939</v>
      </c>
      <c r="DM18" s="80">
        <f t="shared" si="10"/>
        <v>561988.33647644939</v>
      </c>
      <c r="DN18" s="80">
        <f t="shared" si="10"/>
        <v>561988.33647644939</v>
      </c>
      <c r="DO18" s="80">
        <f t="shared" si="10"/>
        <v>561988.33647644939</v>
      </c>
      <c r="DP18" s="80">
        <f t="shared" si="10"/>
        <v>561988.33647644939</v>
      </c>
      <c r="DQ18" s="80">
        <f t="shared" si="10"/>
        <v>561988.33647644939</v>
      </c>
      <c r="DR18" s="80">
        <f t="shared" si="10"/>
        <v>561988.33647644939</v>
      </c>
      <c r="DS18" s="80">
        <f t="shared" si="10"/>
        <v>576038.04488836066</v>
      </c>
      <c r="DT18" s="80">
        <f t="shared" si="10"/>
        <v>576038.04488836066</v>
      </c>
      <c r="DU18" s="80">
        <f t="shared" si="10"/>
        <v>576038.04488836066</v>
      </c>
      <c r="DV18" s="80">
        <f t="shared" si="10"/>
        <v>576038.04488836066</v>
      </c>
      <c r="DW18" s="80">
        <f t="shared" si="10"/>
        <v>576038.04488836066</v>
      </c>
      <c r="DX18" s="80">
        <f t="shared" si="10"/>
        <v>576038.04488836066</v>
      </c>
      <c r="DY18" s="80">
        <f t="shared" si="10"/>
        <v>576038.04488836066</v>
      </c>
      <c r="DZ18" s="80">
        <f t="shared" si="10"/>
        <v>576038.04488836066</v>
      </c>
      <c r="EA18" s="80">
        <f t="shared" si="10"/>
        <v>576038.04488836066</v>
      </c>
      <c r="EB18" s="80">
        <f t="shared" ref="EB18:ED18" si="11">EB17</f>
        <v>576038.04488836066</v>
      </c>
      <c r="EC18" s="80">
        <f t="shared" si="11"/>
        <v>576038.04488836066</v>
      </c>
      <c r="ED18" s="80">
        <f t="shared" si="11"/>
        <v>576038.04488836066</v>
      </c>
    </row>
    <row r="19" spans="1:134" ht="19.149999999999999" customHeight="1" x14ac:dyDescent="0.4">
      <c r="A19" s="5" t="s">
        <v>17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</row>
    <row r="20" spans="1:134" ht="19.149999999999999" customHeight="1" x14ac:dyDescent="0.4">
      <c r="A20" s="2" t="s">
        <v>18</v>
      </c>
      <c r="B20" s="2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</row>
    <row r="21" spans="1:134" ht="19.149999999999999" customHeight="1" x14ac:dyDescent="0.4">
      <c r="A21" s="11" t="s">
        <v>19</v>
      </c>
      <c r="B21" s="11"/>
      <c r="C21" s="39">
        <f>IF(C$15&lt;&gt;0,0,$C39)</f>
        <v>3750</v>
      </c>
      <c r="D21" s="39">
        <f t="shared" ref="D21:BO22" si="12">IF(D$15&lt;&gt;0,0,$C39)</f>
        <v>3750</v>
      </c>
      <c r="E21" s="39">
        <f t="shared" si="12"/>
        <v>3750</v>
      </c>
      <c r="F21" s="39">
        <f t="shared" si="12"/>
        <v>3750</v>
      </c>
      <c r="G21" s="39">
        <f t="shared" si="12"/>
        <v>3750</v>
      </c>
      <c r="H21" s="39">
        <f t="shared" si="12"/>
        <v>3750</v>
      </c>
      <c r="I21" s="39">
        <f t="shared" si="12"/>
        <v>3750</v>
      </c>
      <c r="J21" s="39">
        <f t="shared" si="12"/>
        <v>3750</v>
      </c>
      <c r="K21" s="39">
        <f t="shared" si="12"/>
        <v>3750</v>
      </c>
      <c r="L21" s="39">
        <f t="shared" si="12"/>
        <v>3750</v>
      </c>
      <c r="M21" s="39">
        <f t="shared" si="12"/>
        <v>3750</v>
      </c>
      <c r="N21" s="39">
        <f t="shared" si="12"/>
        <v>3750</v>
      </c>
      <c r="O21" s="39">
        <f t="shared" si="12"/>
        <v>3750</v>
      </c>
      <c r="P21" s="39">
        <f t="shared" si="12"/>
        <v>3750</v>
      </c>
      <c r="Q21" s="39">
        <f t="shared" si="12"/>
        <v>3750</v>
      </c>
      <c r="R21" s="39">
        <f t="shared" si="12"/>
        <v>3750</v>
      </c>
      <c r="S21" s="39">
        <f t="shared" si="12"/>
        <v>3750</v>
      </c>
      <c r="T21" s="39">
        <f t="shared" si="12"/>
        <v>3750</v>
      </c>
      <c r="U21" s="39">
        <f t="shared" si="12"/>
        <v>3750</v>
      </c>
      <c r="V21" s="39">
        <f t="shared" si="12"/>
        <v>3750</v>
      </c>
      <c r="W21" s="39">
        <f t="shared" si="12"/>
        <v>3750</v>
      </c>
      <c r="X21" s="39">
        <f t="shared" si="12"/>
        <v>3750</v>
      </c>
      <c r="Y21" s="39">
        <f t="shared" si="12"/>
        <v>3750</v>
      </c>
      <c r="Z21" s="39">
        <f t="shared" si="12"/>
        <v>3750</v>
      </c>
      <c r="AA21" s="39">
        <f t="shared" si="12"/>
        <v>3750</v>
      </c>
      <c r="AB21" s="39">
        <f t="shared" si="12"/>
        <v>3750</v>
      </c>
      <c r="AC21" s="39">
        <f t="shared" si="12"/>
        <v>3750</v>
      </c>
      <c r="AD21" s="39">
        <f t="shared" si="12"/>
        <v>3750</v>
      </c>
      <c r="AE21" s="39">
        <f t="shared" si="12"/>
        <v>3750</v>
      </c>
      <c r="AF21" s="39">
        <f t="shared" si="12"/>
        <v>3750</v>
      </c>
      <c r="AG21" s="39">
        <f t="shared" si="12"/>
        <v>3750</v>
      </c>
      <c r="AH21" s="39">
        <f t="shared" si="12"/>
        <v>3750</v>
      </c>
      <c r="AI21" s="39">
        <f t="shared" si="12"/>
        <v>3750</v>
      </c>
      <c r="AJ21" s="39">
        <f t="shared" si="12"/>
        <v>3750</v>
      </c>
      <c r="AK21" s="39">
        <f t="shared" si="12"/>
        <v>3750</v>
      </c>
      <c r="AL21" s="39">
        <f t="shared" si="12"/>
        <v>3750</v>
      </c>
      <c r="AM21" s="39">
        <f t="shared" si="12"/>
        <v>3750</v>
      </c>
      <c r="AN21" s="39">
        <f t="shared" si="12"/>
        <v>3750</v>
      </c>
      <c r="AO21" s="39">
        <f t="shared" si="12"/>
        <v>3750</v>
      </c>
      <c r="AP21" s="39">
        <f t="shared" si="12"/>
        <v>3750</v>
      </c>
      <c r="AQ21" s="39">
        <f t="shared" si="12"/>
        <v>3750</v>
      </c>
      <c r="AR21" s="39">
        <f t="shared" si="12"/>
        <v>3750</v>
      </c>
      <c r="AS21" s="39">
        <f t="shared" si="12"/>
        <v>3750</v>
      </c>
      <c r="AT21" s="39">
        <f t="shared" si="12"/>
        <v>3750</v>
      </c>
      <c r="AU21" s="39">
        <f t="shared" si="12"/>
        <v>3750</v>
      </c>
      <c r="AV21" s="39">
        <f t="shared" si="12"/>
        <v>3750</v>
      </c>
      <c r="AW21" s="39">
        <f t="shared" si="12"/>
        <v>3750</v>
      </c>
      <c r="AX21" s="39">
        <f t="shared" si="12"/>
        <v>3750</v>
      </c>
      <c r="AY21" s="39">
        <f t="shared" si="12"/>
        <v>3750</v>
      </c>
      <c r="AZ21" s="39">
        <f t="shared" si="12"/>
        <v>3750</v>
      </c>
      <c r="BA21" s="39">
        <f t="shared" si="12"/>
        <v>3750</v>
      </c>
      <c r="BB21" s="39">
        <f t="shared" si="12"/>
        <v>3750</v>
      </c>
      <c r="BC21" s="39">
        <f t="shared" si="12"/>
        <v>3750</v>
      </c>
      <c r="BD21" s="39">
        <f t="shared" si="12"/>
        <v>3750</v>
      </c>
      <c r="BE21" s="39">
        <f t="shared" si="12"/>
        <v>3750</v>
      </c>
      <c r="BF21" s="39">
        <f t="shared" si="12"/>
        <v>3750</v>
      </c>
      <c r="BG21" s="39">
        <f t="shared" si="12"/>
        <v>3750</v>
      </c>
      <c r="BH21" s="39">
        <f t="shared" si="12"/>
        <v>3750</v>
      </c>
      <c r="BI21" s="39">
        <f t="shared" si="12"/>
        <v>3750</v>
      </c>
      <c r="BJ21" s="39">
        <f t="shared" si="12"/>
        <v>3750</v>
      </c>
      <c r="BK21" s="39">
        <f t="shared" si="12"/>
        <v>3750</v>
      </c>
      <c r="BL21" s="39">
        <f t="shared" si="12"/>
        <v>3750</v>
      </c>
      <c r="BM21" s="39">
        <f t="shared" si="12"/>
        <v>3750</v>
      </c>
      <c r="BN21" s="39">
        <f t="shared" si="12"/>
        <v>3750</v>
      </c>
      <c r="BO21" s="39">
        <f t="shared" si="12"/>
        <v>3750</v>
      </c>
      <c r="BP21" s="39">
        <f t="shared" ref="BP21:EA23" si="13">IF(BP$15&lt;&gt;0,0,$C39)</f>
        <v>3750</v>
      </c>
      <c r="BQ21" s="39">
        <f t="shared" si="13"/>
        <v>3750</v>
      </c>
      <c r="BR21" s="39">
        <f t="shared" si="13"/>
        <v>3750</v>
      </c>
      <c r="BS21" s="39">
        <f t="shared" si="13"/>
        <v>3750</v>
      </c>
      <c r="BT21" s="39">
        <f t="shared" si="13"/>
        <v>3750</v>
      </c>
      <c r="BU21" s="39">
        <f t="shared" si="13"/>
        <v>3750</v>
      </c>
      <c r="BV21" s="39">
        <f t="shared" si="13"/>
        <v>3750</v>
      </c>
      <c r="BW21" s="39">
        <f t="shared" si="13"/>
        <v>3750</v>
      </c>
      <c r="BX21" s="39">
        <f t="shared" si="13"/>
        <v>3750</v>
      </c>
      <c r="BY21" s="39">
        <f t="shared" si="13"/>
        <v>3750</v>
      </c>
      <c r="BZ21" s="39">
        <f t="shared" si="13"/>
        <v>3750</v>
      </c>
      <c r="CA21" s="39">
        <f t="shared" si="13"/>
        <v>3750</v>
      </c>
      <c r="CB21" s="39">
        <f t="shared" si="13"/>
        <v>3750</v>
      </c>
      <c r="CC21" s="39">
        <f t="shared" si="13"/>
        <v>3750</v>
      </c>
      <c r="CD21" s="39">
        <f t="shared" si="13"/>
        <v>3750</v>
      </c>
      <c r="CE21" s="39">
        <f t="shared" si="13"/>
        <v>3750</v>
      </c>
      <c r="CF21" s="39">
        <f t="shared" si="13"/>
        <v>3750</v>
      </c>
      <c r="CG21" s="39">
        <f t="shared" si="13"/>
        <v>3750</v>
      </c>
      <c r="CH21" s="39">
        <f t="shared" si="13"/>
        <v>3750</v>
      </c>
      <c r="CI21" s="39">
        <f t="shared" si="13"/>
        <v>3750</v>
      </c>
      <c r="CJ21" s="39">
        <f t="shared" si="13"/>
        <v>3750</v>
      </c>
      <c r="CK21" s="39">
        <f t="shared" si="13"/>
        <v>3750</v>
      </c>
      <c r="CL21" s="39">
        <f t="shared" si="13"/>
        <v>3750</v>
      </c>
      <c r="CM21" s="39">
        <f t="shared" si="13"/>
        <v>3750</v>
      </c>
      <c r="CN21" s="39">
        <f t="shared" si="13"/>
        <v>3750</v>
      </c>
      <c r="CO21" s="39">
        <f t="shared" si="13"/>
        <v>3750</v>
      </c>
      <c r="CP21" s="39">
        <f t="shared" si="13"/>
        <v>3750</v>
      </c>
      <c r="CQ21" s="39">
        <f t="shared" si="13"/>
        <v>3750</v>
      </c>
      <c r="CR21" s="39">
        <f t="shared" si="13"/>
        <v>3750</v>
      </c>
      <c r="CS21" s="39">
        <f t="shared" si="13"/>
        <v>3750</v>
      </c>
      <c r="CT21" s="39">
        <f t="shared" si="13"/>
        <v>3750</v>
      </c>
      <c r="CU21" s="39">
        <f t="shared" si="13"/>
        <v>3750</v>
      </c>
      <c r="CV21" s="39">
        <f t="shared" si="13"/>
        <v>3750</v>
      </c>
      <c r="CW21" s="39">
        <f t="shared" si="13"/>
        <v>3750</v>
      </c>
      <c r="CX21" s="39">
        <f t="shared" si="13"/>
        <v>3750</v>
      </c>
      <c r="CY21" s="39">
        <f t="shared" si="13"/>
        <v>3750</v>
      </c>
      <c r="CZ21" s="39">
        <f t="shared" si="13"/>
        <v>3750</v>
      </c>
      <c r="DA21" s="39">
        <f t="shared" si="13"/>
        <v>3750</v>
      </c>
      <c r="DB21" s="39">
        <f t="shared" si="13"/>
        <v>3750</v>
      </c>
      <c r="DC21" s="39">
        <f t="shared" si="13"/>
        <v>3750</v>
      </c>
      <c r="DD21" s="39">
        <f t="shared" si="13"/>
        <v>3750</v>
      </c>
      <c r="DE21" s="39">
        <f t="shared" si="13"/>
        <v>3750</v>
      </c>
      <c r="DF21" s="39">
        <f t="shared" si="13"/>
        <v>3750</v>
      </c>
      <c r="DG21" s="39">
        <f t="shared" si="13"/>
        <v>3750</v>
      </c>
      <c r="DH21" s="39">
        <f t="shared" si="13"/>
        <v>3750</v>
      </c>
      <c r="DI21" s="39">
        <f t="shared" si="13"/>
        <v>3750</v>
      </c>
      <c r="DJ21" s="39">
        <f t="shared" si="13"/>
        <v>3750</v>
      </c>
      <c r="DK21" s="39">
        <f t="shared" si="13"/>
        <v>3750</v>
      </c>
      <c r="DL21" s="39">
        <f t="shared" si="13"/>
        <v>3750</v>
      </c>
      <c r="DM21" s="39">
        <f t="shared" si="13"/>
        <v>3750</v>
      </c>
      <c r="DN21" s="39">
        <f t="shared" si="13"/>
        <v>3750</v>
      </c>
      <c r="DO21" s="39">
        <f t="shared" si="13"/>
        <v>3750</v>
      </c>
      <c r="DP21" s="39">
        <f t="shared" si="13"/>
        <v>3750</v>
      </c>
      <c r="DQ21" s="39">
        <f t="shared" si="13"/>
        <v>3750</v>
      </c>
      <c r="DR21" s="39">
        <f t="shared" si="13"/>
        <v>3750</v>
      </c>
      <c r="DS21" s="39">
        <f t="shared" si="13"/>
        <v>3750</v>
      </c>
      <c r="DT21" s="39">
        <f t="shared" si="13"/>
        <v>3750</v>
      </c>
      <c r="DU21" s="39">
        <f t="shared" si="13"/>
        <v>3750</v>
      </c>
      <c r="DV21" s="39">
        <f t="shared" si="13"/>
        <v>3750</v>
      </c>
      <c r="DW21" s="39">
        <f t="shared" si="13"/>
        <v>3750</v>
      </c>
      <c r="DX21" s="39">
        <f t="shared" si="13"/>
        <v>3750</v>
      </c>
      <c r="DY21" s="39">
        <f t="shared" si="13"/>
        <v>3750</v>
      </c>
      <c r="DZ21" s="39">
        <f t="shared" si="13"/>
        <v>3750</v>
      </c>
      <c r="EA21" s="39">
        <f t="shared" si="13"/>
        <v>3750</v>
      </c>
      <c r="EB21" s="39">
        <f t="shared" ref="EB21:ED23" si="14">IF(EB$15&lt;&gt;0,0,$C39)</f>
        <v>3750</v>
      </c>
      <c r="EC21" s="39">
        <f t="shared" si="14"/>
        <v>3750</v>
      </c>
      <c r="ED21" s="39">
        <f t="shared" si="14"/>
        <v>3750</v>
      </c>
    </row>
    <row r="22" spans="1:134" ht="19.149999999999999" customHeight="1" x14ac:dyDescent="0.4">
      <c r="A22" s="11" t="s">
        <v>20</v>
      </c>
      <c r="B22" s="11"/>
      <c r="C22" s="39">
        <f t="shared" ref="C22:R23" si="15">IF(C$15&lt;&gt;0,0,$C40)</f>
        <v>3750</v>
      </c>
      <c r="D22" s="39">
        <f t="shared" si="15"/>
        <v>3750</v>
      </c>
      <c r="E22" s="39">
        <f t="shared" si="15"/>
        <v>3750</v>
      </c>
      <c r="F22" s="39">
        <f t="shared" si="15"/>
        <v>3750</v>
      </c>
      <c r="G22" s="39">
        <f t="shared" si="15"/>
        <v>3750</v>
      </c>
      <c r="H22" s="39">
        <f t="shared" si="15"/>
        <v>3750</v>
      </c>
      <c r="I22" s="39">
        <f t="shared" si="15"/>
        <v>3750</v>
      </c>
      <c r="J22" s="39">
        <f t="shared" si="15"/>
        <v>3750</v>
      </c>
      <c r="K22" s="39">
        <f t="shared" si="15"/>
        <v>3750</v>
      </c>
      <c r="L22" s="39">
        <f t="shared" si="15"/>
        <v>3750</v>
      </c>
      <c r="M22" s="39">
        <f t="shared" si="15"/>
        <v>3750</v>
      </c>
      <c r="N22" s="39">
        <f t="shared" si="15"/>
        <v>3750</v>
      </c>
      <c r="O22" s="39">
        <f t="shared" si="15"/>
        <v>3750</v>
      </c>
      <c r="P22" s="39">
        <f t="shared" si="15"/>
        <v>3750</v>
      </c>
      <c r="Q22" s="39">
        <f t="shared" si="15"/>
        <v>3750</v>
      </c>
      <c r="R22" s="39">
        <f t="shared" si="15"/>
        <v>3750</v>
      </c>
      <c r="S22" s="39">
        <f t="shared" si="12"/>
        <v>3750</v>
      </c>
      <c r="T22" s="39">
        <f t="shared" si="12"/>
        <v>3750</v>
      </c>
      <c r="U22" s="39">
        <f t="shared" si="12"/>
        <v>3750</v>
      </c>
      <c r="V22" s="39">
        <f t="shared" si="12"/>
        <v>3750</v>
      </c>
      <c r="W22" s="39">
        <f t="shared" si="12"/>
        <v>3750</v>
      </c>
      <c r="X22" s="39">
        <f t="shared" si="12"/>
        <v>3750</v>
      </c>
      <c r="Y22" s="39">
        <f t="shared" si="12"/>
        <v>3750</v>
      </c>
      <c r="Z22" s="39">
        <f t="shared" si="12"/>
        <v>3750</v>
      </c>
      <c r="AA22" s="39">
        <f t="shared" si="12"/>
        <v>3750</v>
      </c>
      <c r="AB22" s="39">
        <f t="shared" si="12"/>
        <v>3750</v>
      </c>
      <c r="AC22" s="39">
        <f t="shared" si="12"/>
        <v>3750</v>
      </c>
      <c r="AD22" s="39">
        <f t="shared" si="12"/>
        <v>3750</v>
      </c>
      <c r="AE22" s="39">
        <f t="shared" si="12"/>
        <v>3750</v>
      </c>
      <c r="AF22" s="39">
        <f t="shared" si="12"/>
        <v>3750</v>
      </c>
      <c r="AG22" s="39">
        <f t="shared" si="12"/>
        <v>3750</v>
      </c>
      <c r="AH22" s="39">
        <f t="shared" si="12"/>
        <v>3750</v>
      </c>
      <c r="AI22" s="39">
        <f t="shared" si="12"/>
        <v>3750</v>
      </c>
      <c r="AJ22" s="39">
        <f t="shared" si="12"/>
        <v>3750</v>
      </c>
      <c r="AK22" s="39">
        <f t="shared" si="12"/>
        <v>3750</v>
      </c>
      <c r="AL22" s="39">
        <f t="shared" si="12"/>
        <v>3750</v>
      </c>
      <c r="AM22" s="39">
        <f t="shared" si="12"/>
        <v>3750</v>
      </c>
      <c r="AN22" s="39">
        <f t="shared" si="12"/>
        <v>3750</v>
      </c>
      <c r="AO22" s="39">
        <f t="shared" si="12"/>
        <v>3750</v>
      </c>
      <c r="AP22" s="39">
        <f t="shared" si="12"/>
        <v>3750</v>
      </c>
      <c r="AQ22" s="39">
        <f t="shared" si="12"/>
        <v>3750</v>
      </c>
      <c r="AR22" s="39">
        <f t="shared" si="12"/>
        <v>3750</v>
      </c>
      <c r="AS22" s="39">
        <f t="shared" si="12"/>
        <v>3750</v>
      </c>
      <c r="AT22" s="39">
        <f t="shared" si="12"/>
        <v>3750</v>
      </c>
      <c r="AU22" s="39">
        <f t="shared" si="12"/>
        <v>3750</v>
      </c>
      <c r="AV22" s="39">
        <f t="shared" si="12"/>
        <v>3750</v>
      </c>
      <c r="AW22" s="39">
        <f t="shared" si="12"/>
        <v>3750</v>
      </c>
      <c r="AX22" s="39">
        <f t="shared" si="12"/>
        <v>3750</v>
      </c>
      <c r="AY22" s="39">
        <f t="shared" si="12"/>
        <v>3750</v>
      </c>
      <c r="AZ22" s="39">
        <f t="shared" si="12"/>
        <v>3750</v>
      </c>
      <c r="BA22" s="39">
        <f t="shared" si="12"/>
        <v>3750</v>
      </c>
      <c r="BB22" s="39">
        <f t="shared" si="12"/>
        <v>3750</v>
      </c>
      <c r="BC22" s="39">
        <f t="shared" si="12"/>
        <v>3750</v>
      </c>
      <c r="BD22" s="39">
        <f t="shared" si="12"/>
        <v>3750</v>
      </c>
      <c r="BE22" s="39">
        <f t="shared" si="12"/>
        <v>3750</v>
      </c>
      <c r="BF22" s="39">
        <f t="shared" si="12"/>
        <v>3750</v>
      </c>
      <c r="BG22" s="39">
        <f t="shared" si="12"/>
        <v>3750</v>
      </c>
      <c r="BH22" s="39">
        <f t="shared" si="12"/>
        <v>3750</v>
      </c>
      <c r="BI22" s="39">
        <f t="shared" si="12"/>
        <v>3750</v>
      </c>
      <c r="BJ22" s="39">
        <f t="shared" si="12"/>
        <v>3750</v>
      </c>
      <c r="BK22" s="39">
        <f t="shared" si="12"/>
        <v>3750</v>
      </c>
      <c r="BL22" s="39">
        <f t="shared" si="12"/>
        <v>3750</v>
      </c>
      <c r="BM22" s="39">
        <f t="shared" si="12"/>
        <v>3750</v>
      </c>
      <c r="BN22" s="39">
        <f t="shared" si="12"/>
        <v>3750</v>
      </c>
      <c r="BO22" s="39">
        <f t="shared" si="12"/>
        <v>3750</v>
      </c>
      <c r="BP22" s="39">
        <f t="shared" si="13"/>
        <v>3750</v>
      </c>
      <c r="BQ22" s="39">
        <f t="shared" si="13"/>
        <v>3750</v>
      </c>
      <c r="BR22" s="39">
        <f t="shared" si="13"/>
        <v>3750</v>
      </c>
      <c r="BS22" s="39">
        <f t="shared" si="13"/>
        <v>3750</v>
      </c>
      <c r="BT22" s="39">
        <f t="shared" si="13"/>
        <v>3750</v>
      </c>
      <c r="BU22" s="39">
        <f t="shared" si="13"/>
        <v>3750</v>
      </c>
      <c r="BV22" s="39">
        <f t="shared" si="13"/>
        <v>3750</v>
      </c>
      <c r="BW22" s="39">
        <f t="shared" si="13"/>
        <v>3750</v>
      </c>
      <c r="BX22" s="39">
        <f t="shared" si="13"/>
        <v>3750</v>
      </c>
      <c r="BY22" s="39">
        <f t="shared" si="13"/>
        <v>3750</v>
      </c>
      <c r="BZ22" s="39">
        <f t="shared" si="13"/>
        <v>3750</v>
      </c>
      <c r="CA22" s="39">
        <f t="shared" si="13"/>
        <v>3750</v>
      </c>
      <c r="CB22" s="39">
        <f t="shared" si="13"/>
        <v>3750</v>
      </c>
      <c r="CC22" s="39">
        <f t="shared" si="13"/>
        <v>3750</v>
      </c>
      <c r="CD22" s="39">
        <f t="shared" si="13"/>
        <v>3750</v>
      </c>
      <c r="CE22" s="39">
        <f t="shared" si="13"/>
        <v>3750</v>
      </c>
      <c r="CF22" s="39">
        <f t="shared" si="13"/>
        <v>3750</v>
      </c>
      <c r="CG22" s="39">
        <f t="shared" si="13"/>
        <v>3750</v>
      </c>
      <c r="CH22" s="39">
        <f t="shared" si="13"/>
        <v>3750</v>
      </c>
      <c r="CI22" s="39">
        <f t="shared" si="13"/>
        <v>3750</v>
      </c>
      <c r="CJ22" s="39">
        <f t="shared" si="13"/>
        <v>3750</v>
      </c>
      <c r="CK22" s="39">
        <f t="shared" si="13"/>
        <v>3750</v>
      </c>
      <c r="CL22" s="39">
        <f t="shared" si="13"/>
        <v>3750</v>
      </c>
      <c r="CM22" s="39">
        <f t="shared" si="13"/>
        <v>3750</v>
      </c>
      <c r="CN22" s="39">
        <f t="shared" si="13"/>
        <v>3750</v>
      </c>
      <c r="CO22" s="39">
        <f t="shared" si="13"/>
        <v>3750</v>
      </c>
      <c r="CP22" s="39">
        <f t="shared" si="13"/>
        <v>3750</v>
      </c>
      <c r="CQ22" s="39">
        <f t="shared" si="13"/>
        <v>3750</v>
      </c>
      <c r="CR22" s="39">
        <f t="shared" si="13"/>
        <v>3750</v>
      </c>
      <c r="CS22" s="39">
        <f t="shared" si="13"/>
        <v>3750</v>
      </c>
      <c r="CT22" s="39">
        <f t="shared" si="13"/>
        <v>3750</v>
      </c>
      <c r="CU22" s="39">
        <f t="shared" si="13"/>
        <v>3750</v>
      </c>
      <c r="CV22" s="39">
        <f t="shared" si="13"/>
        <v>3750</v>
      </c>
      <c r="CW22" s="39">
        <f t="shared" si="13"/>
        <v>3750</v>
      </c>
      <c r="CX22" s="39">
        <f t="shared" si="13"/>
        <v>3750</v>
      </c>
      <c r="CY22" s="39">
        <f t="shared" si="13"/>
        <v>3750</v>
      </c>
      <c r="CZ22" s="39">
        <f t="shared" si="13"/>
        <v>3750</v>
      </c>
      <c r="DA22" s="39">
        <f t="shared" si="13"/>
        <v>3750</v>
      </c>
      <c r="DB22" s="39">
        <f t="shared" si="13"/>
        <v>3750</v>
      </c>
      <c r="DC22" s="39">
        <f t="shared" si="13"/>
        <v>3750</v>
      </c>
      <c r="DD22" s="39">
        <f t="shared" si="13"/>
        <v>3750</v>
      </c>
      <c r="DE22" s="39">
        <f t="shared" si="13"/>
        <v>3750</v>
      </c>
      <c r="DF22" s="39">
        <f t="shared" si="13"/>
        <v>3750</v>
      </c>
      <c r="DG22" s="39">
        <f t="shared" si="13"/>
        <v>3750</v>
      </c>
      <c r="DH22" s="39">
        <f t="shared" si="13"/>
        <v>3750</v>
      </c>
      <c r="DI22" s="39">
        <f t="shared" si="13"/>
        <v>3750</v>
      </c>
      <c r="DJ22" s="39">
        <f t="shared" si="13"/>
        <v>3750</v>
      </c>
      <c r="DK22" s="39">
        <f t="shared" si="13"/>
        <v>3750</v>
      </c>
      <c r="DL22" s="39">
        <f t="shared" si="13"/>
        <v>3750</v>
      </c>
      <c r="DM22" s="39">
        <f t="shared" si="13"/>
        <v>3750</v>
      </c>
      <c r="DN22" s="39">
        <f t="shared" si="13"/>
        <v>3750</v>
      </c>
      <c r="DO22" s="39">
        <f t="shared" si="13"/>
        <v>3750</v>
      </c>
      <c r="DP22" s="39">
        <f t="shared" si="13"/>
        <v>3750</v>
      </c>
      <c r="DQ22" s="39">
        <f t="shared" si="13"/>
        <v>3750</v>
      </c>
      <c r="DR22" s="39">
        <f t="shared" si="13"/>
        <v>3750</v>
      </c>
      <c r="DS22" s="39">
        <f t="shared" si="13"/>
        <v>3750</v>
      </c>
      <c r="DT22" s="39">
        <f t="shared" si="13"/>
        <v>3750</v>
      </c>
      <c r="DU22" s="39">
        <f t="shared" si="13"/>
        <v>3750</v>
      </c>
      <c r="DV22" s="39">
        <f t="shared" si="13"/>
        <v>3750</v>
      </c>
      <c r="DW22" s="39">
        <f t="shared" si="13"/>
        <v>3750</v>
      </c>
      <c r="DX22" s="39">
        <f t="shared" si="13"/>
        <v>3750</v>
      </c>
      <c r="DY22" s="39">
        <f t="shared" si="13"/>
        <v>3750</v>
      </c>
      <c r="DZ22" s="39">
        <f t="shared" si="13"/>
        <v>3750</v>
      </c>
      <c r="EA22" s="39">
        <f t="shared" si="13"/>
        <v>3750</v>
      </c>
      <c r="EB22" s="39">
        <f t="shared" si="14"/>
        <v>3750</v>
      </c>
      <c r="EC22" s="39">
        <f t="shared" si="14"/>
        <v>3750</v>
      </c>
      <c r="ED22" s="39">
        <f t="shared" si="14"/>
        <v>3750</v>
      </c>
    </row>
    <row r="23" spans="1:134" ht="19.149999999999999" customHeight="1" x14ac:dyDescent="0.4">
      <c r="A23" s="11" t="s">
        <v>21</v>
      </c>
      <c r="B23" s="11"/>
      <c r="C23" s="39">
        <f t="shared" si="15"/>
        <v>1666.6666666666667</v>
      </c>
      <c r="D23" s="39">
        <f t="shared" ref="D23:BO23" si="16">IF(D$15&lt;&gt;0,0,$C41)</f>
        <v>1666.6666666666667</v>
      </c>
      <c r="E23" s="39">
        <f t="shared" si="16"/>
        <v>1666.6666666666667</v>
      </c>
      <c r="F23" s="39">
        <f t="shared" si="16"/>
        <v>1666.6666666666667</v>
      </c>
      <c r="G23" s="39">
        <f t="shared" si="16"/>
        <v>1666.6666666666667</v>
      </c>
      <c r="H23" s="39">
        <f t="shared" si="16"/>
        <v>1666.6666666666667</v>
      </c>
      <c r="I23" s="39">
        <f t="shared" si="16"/>
        <v>1666.6666666666667</v>
      </c>
      <c r="J23" s="39">
        <f t="shared" si="16"/>
        <v>1666.6666666666667</v>
      </c>
      <c r="K23" s="39">
        <f t="shared" si="16"/>
        <v>1666.6666666666667</v>
      </c>
      <c r="L23" s="39">
        <f t="shared" si="16"/>
        <v>1666.6666666666667</v>
      </c>
      <c r="M23" s="39">
        <f t="shared" si="16"/>
        <v>1666.6666666666667</v>
      </c>
      <c r="N23" s="39">
        <f t="shared" si="16"/>
        <v>1666.6666666666667</v>
      </c>
      <c r="O23" s="39">
        <f t="shared" si="16"/>
        <v>1666.6666666666667</v>
      </c>
      <c r="P23" s="39">
        <f t="shared" si="16"/>
        <v>1666.6666666666667</v>
      </c>
      <c r="Q23" s="39">
        <f t="shared" si="16"/>
        <v>1666.6666666666667</v>
      </c>
      <c r="R23" s="39">
        <f t="shared" si="16"/>
        <v>1666.6666666666667</v>
      </c>
      <c r="S23" s="39">
        <f t="shared" si="16"/>
        <v>1666.6666666666667</v>
      </c>
      <c r="T23" s="39">
        <f t="shared" si="16"/>
        <v>1666.6666666666667</v>
      </c>
      <c r="U23" s="39">
        <f t="shared" si="16"/>
        <v>1666.6666666666667</v>
      </c>
      <c r="V23" s="39">
        <f t="shared" si="16"/>
        <v>1666.6666666666667</v>
      </c>
      <c r="W23" s="39">
        <f t="shared" si="16"/>
        <v>1666.6666666666667</v>
      </c>
      <c r="X23" s="39">
        <f t="shared" si="16"/>
        <v>1666.6666666666667</v>
      </c>
      <c r="Y23" s="39">
        <f t="shared" si="16"/>
        <v>1666.6666666666667</v>
      </c>
      <c r="Z23" s="39">
        <f t="shared" si="16"/>
        <v>1666.6666666666667</v>
      </c>
      <c r="AA23" s="39">
        <f t="shared" si="16"/>
        <v>1666.6666666666667</v>
      </c>
      <c r="AB23" s="39">
        <f t="shared" si="16"/>
        <v>1666.6666666666667</v>
      </c>
      <c r="AC23" s="39">
        <f t="shared" si="16"/>
        <v>1666.6666666666667</v>
      </c>
      <c r="AD23" s="39">
        <f t="shared" si="16"/>
        <v>1666.6666666666667</v>
      </c>
      <c r="AE23" s="39">
        <f t="shared" si="16"/>
        <v>1666.6666666666667</v>
      </c>
      <c r="AF23" s="39">
        <f t="shared" si="16"/>
        <v>1666.6666666666667</v>
      </c>
      <c r="AG23" s="39">
        <f t="shared" si="16"/>
        <v>1666.6666666666667</v>
      </c>
      <c r="AH23" s="39">
        <f t="shared" si="16"/>
        <v>1666.6666666666667</v>
      </c>
      <c r="AI23" s="39">
        <f t="shared" si="16"/>
        <v>1666.6666666666667</v>
      </c>
      <c r="AJ23" s="39">
        <f t="shared" si="16"/>
        <v>1666.6666666666667</v>
      </c>
      <c r="AK23" s="39">
        <f t="shared" si="16"/>
        <v>1666.6666666666667</v>
      </c>
      <c r="AL23" s="39">
        <f t="shared" si="16"/>
        <v>1666.6666666666667</v>
      </c>
      <c r="AM23" s="39">
        <f t="shared" si="16"/>
        <v>1666.6666666666667</v>
      </c>
      <c r="AN23" s="39">
        <f t="shared" si="16"/>
        <v>1666.6666666666667</v>
      </c>
      <c r="AO23" s="39">
        <f t="shared" si="16"/>
        <v>1666.6666666666667</v>
      </c>
      <c r="AP23" s="39">
        <f t="shared" si="16"/>
        <v>1666.6666666666667</v>
      </c>
      <c r="AQ23" s="39">
        <f t="shared" si="16"/>
        <v>1666.6666666666667</v>
      </c>
      <c r="AR23" s="39">
        <f t="shared" si="16"/>
        <v>1666.6666666666667</v>
      </c>
      <c r="AS23" s="39">
        <f t="shared" si="16"/>
        <v>1666.6666666666667</v>
      </c>
      <c r="AT23" s="39">
        <f t="shared" si="16"/>
        <v>1666.6666666666667</v>
      </c>
      <c r="AU23" s="39">
        <f t="shared" si="16"/>
        <v>1666.6666666666667</v>
      </c>
      <c r="AV23" s="39">
        <f t="shared" si="16"/>
        <v>1666.6666666666667</v>
      </c>
      <c r="AW23" s="39">
        <f t="shared" si="16"/>
        <v>1666.6666666666667</v>
      </c>
      <c r="AX23" s="39">
        <f t="shared" si="16"/>
        <v>1666.6666666666667</v>
      </c>
      <c r="AY23" s="39">
        <f t="shared" si="16"/>
        <v>1666.6666666666667</v>
      </c>
      <c r="AZ23" s="39">
        <f t="shared" si="16"/>
        <v>1666.6666666666667</v>
      </c>
      <c r="BA23" s="39">
        <f t="shared" si="16"/>
        <v>1666.6666666666667</v>
      </c>
      <c r="BB23" s="39">
        <f t="shared" si="16"/>
        <v>1666.6666666666667</v>
      </c>
      <c r="BC23" s="39">
        <f t="shared" si="16"/>
        <v>1666.6666666666667</v>
      </c>
      <c r="BD23" s="39">
        <f t="shared" si="16"/>
        <v>1666.6666666666667</v>
      </c>
      <c r="BE23" s="39">
        <f t="shared" si="16"/>
        <v>1666.6666666666667</v>
      </c>
      <c r="BF23" s="39">
        <f t="shared" si="16"/>
        <v>1666.6666666666667</v>
      </c>
      <c r="BG23" s="39">
        <f t="shared" si="16"/>
        <v>1666.6666666666667</v>
      </c>
      <c r="BH23" s="39">
        <f t="shared" si="16"/>
        <v>1666.6666666666667</v>
      </c>
      <c r="BI23" s="39">
        <f t="shared" si="16"/>
        <v>1666.6666666666667</v>
      </c>
      <c r="BJ23" s="39">
        <f t="shared" si="16"/>
        <v>1666.6666666666667</v>
      </c>
      <c r="BK23" s="39">
        <f t="shared" si="16"/>
        <v>1666.6666666666667</v>
      </c>
      <c r="BL23" s="39">
        <f t="shared" si="16"/>
        <v>1666.6666666666667</v>
      </c>
      <c r="BM23" s="39">
        <f t="shared" si="16"/>
        <v>1666.6666666666667</v>
      </c>
      <c r="BN23" s="39">
        <f t="shared" si="16"/>
        <v>1666.6666666666667</v>
      </c>
      <c r="BO23" s="39">
        <f t="shared" si="16"/>
        <v>1666.6666666666667</v>
      </c>
      <c r="BP23" s="39">
        <f t="shared" si="13"/>
        <v>1666.6666666666667</v>
      </c>
      <c r="BQ23" s="39">
        <f t="shared" si="13"/>
        <v>1666.6666666666667</v>
      </c>
      <c r="BR23" s="39">
        <f t="shared" si="13"/>
        <v>1666.6666666666667</v>
      </c>
      <c r="BS23" s="39">
        <f t="shared" si="13"/>
        <v>1666.6666666666667</v>
      </c>
      <c r="BT23" s="39">
        <f t="shared" si="13"/>
        <v>1666.6666666666667</v>
      </c>
      <c r="BU23" s="39">
        <f t="shared" si="13"/>
        <v>1666.6666666666667</v>
      </c>
      <c r="BV23" s="39">
        <f t="shared" si="13"/>
        <v>1666.6666666666667</v>
      </c>
      <c r="BW23" s="39">
        <f t="shared" si="13"/>
        <v>1666.6666666666667</v>
      </c>
      <c r="BX23" s="39">
        <f t="shared" si="13"/>
        <v>1666.6666666666667</v>
      </c>
      <c r="BY23" s="39">
        <f t="shared" si="13"/>
        <v>1666.6666666666667</v>
      </c>
      <c r="BZ23" s="39">
        <f t="shared" si="13"/>
        <v>1666.6666666666667</v>
      </c>
      <c r="CA23" s="39">
        <f t="shared" si="13"/>
        <v>1666.6666666666667</v>
      </c>
      <c r="CB23" s="39">
        <f t="shared" si="13"/>
        <v>1666.6666666666667</v>
      </c>
      <c r="CC23" s="39">
        <f t="shared" si="13"/>
        <v>1666.6666666666667</v>
      </c>
      <c r="CD23" s="39">
        <f t="shared" si="13"/>
        <v>1666.6666666666667</v>
      </c>
      <c r="CE23" s="39">
        <f t="shared" si="13"/>
        <v>1666.6666666666667</v>
      </c>
      <c r="CF23" s="39">
        <f t="shared" si="13"/>
        <v>1666.6666666666667</v>
      </c>
      <c r="CG23" s="39">
        <f t="shared" si="13"/>
        <v>1666.6666666666667</v>
      </c>
      <c r="CH23" s="39">
        <f t="shared" si="13"/>
        <v>1666.6666666666667</v>
      </c>
      <c r="CI23" s="39">
        <f t="shared" si="13"/>
        <v>1666.6666666666667</v>
      </c>
      <c r="CJ23" s="39">
        <f t="shared" si="13"/>
        <v>1666.6666666666667</v>
      </c>
      <c r="CK23" s="39">
        <f t="shared" si="13"/>
        <v>1666.6666666666667</v>
      </c>
      <c r="CL23" s="39">
        <f t="shared" si="13"/>
        <v>1666.6666666666667</v>
      </c>
      <c r="CM23" s="39">
        <f t="shared" si="13"/>
        <v>1666.6666666666667</v>
      </c>
      <c r="CN23" s="39">
        <f t="shared" si="13"/>
        <v>1666.6666666666667</v>
      </c>
      <c r="CO23" s="39">
        <f t="shared" si="13"/>
        <v>1666.6666666666667</v>
      </c>
      <c r="CP23" s="39">
        <f t="shared" si="13"/>
        <v>1666.6666666666667</v>
      </c>
      <c r="CQ23" s="39">
        <f t="shared" si="13"/>
        <v>1666.6666666666667</v>
      </c>
      <c r="CR23" s="39">
        <f t="shared" si="13"/>
        <v>1666.6666666666667</v>
      </c>
      <c r="CS23" s="39">
        <f t="shared" si="13"/>
        <v>1666.6666666666667</v>
      </c>
      <c r="CT23" s="39">
        <f t="shared" si="13"/>
        <v>1666.6666666666667</v>
      </c>
      <c r="CU23" s="39">
        <f t="shared" si="13"/>
        <v>1666.6666666666667</v>
      </c>
      <c r="CV23" s="39">
        <f t="shared" si="13"/>
        <v>1666.6666666666667</v>
      </c>
      <c r="CW23" s="39">
        <f t="shared" si="13"/>
        <v>1666.6666666666667</v>
      </c>
      <c r="CX23" s="39">
        <f t="shared" si="13"/>
        <v>1666.6666666666667</v>
      </c>
      <c r="CY23" s="39">
        <f t="shared" si="13"/>
        <v>1666.6666666666667</v>
      </c>
      <c r="CZ23" s="39">
        <f t="shared" si="13"/>
        <v>1666.6666666666667</v>
      </c>
      <c r="DA23" s="39">
        <f t="shared" si="13"/>
        <v>1666.6666666666667</v>
      </c>
      <c r="DB23" s="39">
        <f t="shared" si="13"/>
        <v>1666.6666666666667</v>
      </c>
      <c r="DC23" s="39">
        <f t="shared" si="13"/>
        <v>1666.6666666666667</v>
      </c>
      <c r="DD23" s="39">
        <f t="shared" si="13"/>
        <v>1666.6666666666667</v>
      </c>
      <c r="DE23" s="39">
        <f t="shared" si="13"/>
        <v>1666.6666666666667</v>
      </c>
      <c r="DF23" s="39">
        <f t="shared" si="13"/>
        <v>1666.6666666666667</v>
      </c>
      <c r="DG23" s="39">
        <f t="shared" si="13"/>
        <v>1666.6666666666667</v>
      </c>
      <c r="DH23" s="39">
        <f t="shared" si="13"/>
        <v>1666.6666666666667</v>
      </c>
      <c r="DI23" s="39">
        <f t="shared" si="13"/>
        <v>1666.6666666666667</v>
      </c>
      <c r="DJ23" s="39">
        <f t="shared" si="13"/>
        <v>1666.6666666666667</v>
      </c>
      <c r="DK23" s="39">
        <f t="shared" si="13"/>
        <v>1666.6666666666667</v>
      </c>
      <c r="DL23" s="39">
        <f t="shared" si="13"/>
        <v>1666.6666666666667</v>
      </c>
      <c r="DM23" s="39">
        <f t="shared" si="13"/>
        <v>1666.6666666666667</v>
      </c>
      <c r="DN23" s="39">
        <f t="shared" si="13"/>
        <v>1666.6666666666667</v>
      </c>
      <c r="DO23" s="39">
        <f t="shared" si="13"/>
        <v>1666.6666666666667</v>
      </c>
      <c r="DP23" s="39">
        <f t="shared" si="13"/>
        <v>1666.6666666666667</v>
      </c>
      <c r="DQ23" s="39">
        <f t="shared" si="13"/>
        <v>1666.6666666666667</v>
      </c>
      <c r="DR23" s="39">
        <f t="shared" si="13"/>
        <v>1666.6666666666667</v>
      </c>
      <c r="DS23" s="39">
        <f t="shared" si="13"/>
        <v>1666.6666666666667</v>
      </c>
      <c r="DT23" s="39">
        <f t="shared" si="13"/>
        <v>1666.6666666666667</v>
      </c>
      <c r="DU23" s="39">
        <f t="shared" si="13"/>
        <v>1666.6666666666667</v>
      </c>
      <c r="DV23" s="39">
        <f t="shared" si="13"/>
        <v>1666.6666666666667</v>
      </c>
      <c r="DW23" s="39">
        <f t="shared" si="13"/>
        <v>1666.6666666666667</v>
      </c>
      <c r="DX23" s="39">
        <f t="shared" si="13"/>
        <v>1666.6666666666667</v>
      </c>
      <c r="DY23" s="39">
        <f t="shared" si="13"/>
        <v>1666.6666666666667</v>
      </c>
      <c r="DZ23" s="39">
        <f t="shared" si="13"/>
        <v>1666.6666666666667</v>
      </c>
      <c r="EA23" s="39">
        <f t="shared" si="13"/>
        <v>1666.6666666666667</v>
      </c>
      <c r="EB23" s="39">
        <f t="shared" si="14"/>
        <v>1666.6666666666667</v>
      </c>
      <c r="EC23" s="39">
        <f t="shared" si="14"/>
        <v>1666.6666666666667</v>
      </c>
      <c r="ED23" s="39">
        <f t="shared" si="14"/>
        <v>1666.6666666666667</v>
      </c>
    </row>
    <row r="24" spans="1:134" ht="19.149999999999999" customHeight="1" x14ac:dyDescent="0.4">
      <c r="A24" s="11" t="s">
        <v>22</v>
      </c>
      <c r="B24" s="11"/>
      <c r="C24" s="39">
        <f>IF(C15&lt;&gt;0,0,IF(C$10&lt;'Redlands Inputs'!$H$20,'Redlands Inputs'!$H$7*(1+'Redlands Inputs'!$L$6)^(C$8-1),C$42))</f>
        <v>12500</v>
      </c>
      <c r="D24" s="39">
        <f>IF(D15&lt;&gt;0,0,IF(D$10&lt;'Redlands Inputs'!$H$20,'Redlands Inputs'!$H$7*(1+'Redlands Inputs'!$L$6)^(D$8-1),D$42))</f>
        <v>12500</v>
      </c>
      <c r="E24" s="39">
        <f>IF(E15&lt;&gt;0,0,IF(E$10&lt;'Redlands Inputs'!$H$20,'Redlands Inputs'!$H$7*(1+'Redlands Inputs'!$L$6)^(E$8-1),E$42))</f>
        <v>12500</v>
      </c>
      <c r="F24" s="39">
        <f>IF(F15&lt;&gt;0,0,IF(F$10&lt;'Redlands Inputs'!$H$20,'Redlands Inputs'!$H$7*(1+'Redlands Inputs'!$L$6)^(F$8-1),F$42))</f>
        <v>12500</v>
      </c>
      <c r="G24" s="39">
        <f>IF(G15&lt;&gt;0,0,IF(G$10&lt;'Redlands Inputs'!$H$20,'Redlands Inputs'!$H$7*(1+'Redlands Inputs'!$L$6)^(G$8-1),G$42))</f>
        <v>12500</v>
      </c>
      <c r="H24" s="39">
        <f>IF(H15&lt;&gt;0,0,IF(H$10&lt;'Redlands Inputs'!$H$20,'Redlands Inputs'!$H$7*(1+'Redlands Inputs'!$L$6)^(H$8-1),H$42))</f>
        <v>12500</v>
      </c>
      <c r="I24" s="39">
        <f>IF(I15&lt;&gt;0,0,IF(I$10&lt;'Redlands Inputs'!$H$20,'Redlands Inputs'!$H$7*(1+'Redlands Inputs'!$L$6)^(I$8-1),I$42))</f>
        <v>12500</v>
      </c>
      <c r="J24" s="39">
        <f>IF(J15&lt;&gt;0,0,IF(J$10&lt;'Redlands Inputs'!$H$20,'Redlands Inputs'!$H$7*(1+'Redlands Inputs'!$L$6)^(J$8-1),J$42))</f>
        <v>12500</v>
      </c>
      <c r="K24" s="39">
        <f>IF(K15&lt;&gt;0,0,IF(K$10&lt;'Redlands Inputs'!$H$20,'Redlands Inputs'!$H$7*(1+'Redlands Inputs'!$L$6)^(K$8-1),K$42))</f>
        <v>12500</v>
      </c>
      <c r="L24" s="39">
        <f>IF(L15&lt;&gt;0,0,IF(L$10&lt;'Redlands Inputs'!$H$20,'Redlands Inputs'!$H$7*(1+'Redlands Inputs'!$L$6)^(L$8-1),L$42))</f>
        <v>12500</v>
      </c>
      <c r="M24" s="39">
        <f>IF(M15&lt;&gt;0,0,IF(M$10&lt;'Redlands Inputs'!$H$20,'Redlands Inputs'!$H$7*(1+'Redlands Inputs'!$L$6)^(M$8-1),M$42))</f>
        <v>12500</v>
      </c>
      <c r="N24" s="39">
        <f>IF(N15&lt;&gt;0,0,IF(N$10&lt;'Redlands Inputs'!$H$20,'Redlands Inputs'!$H$7*(1+'Redlands Inputs'!$L$6)^(N$8-1),N$42))</f>
        <v>12500</v>
      </c>
      <c r="O24" s="39">
        <f>IF(O15&lt;&gt;0,0,IF(O$10&lt;'Redlands Inputs'!$H$20,'Redlands Inputs'!$H$7*(1+'Redlands Inputs'!$L$6)^(O$8-1),O$42))</f>
        <v>12750</v>
      </c>
      <c r="P24" s="39">
        <f>IF(P15&lt;&gt;0,0,IF(P$10&lt;'Redlands Inputs'!$H$20,'Redlands Inputs'!$H$7*(1+'Redlands Inputs'!$L$6)^(P$8-1),P$42))</f>
        <v>12750</v>
      </c>
      <c r="Q24" s="39">
        <f>IF(Q15&lt;&gt;0,0,IF(Q$10&lt;'Redlands Inputs'!$H$20,'Redlands Inputs'!$H$7*(1+'Redlands Inputs'!$L$6)^(Q$8-1),Q$42))</f>
        <v>12750</v>
      </c>
      <c r="R24" s="39">
        <f>IF(R15&lt;&gt;0,0,IF(R$10&lt;'Redlands Inputs'!$H$20,'Redlands Inputs'!$H$7*(1+'Redlands Inputs'!$L$6)^(R$8-1),R$42))</f>
        <v>12750</v>
      </c>
      <c r="S24" s="39">
        <f>IF(S15&lt;&gt;0,0,IF(S$10&lt;'Redlands Inputs'!$H$20,'Redlands Inputs'!$H$7*(1+'Redlands Inputs'!$L$6)^(S$8-1),S$42))</f>
        <v>12750</v>
      </c>
      <c r="T24" s="39">
        <f>IF(T15&lt;&gt;0,0,IF(T$10&lt;'Redlands Inputs'!$H$20,'Redlands Inputs'!$H$7*(1+'Redlands Inputs'!$L$6)^(T$8-1),T$42))</f>
        <v>12750</v>
      </c>
      <c r="U24" s="39">
        <f>IF(U15&lt;&gt;0,0,IF(U$10&lt;'Redlands Inputs'!$H$20,'Redlands Inputs'!$H$7*(1+'Redlands Inputs'!$L$6)^(U$8-1),U$42))</f>
        <v>12750</v>
      </c>
      <c r="V24" s="39">
        <f>IF(V15&lt;&gt;0,0,IF(V$10&lt;'Redlands Inputs'!$H$20,'Redlands Inputs'!$H$7*(1+'Redlands Inputs'!$L$6)^(V$8-1),V$42))</f>
        <v>12750</v>
      </c>
      <c r="W24" s="39">
        <f>IF(W15&lt;&gt;0,0,IF(W$10&lt;'Redlands Inputs'!$H$20,'Redlands Inputs'!$H$7*(1+'Redlands Inputs'!$L$6)^(W$8-1),W$42))</f>
        <v>12750</v>
      </c>
      <c r="X24" s="39">
        <f>IF(X15&lt;&gt;0,0,IF(X$10&lt;'Redlands Inputs'!$H$20,'Redlands Inputs'!$H$7*(1+'Redlands Inputs'!$L$6)^(X$8-1),X$42))</f>
        <v>12750</v>
      </c>
      <c r="Y24" s="39">
        <f>IF(Y15&lt;&gt;0,0,IF(Y$10&lt;'Redlands Inputs'!$H$20,'Redlands Inputs'!$H$7*(1+'Redlands Inputs'!$L$6)^(Y$8-1),Y$42))</f>
        <v>12750</v>
      </c>
      <c r="Z24" s="39">
        <f>IF(Z15&lt;&gt;0,0,IF(Z$10&lt;'Redlands Inputs'!$H$20,'Redlands Inputs'!$H$7*(1+'Redlands Inputs'!$L$6)^(Z$8-1),Z$42))</f>
        <v>12750</v>
      </c>
      <c r="AA24" s="39">
        <f>IF(AA15&lt;&gt;0,0,IF(AA$10&lt;'Redlands Inputs'!$H$20,'Redlands Inputs'!$H$7*(1+'Redlands Inputs'!$L$6)^(AA$8-1),AA$42))</f>
        <v>13005</v>
      </c>
      <c r="AB24" s="39">
        <f>IF(AB15&lt;&gt;0,0,IF(AB$10&lt;'Redlands Inputs'!$H$20,'Redlands Inputs'!$H$7*(1+'Redlands Inputs'!$L$6)^(AB$8-1),AB$42))</f>
        <v>13005</v>
      </c>
      <c r="AC24" s="39">
        <f>IF(AC15&lt;&gt;0,0,IF(AC$10&lt;'Redlands Inputs'!$H$20,'Redlands Inputs'!$H$7*(1+'Redlands Inputs'!$L$6)^(AC$8-1),AC$42))</f>
        <v>13005</v>
      </c>
      <c r="AD24" s="39">
        <f>IF(AD15&lt;&gt;0,0,IF(AD$10&lt;'Redlands Inputs'!$H$20,'Redlands Inputs'!$H$7*(1+'Redlands Inputs'!$L$6)^(AD$8-1),AD$42))</f>
        <v>13005</v>
      </c>
      <c r="AE24" s="39">
        <f>IF(AE15&lt;&gt;0,0,IF(AE$10&lt;'Redlands Inputs'!$H$20,'Redlands Inputs'!$H$7*(1+'Redlands Inputs'!$L$6)^(AE$8-1),AE$42))</f>
        <v>13005</v>
      </c>
      <c r="AF24" s="39">
        <f>IF(AF15&lt;&gt;0,0,IF(AF$10&lt;'Redlands Inputs'!$H$20,'Redlands Inputs'!$H$7*(1+'Redlands Inputs'!$L$6)^(AF$8-1),AF$42))</f>
        <v>13005</v>
      </c>
      <c r="AG24" s="39">
        <f>IF(AG15&lt;&gt;0,0,IF(AG$10&lt;'Redlands Inputs'!$H$20,'Redlands Inputs'!$H$7*(1+'Redlands Inputs'!$L$6)^(AG$8-1),AG$42))</f>
        <v>13005</v>
      </c>
      <c r="AH24" s="39">
        <f>IF(AH15&lt;&gt;0,0,IF(AH$10&lt;'Redlands Inputs'!$H$20,'Redlands Inputs'!$H$7*(1+'Redlands Inputs'!$L$6)^(AH$8-1),AH$42))</f>
        <v>13005</v>
      </c>
      <c r="AI24" s="39">
        <f>IF(AI15&lt;&gt;0,0,IF(AI$10&lt;'Redlands Inputs'!$H$20,'Redlands Inputs'!$H$7*(1+'Redlands Inputs'!$L$6)^(AI$8-1),AI$42))</f>
        <v>13005</v>
      </c>
      <c r="AJ24" s="39">
        <f>IF(AJ15&lt;&gt;0,0,IF(AJ$10&lt;'Redlands Inputs'!$H$20,'Redlands Inputs'!$H$7*(1+'Redlands Inputs'!$L$6)^(AJ$8-1),AJ$42))</f>
        <v>13005</v>
      </c>
      <c r="AK24" s="39">
        <f>IF(AK15&lt;&gt;0,0,IF(AK$10&lt;'Redlands Inputs'!$H$20,'Redlands Inputs'!$H$7*(1+'Redlands Inputs'!$L$6)^(AK$8-1),AK$42))</f>
        <v>13005</v>
      </c>
      <c r="AL24" s="39">
        <f>IF(AL15&lt;&gt;0,0,IF(AL$10&lt;'Redlands Inputs'!$H$20,'Redlands Inputs'!$H$7*(1+'Redlands Inputs'!$L$6)^(AL$8-1),AL$42))</f>
        <v>13005</v>
      </c>
      <c r="AM24" s="39">
        <f>IF(AM15&lt;&gt;0,0,IF(AM$10&lt;'Redlands Inputs'!$H$20,'Redlands Inputs'!$H$7*(1+'Redlands Inputs'!$L$6)^(AM$8-1),AM$42))</f>
        <v>13265.099999999999</v>
      </c>
      <c r="AN24" s="39">
        <f>IF(AN15&lt;&gt;0,0,IF(AN$10&lt;'Redlands Inputs'!$H$20,'Redlands Inputs'!$H$7*(1+'Redlands Inputs'!$L$6)^(AN$8-1),AN$42))</f>
        <v>13265.099999999999</v>
      </c>
      <c r="AO24" s="39">
        <f>IF(AO15&lt;&gt;0,0,IF(AO$10&lt;'Redlands Inputs'!$H$20,'Redlands Inputs'!$H$7*(1+'Redlands Inputs'!$L$6)^(AO$8-1),AO$42))</f>
        <v>13265.099999999999</v>
      </c>
      <c r="AP24" s="39">
        <f>IF(AP15&lt;&gt;0,0,IF(AP$10&lt;'Redlands Inputs'!$H$20,'Redlands Inputs'!$H$7*(1+'Redlands Inputs'!$L$6)^(AP$8-1),AP$42))</f>
        <v>13265.099999999999</v>
      </c>
      <c r="AQ24" s="39">
        <f>IF(AQ15&lt;&gt;0,0,IF(AQ$10&lt;'Redlands Inputs'!$H$20,'Redlands Inputs'!$H$7*(1+'Redlands Inputs'!$L$6)^(AQ$8-1),AQ$42))</f>
        <v>13265.099999999999</v>
      </c>
      <c r="AR24" s="39">
        <f>IF(AR15&lt;&gt;0,0,IF(AR$10&lt;'Redlands Inputs'!$H$20,'Redlands Inputs'!$H$7*(1+'Redlands Inputs'!$L$6)^(AR$8-1),AR$42))</f>
        <v>13265.099999999999</v>
      </c>
      <c r="AS24" s="39">
        <f>IF(AS15&lt;&gt;0,0,IF(AS$10&lt;'Redlands Inputs'!$H$20,'Redlands Inputs'!$H$7*(1+'Redlands Inputs'!$L$6)^(AS$8-1),AS$42))</f>
        <v>13265.099999999999</v>
      </c>
      <c r="AT24" s="39">
        <f>IF(AT15&lt;&gt;0,0,IF(AT$10&lt;'Redlands Inputs'!$H$20,'Redlands Inputs'!$H$7*(1+'Redlands Inputs'!$L$6)^(AT$8-1),AT$42))</f>
        <v>13265.099999999999</v>
      </c>
      <c r="AU24" s="39">
        <f>IF(AU15&lt;&gt;0,0,IF(AU$10&lt;'Redlands Inputs'!$H$20,'Redlands Inputs'!$H$7*(1+'Redlands Inputs'!$L$6)^(AU$8-1),AU$42))</f>
        <v>13265.099999999999</v>
      </c>
      <c r="AV24" s="39">
        <f>IF(AV15&lt;&gt;0,0,IF(AV$10&lt;'Redlands Inputs'!$H$20,'Redlands Inputs'!$H$7*(1+'Redlands Inputs'!$L$6)^(AV$8-1),AV$42))</f>
        <v>13265.099999999999</v>
      </c>
      <c r="AW24" s="39">
        <f>IF(AW15&lt;&gt;0,0,IF(AW$10&lt;'Redlands Inputs'!$H$20,'Redlands Inputs'!$H$7*(1+'Redlands Inputs'!$L$6)^(AW$8-1),AW$42))</f>
        <v>13265.099999999999</v>
      </c>
      <c r="AX24" s="39">
        <f>IF(AX15&lt;&gt;0,0,IF(AX$10&lt;'Redlands Inputs'!$H$20,'Redlands Inputs'!$H$7*(1+'Redlands Inputs'!$L$6)^(AX$8-1),AX$42))</f>
        <v>13265.099999999999</v>
      </c>
      <c r="AY24" s="39">
        <f>IF(AY15&lt;&gt;0,0,IF(AY$10&lt;'Redlands Inputs'!$H$20,'Redlands Inputs'!$H$7*(1+'Redlands Inputs'!$L$6)^(AY$8-1),AY$42))</f>
        <v>13530.402</v>
      </c>
      <c r="AZ24" s="39">
        <f>IF(AZ15&lt;&gt;0,0,IF(AZ$10&lt;'Redlands Inputs'!$H$20,'Redlands Inputs'!$H$7*(1+'Redlands Inputs'!$L$6)^(AZ$8-1),AZ$42))</f>
        <v>13530.402</v>
      </c>
      <c r="BA24" s="39">
        <f>IF(BA15&lt;&gt;0,0,IF(BA$10&lt;'Redlands Inputs'!$H$20,'Redlands Inputs'!$H$7*(1+'Redlands Inputs'!$L$6)^(BA$8-1),BA$42))</f>
        <v>13530.402</v>
      </c>
      <c r="BB24" s="39">
        <f>IF(BB15&lt;&gt;0,0,IF(BB$10&lt;'Redlands Inputs'!$H$20,'Redlands Inputs'!$H$7*(1+'Redlands Inputs'!$L$6)^(BB$8-1),BB$42))</f>
        <v>13530.402</v>
      </c>
      <c r="BC24" s="39">
        <f>IF(BC15&lt;&gt;0,0,IF(BC$10&lt;'Redlands Inputs'!$H$20,'Redlands Inputs'!$H$7*(1+'Redlands Inputs'!$L$6)^(BC$8-1),BC$42))</f>
        <v>13530.402</v>
      </c>
      <c r="BD24" s="39">
        <f>IF(BD15&lt;&gt;0,0,IF(BD$10&lt;'Redlands Inputs'!$H$20,'Redlands Inputs'!$H$7*(1+'Redlands Inputs'!$L$6)^(BD$8-1),BD$42))</f>
        <v>13530.402</v>
      </c>
      <c r="BE24" s="39">
        <f>IF(BE15&lt;&gt;0,0,IF(BE$10&lt;'Redlands Inputs'!$H$20,'Redlands Inputs'!$H$7*(1+'Redlands Inputs'!$L$6)^(BE$8-1),BE$42))</f>
        <v>13530.402</v>
      </c>
      <c r="BF24" s="39">
        <f>IF(BF15&lt;&gt;0,0,IF(BF$10&lt;'Redlands Inputs'!$H$20,'Redlands Inputs'!$H$7*(1+'Redlands Inputs'!$L$6)^(BF$8-1),BF$42))</f>
        <v>13530.402</v>
      </c>
      <c r="BG24" s="39">
        <f>IF(BG15&lt;&gt;0,0,IF(BG$10&lt;'Redlands Inputs'!$H$20,'Redlands Inputs'!$H$7*(1+'Redlands Inputs'!$L$6)^(BG$8-1),BG$42))</f>
        <v>13530.402</v>
      </c>
      <c r="BH24" s="39">
        <f>IF(BH15&lt;&gt;0,0,IF(BH$10&lt;'Redlands Inputs'!$H$20,'Redlands Inputs'!$H$7*(1+'Redlands Inputs'!$L$6)^(BH$8-1),BH$42))</f>
        <v>13530.402</v>
      </c>
      <c r="BI24" s="39">
        <f>IF(BI15&lt;&gt;0,0,IF(BI$10&lt;'Redlands Inputs'!$H$20,'Redlands Inputs'!$H$7*(1+'Redlands Inputs'!$L$6)^(BI$8-1),BI$42))</f>
        <v>13530.402</v>
      </c>
      <c r="BJ24" s="39">
        <f>IF(BJ15&lt;&gt;0,0,IF(BJ$10&lt;'Redlands Inputs'!$H$20,'Redlands Inputs'!$H$7*(1+'Redlands Inputs'!$L$6)^(BJ$8-1),BJ$42))</f>
        <v>13530.402</v>
      </c>
      <c r="BK24" s="39">
        <f>IF(BK15&lt;&gt;0,0,IF(BK$10&lt;'Redlands Inputs'!$H$20,'Redlands Inputs'!$H$7*(1+'Redlands Inputs'!$L$6)^(BK$8-1),BK$42))</f>
        <v>13801.010040000001</v>
      </c>
      <c r="BL24" s="39">
        <f>IF(BL15&lt;&gt;0,0,IF(BL$10&lt;'Redlands Inputs'!$H$20,'Redlands Inputs'!$H$7*(1+'Redlands Inputs'!$L$6)^(BL$8-1),BL$42))</f>
        <v>13801.010040000001</v>
      </c>
      <c r="BM24" s="39">
        <f>IF(BM15&lt;&gt;0,0,IF(BM$10&lt;'Redlands Inputs'!$H$20,'Redlands Inputs'!$H$7*(1+'Redlands Inputs'!$L$6)^(BM$8-1),BM$42))</f>
        <v>13801.010040000001</v>
      </c>
      <c r="BN24" s="39">
        <f>IF(BN15&lt;&gt;0,0,IF(BN$10&lt;'Redlands Inputs'!$H$20,'Redlands Inputs'!$H$7*(1+'Redlands Inputs'!$L$6)^(BN$8-1),BN$42))</f>
        <v>13801.010040000001</v>
      </c>
      <c r="BO24" s="39">
        <f>IF(BO15&lt;&gt;0,0,IF(BO$10&lt;'Redlands Inputs'!$H$20,'Redlands Inputs'!$H$7*(1+'Redlands Inputs'!$L$6)^(BO$8-1),BO$42))</f>
        <v>13801.010040000001</v>
      </c>
      <c r="BP24" s="39">
        <f>IF(BP15&lt;&gt;0,0,IF(BP$10&lt;'Redlands Inputs'!$H$20,'Redlands Inputs'!$H$7*(1+'Redlands Inputs'!$L$6)^(BP$8-1),BP$42))</f>
        <v>13801.010040000001</v>
      </c>
      <c r="BQ24" s="39">
        <f>IF(BQ15&lt;&gt;0,0,IF(BQ$10&lt;'Redlands Inputs'!$H$20,'Redlands Inputs'!$H$7*(1+'Redlands Inputs'!$L$6)^(BQ$8-1),BQ$42))</f>
        <v>13801.010040000001</v>
      </c>
      <c r="BR24" s="39">
        <f>IF(BR15&lt;&gt;0,0,IF(BR$10&lt;'Redlands Inputs'!$H$20,'Redlands Inputs'!$H$7*(1+'Redlands Inputs'!$L$6)^(BR$8-1),BR$42))</f>
        <v>13801.010040000001</v>
      </c>
      <c r="BS24" s="39">
        <f>IF(BS15&lt;&gt;0,0,IF(BS$10&lt;'Redlands Inputs'!$H$20,'Redlands Inputs'!$H$7*(1+'Redlands Inputs'!$L$6)^(BS$8-1),BS$42))</f>
        <v>13801.010040000001</v>
      </c>
      <c r="BT24" s="39">
        <f>IF(BT15&lt;&gt;0,0,IF(BT$10&lt;'Redlands Inputs'!$H$20,'Redlands Inputs'!$H$7*(1+'Redlands Inputs'!$L$6)^(BT$8-1),BT$42))</f>
        <v>13801.010040000001</v>
      </c>
      <c r="BU24" s="39">
        <f>IF(BU15&lt;&gt;0,0,IF(BU$10&lt;'Redlands Inputs'!$H$20,'Redlands Inputs'!$H$7*(1+'Redlands Inputs'!$L$6)^(BU$8-1),BU$42))</f>
        <v>13801.010040000001</v>
      </c>
      <c r="BV24" s="39">
        <f>IF(BV15&lt;&gt;0,0,IF(BV$10&lt;'Redlands Inputs'!$H$20,'Redlands Inputs'!$H$7*(1+'Redlands Inputs'!$L$6)^(BV$8-1),BV$42))</f>
        <v>13801.010040000001</v>
      </c>
      <c r="BW24" s="39">
        <f>IF(BW15&lt;&gt;0,0,IF(BW$10&lt;'Redlands Inputs'!$H$20,'Redlands Inputs'!$H$7*(1+'Redlands Inputs'!$L$6)^(BW$8-1),BW$42))</f>
        <v>14077.030240800001</v>
      </c>
      <c r="BX24" s="39">
        <f>IF(BX15&lt;&gt;0,0,IF(BX$10&lt;'Redlands Inputs'!$H$20,'Redlands Inputs'!$H$7*(1+'Redlands Inputs'!$L$6)^(BX$8-1),BX$42))</f>
        <v>14077.030240800001</v>
      </c>
      <c r="BY24" s="39">
        <f>IF(BY15&lt;&gt;0,0,IF(BY$10&lt;'Redlands Inputs'!$H$20,'Redlands Inputs'!$H$7*(1+'Redlands Inputs'!$L$6)^(BY$8-1),BY$42))</f>
        <v>14077.030240800001</v>
      </c>
      <c r="BZ24" s="39">
        <f>IF(BZ15&lt;&gt;0,0,IF(BZ$10&lt;'Redlands Inputs'!$H$20,'Redlands Inputs'!$H$7*(1+'Redlands Inputs'!$L$6)^(BZ$8-1),BZ$42))</f>
        <v>14077.030240800001</v>
      </c>
      <c r="CA24" s="39">
        <f>IF(CA15&lt;&gt;0,0,IF(CA$10&lt;'Redlands Inputs'!$H$20,'Redlands Inputs'!$H$7*(1+'Redlands Inputs'!$L$6)^(CA$8-1),CA$42))</f>
        <v>14077.030240800001</v>
      </c>
      <c r="CB24" s="39">
        <f>IF(CB15&lt;&gt;0,0,IF(CB$10&lt;'Redlands Inputs'!$H$20,'Redlands Inputs'!$H$7*(1+'Redlands Inputs'!$L$6)^(CB$8-1),CB$42))</f>
        <v>14077.030240800001</v>
      </c>
      <c r="CC24" s="39">
        <f>IF(CC15&lt;&gt;0,0,IF(CC$10&lt;'Redlands Inputs'!$H$20,'Redlands Inputs'!$H$7*(1+'Redlands Inputs'!$L$6)^(CC$8-1),CC$42))</f>
        <v>14077.030240800001</v>
      </c>
      <c r="CD24" s="39">
        <f>IF(CD15&lt;&gt;0,0,IF(CD$10&lt;'Redlands Inputs'!$H$20,'Redlands Inputs'!$H$7*(1+'Redlands Inputs'!$L$6)^(CD$8-1),CD$42))</f>
        <v>14077.030240800001</v>
      </c>
      <c r="CE24" s="39">
        <f>IF(CE15&lt;&gt;0,0,IF(CE$10&lt;'Redlands Inputs'!$H$20,'Redlands Inputs'!$H$7*(1+'Redlands Inputs'!$L$6)^(CE$8-1),CE$42))</f>
        <v>14077.030240800001</v>
      </c>
      <c r="CF24" s="39">
        <f>IF(CF15&lt;&gt;0,0,IF(CF$10&lt;'Redlands Inputs'!$H$20,'Redlands Inputs'!$H$7*(1+'Redlands Inputs'!$L$6)^(CF$8-1),CF$42))</f>
        <v>14077.030240800001</v>
      </c>
      <c r="CG24" s="39">
        <f>IF(CG15&lt;&gt;0,0,IF(CG$10&lt;'Redlands Inputs'!$H$20,'Redlands Inputs'!$H$7*(1+'Redlands Inputs'!$L$6)^(CG$8-1),CG$42))</f>
        <v>14077.030240800001</v>
      </c>
      <c r="CH24" s="39">
        <f>IF(CH15&lt;&gt;0,0,IF(CH$10&lt;'Redlands Inputs'!$H$20,'Redlands Inputs'!$H$7*(1+'Redlands Inputs'!$L$6)^(CH$8-1),CH$42))</f>
        <v>14077.030240800001</v>
      </c>
      <c r="CI24" s="39">
        <f>IF(CI15&lt;&gt;0,0,IF(CI$10&lt;'Redlands Inputs'!$H$20,'Redlands Inputs'!$H$7*(1+'Redlands Inputs'!$L$6)^(CI$8-1),CI$42))</f>
        <v>70843.27407615658</v>
      </c>
      <c r="CJ24" s="39">
        <f>IF(CJ15&lt;&gt;0,0,IF(CJ$10&lt;'Redlands Inputs'!$H$20,'Redlands Inputs'!$H$7*(1+'Redlands Inputs'!$L$6)^(CJ$8-1),CJ$42))</f>
        <v>70843.27407615658</v>
      </c>
      <c r="CK24" s="39">
        <f>IF(CK15&lt;&gt;0,0,IF(CK$10&lt;'Redlands Inputs'!$H$20,'Redlands Inputs'!$H$7*(1+'Redlands Inputs'!$L$6)^(CK$8-1),CK$42))</f>
        <v>70843.27407615658</v>
      </c>
      <c r="CL24" s="39">
        <f>IF(CL15&lt;&gt;0,0,IF(CL$10&lt;'Redlands Inputs'!$H$20,'Redlands Inputs'!$H$7*(1+'Redlands Inputs'!$L$6)^(CL$8-1),CL$42))</f>
        <v>70843.27407615658</v>
      </c>
      <c r="CM24" s="39">
        <f>IF(CM15&lt;&gt;0,0,IF(CM$10&lt;'Redlands Inputs'!$H$20,'Redlands Inputs'!$H$7*(1+'Redlands Inputs'!$L$6)^(CM$8-1),CM$42))</f>
        <v>70843.27407615658</v>
      </c>
      <c r="CN24" s="39">
        <f>IF(CN15&lt;&gt;0,0,IF(CN$10&lt;'Redlands Inputs'!$H$20,'Redlands Inputs'!$H$7*(1+'Redlands Inputs'!$L$6)^(CN$8-1),CN$42))</f>
        <v>70843.27407615658</v>
      </c>
      <c r="CO24" s="39">
        <f>IF(CO15&lt;&gt;0,0,IF(CO$10&lt;'Redlands Inputs'!$H$20,'Redlands Inputs'!$H$7*(1+'Redlands Inputs'!$L$6)^(CO$8-1),CO$42))</f>
        <v>70843.27407615658</v>
      </c>
      <c r="CP24" s="39">
        <f>IF(CP15&lt;&gt;0,0,IF(CP$10&lt;'Redlands Inputs'!$H$20,'Redlands Inputs'!$H$7*(1+'Redlands Inputs'!$L$6)^(CP$8-1),CP$42))</f>
        <v>70843.27407615658</v>
      </c>
      <c r="CQ24" s="39">
        <f>IF(CQ15&lt;&gt;0,0,IF(CQ$10&lt;'Redlands Inputs'!$H$20,'Redlands Inputs'!$H$7*(1+'Redlands Inputs'!$L$6)^(CQ$8-1),CQ$42))</f>
        <v>70843.27407615658</v>
      </c>
      <c r="CR24" s="39">
        <f>IF(CR15&lt;&gt;0,0,IF(CR$10&lt;'Redlands Inputs'!$H$20,'Redlands Inputs'!$H$7*(1+'Redlands Inputs'!$L$6)^(CR$8-1),CR$42))</f>
        <v>70843.27407615658</v>
      </c>
      <c r="CS24" s="39">
        <f>IF(CS15&lt;&gt;0,0,IF(CS$10&lt;'Redlands Inputs'!$H$20,'Redlands Inputs'!$H$7*(1+'Redlands Inputs'!$L$6)^(CS$8-1),CS$42))</f>
        <v>70843.27407615658</v>
      </c>
      <c r="CT24" s="39">
        <f>IF(CT15&lt;&gt;0,0,IF(CT$10&lt;'Redlands Inputs'!$H$20,'Redlands Inputs'!$H$7*(1+'Redlands Inputs'!$L$6)^(CT$8-1),CT$42))</f>
        <v>70843.27407615658</v>
      </c>
      <c r="CU24" s="39">
        <f>IF(CU15&lt;&gt;0,0,IF(CU$10&lt;'Redlands Inputs'!$H$20,'Redlands Inputs'!$H$7*(1+'Redlands Inputs'!$L$6)^(CU$8-1),CU$42))</f>
        <v>72260.139557679722</v>
      </c>
      <c r="CV24" s="39">
        <f>IF(CV15&lt;&gt;0,0,IF(CV$10&lt;'Redlands Inputs'!$H$20,'Redlands Inputs'!$H$7*(1+'Redlands Inputs'!$L$6)^(CV$8-1),CV$42))</f>
        <v>72260.139557679722</v>
      </c>
      <c r="CW24" s="39">
        <f>IF(CW15&lt;&gt;0,0,IF(CW$10&lt;'Redlands Inputs'!$H$20,'Redlands Inputs'!$H$7*(1+'Redlands Inputs'!$L$6)^(CW$8-1),CW$42))</f>
        <v>72260.139557679722</v>
      </c>
      <c r="CX24" s="39">
        <f>IF(CX15&lt;&gt;0,0,IF(CX$10&lt;'Redlands Inputs'!$H$20,'Redlands Inputs'!$H$7*(1+'Redlands Inputs'!$L$6)^(CX$8-1),CX$42))</f>
        <v>72260.139557679722</v>
      </c>
      <c r="CY24" s="39">
        <f>IF(CY15&lt;&gt;0,0,IF(CY$10&lt;'Redlands Inputs'!$H$20,'Redlands Inputs'!$H$7*(1+'Redlands Inputs'!$L$6)^(CY$8-1),CY$42))</f>
        <v>72260.139557679722</v>
      </c>
      <c r="CZ24" s="39">
        <f>IF(CZ15&lt;&gt;0,0,IF(CZ$10&lt;'Redlands Inputs'!$H$20,'Redlands Inputs'!$H$7*(1+'Redlands Inputs'!$L$6)^(CZ$8-1),CZ$42))</f>
        <v>72260.139557679722</v>
      </c>
      <c r="DA24" s="39">
        <f>IF(DA15&lt;&gt;0,0,IF(DA$10&lt;'Redlands Inputs'!$H$20,'Redlands Inputs'!$H$7*(1+'Redlands Inputs'!$L$6)^(DA$8-1),DA$42))</f>
        <v>72260.139557679722</v>
      </c>
      <c r="DB24" s="39">
        <f>IF(DB15&lt;&gt;0,0,IF(DB$10&lt;'Redlands Inputs'!$H$20,'Redlands Inputs'!$H$7*(1+'Redlands Inputs'!$L$6)^(DB$8-1),DB$42))</f>
        <v>72260.139557679722</v>
      </c>
      <c r="DC24" s="39">
        <f>IF(DC15&lt;&gt;0,0,IF(DC$10&lt;'Redlands Inputs'!$H$20,'Redlands Inputs'!$H$7*(1+'Redlands Inputs'!$L$6)^(DC$8-1),DC$42))</f>
        <v>72260.139557679722</v>
      </c>
      <c r="DD24" s="39">
        <f>IF(DD15&lt;&gt;0,0,IF(DD$10&lt;'Redlands Inputs'!$H$20,'Redlands Inputs'!$H$7*(1+'Redlands Inputs'!$L$6)^(DD$8-1),DD$42))</f>
        <v>72260.139557679722</v>
      </c>
      <c r="DE24" s="39">
        <f>IF(DE15&lt;&gt;0,0,IF(DE$10&lt;'Redlands Inputs'!$H$20,'Redlands Inputs'!$H$7*(1+'Redlands Inputs'!$L$6)^(DE$8-1),DE$42))</f>
        <v>72260.139557679722</v>
      </c>
      <c r="DF24" s="39">
        <f>IF(DF15&lt;&gt;0,0,IF(DF$10&lt;'Redlands Inputs'!$H$20,'Redlands Inputs'!$H$7*(1+'Redlands Inputs'!$L$6)^(DF$8-1),DF$42))</f>
        <v>72260.139557679722</v>
      </c>
      <c r="DG24" s="39">
        <f>IF(DG15&lt;&gt;0,0,IF(DG$10&lt;'Redlands Inputs'!$H$20,'Redlands Inputs'!$H$7*(1+'Redlands Inputs'!$L$6)^(DG$8-1),DG$42))</f>
        <v>73705.342348833321</v>
      </c>
      <c r="DH24" s="39">
        <f>IF(DH15&lt;&gt;0,0,IF(DH$10&lt;'Redlands Inputs'!$H$20,'Redlands Inputs'!$H$7*(1+'Redlands Inputs'!$L$6)^(DH$8-1),DH$42))</f>
        <v>73705.342348833321</v>
      </c>
      <c r="DI24" s="39">
        <f>IF(DI15&lt;&gt;0,0,IF(DI$10&lt;'Redlands Inputs'!$H$20,'Redlands Inputs'!$H$7*(1+'Redlands Inputs'!$L$6)^(DI$8-1),DI$42))</f>
        <v>73705.342348833321</v>
      </c>
      <c r="DJ24" s="39">
        <f>IF(DJ15&lt;&gt;0,0,IF(DJ$10&lt;'Redlands Inputs'!$H$20,'Redlands Inputs'!$H$7*(1+'Redlands Inputs'!$L$6)^(DJ$8-1),DJ$42))</f>
        <v>73705.342348833321</v>
      </c>
      <c r="DK24" s="39">
        <f>IF(DK15&lt;&gt;0,0,IF(DK$10&lt;'Redlands Inputs'!$H$20,'Redlands Inputs'!$H$7*(1+'Redlands Inputs'!$L$6)^(DK$8-1),DK$42))</f>
        <v>73705.342348833321</v>
      </c>
      <c r="DL24" s="39">
        <f>IF(DL15&lt;&gt;0,0,IF(DL$10&lt;'Redlands Inputs'!$H$20,'Redlands Inputs'!$H$7*(1+'Redlands Inputs'!$L$6)^(DL$8-1),DL$42))</f>
        <v>73705.342348833321</v>
      </c>
      <c r="DM24" s="39">
        <f>IF(DM15&lt;&gt;0,0,IF(DM$10&lt;'Redlands Inputs'!$H$20,'Redlands Inputs'!$H$7*(1+'Redlands Inputs'!$L$6)^(DM$8-1),DM$42))</f>
        <v>73705.342348833321</v>
      </c>
      <c r="DN24" s="39">
        <f>IF(DN15&lt;&gt;0,0,IF(DN$10&lt;'Redlands Inputs'!$H$20,'Redlands Inputs'!$H$7*(1+'Redlands Inputs'!$L$6)^(DN$8-1),DN$42))</f>
        <v>73705.342348833321</v>
      </c>
      <c r="DO24" s="39">
        <f>IF(DO15&lt;&gt;0,0,IF(DO$10&lt;'Redlands Inputs'!$H$20,'Redlands Inputs'!$H$7*(1+'Redlands Inputs'!$L$6)^(DO$8-1),DO$42))</f>
        <v>73705.342348833321</v>
      </c>
      <c r="DP24" s="39">
        <f>IF(DP15&lt;&gt;0,0,IF(DP$10&lt;'Redlands Inputs'!$H$20,'Redlands Inputs'!$H$7*(1+'Redlands Inputs'!$L$6)^(DP$8-1),DP$42))</f>
        <v>73705.342348833321</v>
      </c>
      <c r="DQ24" s="39">
        <f>IF(DQ15&lt;&gt;0,0,IF(DQ$10&lt;'Redlands Inputs'!$H$20,'Redlands Inputs'!$H$7*(1+'Redlands Inputs'!$L$6)^(DQ$8-1),DQ$42))</f>
        <v>73705.342348833321</v>
      </c>
      <c r="DR24" s="39">
        <f>IF(DR15&lt;&gt;0,0,IF(DR$10&lt;'Redlands Inputs'!$H$20,'Redlands Inputs'!$H$7*(1+'Redlands Inputs'!$L$6)^(DR$8-1),DR$42))</f>
        <v>73705.342348833321</v>
      </c>
      <c r="DS24" s="39">
        <f>IF(DS15&lt;&gt;0,0,IF(DS$10&lt;'Redlands Inputs'!$H$20,'Redlands Inputs'!$H$7*(1+'Redlands Inputs'!$L$6)^(DS$8-1),DS$42))</f>
        <v>75179.449195809982</v>
      </c>
      <c r="DT24" s="39">
        <f>IF(DT15&lt;&gt;0,0,IF(DT$10&lt;'Redlands Inputs'!$H$20,'Redlands Inputs'!$H$7*(1+'Redlands Inputs'!$L$6)^(DT$8-1),DT$42))</f>
        <v>75179.449195809982</v>
      </c>
      <c r="DU24" s="39">
        <f>IF(DU15&lt;&gt;0,0,IF(DU$10&lt;'Redlands Inputs'!$H$20,'Redlands Inputs'!$H$7*(1+'Redlands Inputs'!$L$6)^(DU$8-1),DU$42))</f>
        <v>75179.449195809982</v>
      </c>
      <c r="DV24" s="39">
        <f>IF(DV15&lt;&gt;0,0,IF(DV$10&lt;'Redlands Inputs'!$H$20,'Redlands Inputs'!$H$7*(1+'Redlands Inputs'!$L$6)^(DV$8-1),DV$42))</f>
        <v>75179.449195809982</v>
      </c>
      <c r="DW24" s="39">
        <f>IF(DW15&lt;&gt;0,0,IF(DW$10&lt;'Redlands Inputs'!$H$20,'Redlands Inputs'!$H$7*(1+'Redlands Inputs'!$L$6)^(DW$8-1),DW$42))</f>
        <v>75179.449195809982</v>
      </c>
      <c r="DX24" s="39">
        <f>IF(DX15&lt;&gt;0,0,IF(DX$10&lt;'Redlands Inputs'!$H$20,'Redlands Inputs'!$H$7*(1+'Redlands Inputs'!$L$6)^(DX$8-1),DX$42))</f>
        <v>75179.449195809982</v>
      </c>
      <c r="DY24" s="39">
        <f>IF(DY15&lt;&gt;0,0,IF(DY$10&lt;'Redlands Inputs'!$H$20,'Redlands Inputs'!$H$7*(1+'Redlands Inputs'!$L$6)^(DY$8-1),DY$42))</f>
        <v>75179.449195809982</v>
      </c>
      <c r="DZ24" s="39">
        <f>IF(DZ15&lt;&gt;0,0,IF(DZ$10&lt;'Redlands Inputs'!$H$20,'Redlands Inputs'!$H$7*(1+'Redlands Inputs'!$L$6)^(DZ$8-1),DZ$42))</f>
        <v>75179.449195809982</v>
      </c>
      <c r="EA24" s="39">
        <f>IF(EA15&lt;&gt;0,0,IF(EA$10&lt;'Redlands Inputs'!$H$20,'Redlands Inputs'!$H$7*(1+'Redlands Inputs'!$L$6)^(EA$8-1),EA$42))</f>
        <v>75179.449195809982</v>
      </c>
      <c r="EB24" s="39">
        <f>IF(EB15&lt;&gt;0,0,IF(EB$10&lt;'Redlands Inputs'!$H$20,'Redlands Inputs'!$H$7*(1+'Redlands Inputs'!$L$6)^(EB$8-1),EB$42))</f>
        <v>75179.449195809982</v>
      </c>
      <c r="EC24" s="39">
        <f>IF(EC15&lt;&gt;0,0,IF(EC$10&lt;'Redlands Inputs'!$H$20,'Redlands Inputs'!$H$7*(1+'Redlands Inputs'!$L$6)^(EC$8-1),EC$42))</f>
        <v>75179.449195809982</v>
      </c>
      <c r="ED24" s="39">
        <f>IF(ED15&lt;&gt;0,0,IF(ED$10&lt;'Redlands Inputs'!$H$20,'Redlands Inputs'!$H$7*(1+'Redlands Inputs'!$L$6)^(ED$8-1),ED$42))</f>
        <v>75179.449195809982</v>
      </c>
    </row>
    <row r="25" spans="1:134" ht="19.149999999999999" customHeight="1" x14ac:dyDescent="0.4">
      <c r="A25" s="10" t="s">
        <v>23</v>
      </c>
      <c r="B25" s="10"/>
      <c r="C25" s="185">
        <f t="shared" ref="C25:BO25" si="17">SUM(C21:C24)</f>
        <v>21666.666666666664</v>
      </c>
      <c r="D25" s="185">
        <f t="shared" si="17"/>
        <v>21666.666666666664</v>
      </c>
      <c r="E25" s="185">
        <f t="shared" si="17"/>
        <v>21666.666666666664</v>
      </c>
      <c r="F25" s="185">
        <f t="shared" si="17"/>
        <v>21666.666666666664</v>
      </c>
      <c r="G25" s="185">
        <f t="shared" si="17"/>
        <v>21666.666666666664</v>
      </c>
      <c r="H25" s="185">
        <f t="shared" si="17"/>
        <v>21666.666666666664</v>
      </c>
      <c r="I25" s="185">
        <f t="shared" si="17"/>
        <v>21666.666666666664</v>
      </c>
      <c r="J25" s="185">
        <f t="shared" si="17"/>
        <v>21666.666666666664</v>
      </c>
      <c r="K25" s="185">
        <f t="shared" si="17"/>
        <v>21666.666666666664</v>
      </c>
      <c r="L25" s="185">
        <f t="shared" si="17"/>
        <v>21666.666666666664</v>
      </c>
      <c r="M25" s="185">
        <f t="shared" si="17"/>
        <v>21666.666666666664</v>
      </c>
      <c r="N25" s="185">
        <f t="shared" si="17"/>
        <v>21666.666666666664</v>
      </c>
      <c r="O25" s="185">
        <f t="shared" si="17"/>
        <v>21916.666666666664</v>
      </c>
      <c r="P25" s="185">
        <f t="shared" si="17"/>
        <v>21916.666666666664</v>
      </c>
      <c r="Q25" s="185">
        <f t="shared" si="17"/>
        <v>21916.666666666664</v>
      </c>
      <c r="R25" s="185">
        <f t="shared" si="17"/>
        <v>21916.666666666664</v>
      </c>
      <c r="S25" s="185">
        <f t="shared" si="17"/>
        <v>21916.666666666664</v>
      </c>
      <c r="T25" s="185">
        <f t="shared" si="17"/>
        <v>21916.666666666664</v>
      </c>
      <c r="U25" s="185">
        <f t="shared" si="17"/>
        <v>21916.666666666664</v>
      </c>
      <c r="V25" s="185">
        <f t="shared" si="17"/>
        <v>21916.666666666664</v>
      </c>
      <c r="W25" s="185">
        <f t="shared" si="17"/>
        <v>21916.666666666664</v>
      </c>
      <c r="X25" s="185">
        <f t="shared" si="17"/>
        <v>21916.666666666664</v>
      </c>
      <c r="Y25" s="185">
        <f t="shared" si="17"/>
        <v>21916.666666666664</v>
      </c>
      <c r="Z25" s="185">
        <f t="shared" si="17"/>
        <v>21916.666666666664</v>
      </c>
      <c r="AA25" s="185">
        <f t="shared" si="17"/>
        <v>22171.666666666664</v>
      </c>
      <c r="AB25" s="185">
        <f t="shared" si="17"/>
        <v>22171.666666666664</v>
      </c>
      <c r="AC25" s="185">
        <f t="shared" si="17"/>
        <v>22171.666666666664</v>
      </c>
      <c r="AD25" s="185">
        <f t="shared" si="17"/>
        <v>22171.666666666664</v>
      </c>
      <c r="AE25" s="185">
        <f t="shared" si="17"/>
        <v>22171.666666666664</v>
      </c>
      <c r="AF25" s="185">
        <f t="shared" si="17"/>
        <v>22171.666666666664</v>
      </c>
      <c r="AG25" s="185">
        <f t="shared" si="17"/>
        <v>22171.666666666664</v>
      </c>
      <c r="AH25" s="185">
        <f t="shared" si="17"/>
        <v>22171.666666666664</v>
      </c>
      <c r="AI25" s="185">
        <f t="shared" si="17"/>
        <v>22171.666666666664</v>
      </c>
      <c r="AJ25" s="185">
        <f t="shared" si="17"/>
        <v>22171.666666666664</v>
      </c>
      <c r="AK25" s="185">
        <f t="shared" si="17"/>
        <v>22171.666666666664</v>
      </c>
      <c r="AL25" s="185">
        <f t="shared" si="17"/>
        <v>22171.666666666664</v>
      </c>
      <c r="AM25" s="185">
        <f t="shared" si="17"/>
        <v>22431.766666666663</v>
      </c>
      <c r="AN25" s="185">
        <f t="shared" si="17"/>
        <v>22431.766666666663</v>
      </c>
      <c r="AO25" s="185">
        <f t="shared" si="17"/>
        <v>22431.766666666663</v>
      </c>
      <c r="AP25" s="185">
        <f t="shared" si="17"/>
        <v>22431.766666666663</v>
      </c>
      <c r="AQ25" s="185">
        <f t="shared" si="17"/>
        <v>22431.766666666663</v>
      </c>
      <c r="AR25" s="185">
        <f t="shared" si="17"/>
        <v>22431.766666666663</v>
      </c>
      <c r="AS25" s="185">
        <f t="shared" si="17"/>
        <v>22431.766666666663</v>
      </c>
      <c r="AT25" s="185">
        <f t="shared" si="17"/>
        <v>22431.766666666663</v>
      </c>
      <c r="AU25" s="185">
        <f t="shared" si="17"/>
        <v>22431.766666666663</v>
      </c>
      <c r="AV25" s="185">
        <f t="shared" si="17"/>
        <v>22431.766666666663</v>
      </c>
      <c r="AW25" s="185">
        <f t="shared" si="17"/>
        <v>22431.766666666663</v>
      </c>
      <c r="AX25" s="185">
        <f t="shared" si="17"/>
        <v>22431.766666666663</v>
      </c>
      <c r="AY25" s="185">
        <f t="shared" si="17"/>
        <v>22697.068666666666</v>
      </c>
      <c r="AZ25" s="185">
        <f t="shared" si="17"/>
        <v>22697.068666666666</v>
      </c>
      <c r="BA25" s="185">
        <f t="shared" si="17"/>
        <v>22697.068666666666</v>
      </c>
      <c r="BB25" s="185">
        <f t="shared" si="17"/>
        <v>22697.068666666666</v>
      </c>
      <c r="BC25" s="185">
        <f t="shared" si="17"/>
        <v>22697.068666666666</v>
      </c>
      <c r="BD25" s="185">
        <f t="shared" si="17"/>
        <v>22697.068666666666</v>
      </c>
      <c r="BE25" s="185">
        <f t="shared" si="17"/>
        <v>22697.068666666666</v>
      </c>
      <c r="BF25" s="185">
        <f t="shared" si="17"/>
        <v>22697.068666666666</v>
      </c>
      <c r="BG25" s="185">
        <f t="shared" si="17"/>
        <v>22697.068666666666</v>
      </c>
      <c r="BH25" s="185">
        <f t="shared" si="17"/>
        <v>22697.068666666666</v>
      </c>
      <c r="BI25" s="185">
        <f t="shared" si="17"/>
        <v>22697.068666666666</v>
      </c>
      <c r="BJ25" s="185">
        <f t="shared" si="17"/>
        <v>22697.068666666666</v>
      </c>
      <c r="BK25" s="185">
        <f t="shared" si="17"/>
        <v>22967.676706666665</v>
      </c>
      <c r="BL25" s="185">
        <f t="shared" si="17"/>
        <v>22967.676706666665</v>
      </c>
      <c r="BM25" s="185">
        <f t="shared" si="17"/>
        <v>22967.676706666665</v>
      </c>
      <c r="BN25" s="185">
        <f t="shared" si="17"/>
        <v>22967.676706666665</v>
      </c>
      <c r="BO25" s="185">
        <f t="shared" si="17"/>
        <v>22967.676706666665</v>
      </c>
      <c r="BP25" s="185">
        <f t="shared" ref="BP25:EA25" si="18">SUM(BP21:BP24)</f>
        <v>22967.676706666665</v>
      </c>
      <c r="BQ25" s="185">
        <f t="shared" si="18"/>
        <v>22967.676706666665</v>
      </c>
      <c r="BR25" s="185">
        <f t="shared" si="18"/>
        <v>22967.676706666665</v>
      </c>
      <c r="BS25" s="185">
        <f t="shared" si="18"/>
        <v>22967.676706666665</v>
      </c>
      <c r="BT25" s="185">
        <f t="shared" si="18"/>
        <v>22967.676706666665</v>
      </c>
      <c r="BU25" s="185">
        <f t="shared" si="18"/>
        <v>22967.676706666665</v>
      </c>
      <c r="BV25" s="185">
        <f t="shared" si="18"/>
        <v>22967.676706666665</v>
      </c>
      <c r="BW25" s="185">
        <f t="shared" si="18"/>
        <v>23243.696907466667</v>
      </c>
      <c r="BX25" s="185">
        <f t="shared" si="18"/>
        <v>23243.696907466667</v>
      </c>
      <c r="BY25" s="185">
        <f t="shared" si="18"/>
        <v>23243.696907466667</v>
      </c>
      <c r="BZ25" s="185">
        <f t="shared" si="18"/>
        <v>23243.696907466667</v>
      </c>
      <c r="CA25" s="185">
        <f t="shared" si="18"/>
        <v>23243.696907466667</v>
      </c>
      <c r="CB25" s="185">
        <f t="shared" si="18"/>
        <v>23243.696907466667</v>
      </c>
      <c r="CC25" s="185">
        <f t="shared" si="18"/>
        <v>23243.696907466667</v>
      </c>
      <c r="CD25" s="185">
        <f t="shared" si="18"/>
        <v>23243.696907466667</v>
      </c>
      <c r="CE25" s="185">
        <f t="shared" si="18"/>
        <v>23243.696907466667</v>
      </c>
      <c r="CF25" s="185">
        <f t="shared" si="18"/>
        <v>23243.696907466667</v>
      </c>
      <c r="CG25" s="185">
        <f t="shared" si="18"/>
        <v>23243.696907466667</v>
      </c>
      <c r="CH25" s="185">
        <f t="shared" si="18"/>
        <v>23243.696907466667</v>
      </c>
      <c r="CI25" s="185">
        <f t="shared" si="18"/>
        <v>80009.940742823252</v>
      </c>
      <c r="CJ25" s="185">
        <f t="shared" si="18"/>
        <v>80009.940742823252</v>
      </c>
      <c r="CK25" s="185">
        <f t="shared" si="18"/>
        <v>80009.940742823252</v>
      </c>
      <c r="CL25" s="185">
        <f t="shared" si="18"/>
        <v>80009.940742823252</v>
      </c>
      <c r="CM25" s="185">
        <f t="shared" si="18"/>
        <v>80009.940742823252</v>
      </c>
      <c r="CN25" s="185">
        <f t="shared" si="18"/>
        <v>80009.940742823252</v>
      </c>
      <c r="CO25" s="185">
        <f t="shared" si="18"/>
        <v>80009.940742823252</v>
      </c>
      <c r="CP25" s="185">
        <f t="shared" si="18"/>
        <v>80009.940742823252</v>
      </c>
      <c r="CQ25" s="185">
        <f t="shared" si="18"/>
        <v>80009.940742823252</v>
      </c>
      <c r="CR25" s="185">
        <f t="shared" si="18"/>
        <v>80009.940742823252</v>
      </c>
      <c r="CS25" s="185">
        <f t="shared" si="18"/>
        <v>80009.940742823252</v>
      </c>
      <c r="CT25" s="185">
        <f t="shared" si="18"/>
        <v>80009.940742823252</v>
      </c>
      <c r="CU25" s="185">
        <f t="shared" si="18"/>
        <v>81426.806224346394</v>
      </c>
      <c r="CV25" s="185">
        <f t="shared" si="18"/>
        <v>81426.806224346394</v>
      </c>
      <c r="CW25" s="185">
        <f t="shared" si="18"/>
        <v>81426.806224346394</v>
      </c>
      <c r="CX25" s="185">
        <f t="shared" si="18"/>
        <v>81426.806224346394</v>
      </c>
      <c r="CY25" s="185">
        <f t="shared" si="18"/>
        <v>81426.806224346394</v>
      </c>
      <c r="CZ25" s="185">
        <f t="shared" si="18"/>
        <v>81426.806224346394</v>
      </c>
      <c r="DA25" s="185">
        <f t="shared" si="18"/>
        <v>81426.806224346394</v>
      </c>
      <c r="DB25" s="185">
        <f t="shared" si="18"/>
        <v>81426.806224346394</v>
      </c>
      <c r="DC25" s="185">
        <f t="shared" si="18"/>
        <v>81426.806224346394</v>
      </c>
      <c r="DD25" s="185">
        <f t="shared" si="18"/>
        <v>81426.806224346394</v>
      </c>
      <c r="DE25" s="185">
        <f t="shared" si="18"/>
        <v>81426.806224346394</v>
      </c>
      <c r="DF25" s="185">
        <f t="shared" si="18"/>
        <v>81426.806224346394</v>
      </c>
      <c r="DG25" s="185">
        <f t="shared" si="18"/>
        <v>82872.009015499993</v>
      </c>
      <c r="DH25" s="185">
        <f t="shared" si="18"/>
        <v>82872.009015499993</v>
      </c>
      <c r="DI25" s="185">
        <f t="shared" si="18"/>
        <v>82872.009015499993</v>
      </c>
      <c r="DJ25" s="185">
        <f t="shared" si="18"/>
        <v>82872.009015499993</v>
      </c>
      <c r="DK25" s="185">
        <f t="shared" si="18"/>
        <v>82872.009015499993</v>
      </c>
      <c r="DL25" s="185">
        <f t="shared" si="18"/>
        <v>82872.009015499993</v>
      </c>
      <c r="DM25" s="185">
        <f t="shared" si="18"/>
        <v>82872.009015499993</v>
      </c>
      <c r="DN25" s="185">
        <f t="shared" si="18"/>
        <v>82872.009015499993</v>
      </c>
      <c r="DO25" s="185">
        <f t="shared" si="18"/>
        <v>82872.009015499993</v>
      </c>
      <c r="DP25" s="185">
        <f t="shared" si="18"/>
        <v>82872.009015499993</v>
      </c>
      <c r="DQ25" s="185">
        <f t="shared" si="18"/>
        <v>82872.009015499993</v>
      </c>
      <c r="DR25" s="185">
        <f t="shared" si="18"/>
        <v>82872.009015499993</v>
      </c>
      <c r="DS25" s="185">
        <f t="shared" si="18"/>
        <v>84346.115862476654</v>
      </c>
      <c r="DT25" s="185">
        <f t="shared" si="18"/>
        <v>84346.115862476654</v>
      </c>
      <c r="DU25" s="185">
        <f t="shared" si="18"/>
        <v>84346.115862476654</v>
      </c>
      <c r="DV25" s="185">
        <f t="shared" si="18"/>
        <v>84346.115862476654</v>
      </c>
      <c r="DW25" s="185">
        <f t="shared" si="18"/>
        <v>84346.115862476654</v>
      </c>
      <c r="DX25" s="185">
        <f t="shared" si="18"/>
        <v>84346.115862476654</v>
      </c>
      <c r="DY25" s="185">
        <f t="shared" si="18"/>
        <v>84346.115862476654</v>
      </c>
      <c r="DZ25" s="185">
        <f t="shared" si="18"/>
        <v>84346.115862476654</v>
      </c>
      <c r="EA25" s="185">
        <f t="shared" si="18"/>
        <v>84346.115862476654</v>
      </c>
      <c r="EB25" s="185">
        <f t="shared" ref="EB25:ED25" si="19">SUM(EB21:EB24)</f>
        <v>84346.115862476654</v>
      </c>
      <c r="EC25" s="185">
        <f t="shared" si="19"/>
        <v>84346.115862476654</v>
      </c>
      <c r="ED25" s="185">
        <f t="shared" si="19"/>
        <v>84346.115862476654</v>
      </c>
    </row>
    <row r="26" spans="1:134" ht="19.149999999999999" customHeight="1" x14ac:dyDescent="0.4">
      <c r="A26" s="6" t="s">
        <v>24</v>
      </c>
      <c r="B26" s="6"/>
      <c r="C26" s="80">
        <f>SUM(C25)</f>
        <v>21666.666666666664</v>
      </c>
      <c r="D26" s="80">
        <f t="shared" ref="D26:BO26" si="20">SUM(D25)</f>
        <v>21666.666666666664</v>
      </c>
      <c r="E26" s="80">
        <f t="shared" si="20"/>
        <v>21666.666666666664</v>
      </c>
      <c r="F26" s="80">
        <f t="shared" si="20"/>
        <v>21666.666666666664</v>
      </c>
      <c r="G26" s="80">
        <f t="shared" si="20"/>
        <v>21666.666666666664</v>
      </c>
      <c r="H26" s="80">
        <f t="shared" si="20"/>
        <v>21666.666666666664</v>
      </c>
      <c r="I26" s="80">
        <f t="shared" si="20"/>
        <v>21666.666666666664</v>
      </c>
      <c r="J26" s="80">
        <f t="shared" si="20"/>
        <v>21666.666666666664</v>
      </c>
      <c r="K26" s="80">
        <f t="shared" si="20"/>
        <v>21666.666666666664</v>
      </c>
      <c r="L26" s="80">
        <f t="shared" si="20"/>
        <v>21666.666666666664</v>
      </c>
      <c r="M26" s="80">
        <f t="shared" si="20"/>
        <v>21666.666666666664</v>
      </c>
      <c r="N26" s="80">
        <f t="shared" si="20"/>
        <v>21666.666666666664</v>
      </c>
      <c r="O26" s="80">
        <f t="shared" si="20"/>
        <v>21916.666666666664</v>
      </c>
      <c r="P26" s="80">
        <f t="shared" si="20"/>
        <v>21916.666666666664</v>
      </c>
      <c r="Q26" s="80">
        <f t="shared" si="20"/>
        <v>21916.666666666664</v>
      </c>
      <c r="R26" s="80">
        <f t="shared" si="20"/>
        <v>21916.666666666664</v>
      </c>
      <c r="S26" s="80">
        <f t="shared" si="20"/>
        <v>21916.666666666664</v>
      </c>
      <c r="T26" s="80">
        <f t="shared" si="20"/>
        <v>21916.666666666664</v>
      </c>
      <c r="U26" s="80">
        <f t="shared" si="20"/>
        <v>21916.666666666664</v>
      </c>
      <c r="V26" s="80">
        <f t="shared" si="20"/>
        <v>21916.666666666664</v>
      </c>
      <c r="W26" s="80">
        <f t="shared" si="20"/>
        <v>21916.666666666664</v>
      </c>
      <c r="X26" s="80">
        <f t="shared" si="20"/>
        <v>21916.666666666664</v>
      </c>
      <c r="Y26" s="80">
        <f t="shared" si="20"/>
        <v>21916.666666666664</v>
      </c>
      <c r="Z26" s="80">
        <f t="shared" si="20"/>
        <v>21916.666666666664</v>
      </c>
      <c r="AA26" s="80">
        <f t="shared" si="20"/>
        <v>22171.666666666664</v>
      </c>
      <c r="AB26" s="80">
        <f t="shared" si="20"/>
        <v>22171.666666666664</v>
      </c>
      <c r="AC26" s="80">
        <f t="shared" si="20"/>
        <v>22171.666666666664</v>
      </c>
      <c r="AD26" s="80">
        <f t="shared" si="20"/>
        <v>22171.666666666664</v>
      </c>
      <c r="AE26" s="80">
        <f t="shared" si="20"/>
        <v>22171.666666666664</v>
      </c>
      <c r="AF26" s="80">
        <f t="shared" si="20"/>
        <v>22171.666666666664</v>
      </c>
      <c r="AG26" s="80">
        <f t="shared" si="20"/>
        <v>22171.666666666664</v>
      </c>
      <c r="AH26" s="80">
        <f t="shared" si="20"/>
        <v>22171.666666666664</v>
      </c>
      <c r="AI26" s="80">
        <f t="shared" si="20"/>
        <v>22171.666666666664</v>
      </c>
      <c r="AJ26" s="80">
        <f t="shared" si="20"/>
        <v>22171.666666666664</v>
      </c>
      <c r="AK26" s="80">
        <f t="shared" si="20"/>
        <v>22171.666666666664</v>
      </c>
      <c r="AL26" s="80">
        <f t="shared" si="20"/>
        <v>22171.666666666664</v>
      </c>
      <c r="AM26" s="80">
        <f t="shared" si="20"/>
        <v>22431.766666666663</v>
      </c>
      <c r="AN26" s="80">
        <f t="shared" si="20"/>
        <v>22431.766666666663</v>
      </c>
      <c r="AO26" s="80">
        <f t="shared" si="20"/>
        <v>22431.766666666663</v>
      </c>
      <c r="AP26" s="80">
        <f t="shared" si="20"/>
        <v>22431.766666666663</v>
      </c>
      <c r="AQ26" s="80">
        <f t="shared" si="20"/>
        <v>22431.766666666663</v>
      </c>
      <c r="AR26" s="80">
        <f t="shared" si="20"/>
        <v>22431.766666666663</v>
      </c>
      <c r="AS26" s="80">
        <f t="shared" si="20"/>
        <v>22431.766666666663</v>
      </c>
      <c r="AT26" s="80">
        <f t="shared" si="20"/>
        <v>22431.766666666663</v>
      </c>
      <c r="AU26" s="80">
        <f t="shared" si="20"/>
        <v>22431.766666666663</v>
      </c>
      <c r="AV26" s="80">
        <f t="shared" si="20"/>
        <v>22431.766666666663</v>
      </c>
      <c r="AW26" s="80">
        <f t="shared" si="20"/>
        <v>22431.766666666663</v>
      </c>
      <c r="AX26" s="80">
        <f t="shared" si="20"/>
        <v>22431.766666666663</v>
      </c>
      <c r="AY26" s="80">
        <f t="shared" si="20"/>
        <v>22697.068666666666</v>
      </c>
      <c r="AZ26" s="80">
        <f t="shared" si="20"/>
        <v>22697.068666666666</v>
      </c>
      <c r="BA26" s="80">
        <f t="shared" si="20"/>
        <v>22697.068666666666</v>
      </c>
      <c r="BB26" s="80">
        <f t="shared" si="20"/>
        <v>22697.068666666666</v>
      </c>
      <c r="BC26" s="80">
        <f t="shared" si="20"/>
        <v>22697.068666666666</v>
      </c>
      <c r="BD26" s="80">
        <f t="shared" si="20"/>
        <v>22697.068666666666</v>
      </c>
      <c r="BE26" s="80">
        <f t="shared" si="20"/>
        <v>22697.068666666666</v>
      </c>
      <c r="BF26" s="80">
        <f t="shared" si="20"/>
        <v>22697.068666666666</v>
      </c>
      <c r="BG26" s="80">
        <f t="shared" si="20"/>
        <v>22697.068666666666</v>
      </c>
      <c r="BH26" s="80">
        <f t="shared" si="20"/>
        <v>22697.068666666666</v>
      </c>
      <c r="BI26" s="80">
        <f t="shared" si="20"/>
        <v>22697.068666666666</v>
      </c>
      <c r="BJ26" s="80">
        <f t="shared" si="20"/>
        <v>22697.068666666666</v>
      </c>
      <c r="BK26" s="80">
        <f t="shared" si="20"/>
        <v>22967.676706666665</v>
      </c>
      <c r="BL26" s="80">
        <f t="shared" si="20"/>
        <v>22967.676706666665</v>
      </c>
      <c r="BM26" s="80">
        <f t="shared" si="20"/>
        <v>22967.676706666665</v>
      </c>
      <c r="BN26" s="80">
        <f t="shared" si="20"/>
        <v>22967.676706666665</v>
      </c>
      <c r="BO26" s="80">
        <f t="shared" si="20"/>
        <v>22967.676706666665</v>
      </c>
      <c r="BP26" s="80">
        <f t="shared" ref="BP26:EA26" si="21">SUM(BP25)</f>
        <v>22967.676706666665</v>
      </c>
      <c r="BQ26" s="80">
        <f t="shared" si="21"/>
        <v>22967.676706666665</v>
      </c>
      <c r="BR26" s="80">
        <f t="shared" si="21"/>
        <v>22967.676706666665</v>
      </c>
      <c r="BS26" s="80">
        <f t="shared" si="21"/>
        <v>22967.676706666665</v>
      </c>
      <c r="BT26" s="80">
        <f t="shared" si="21"/>
        <v>22967.676706666665</v>
      </c>
      <c r="BU26" s="80">
        <f t="shared" si="21"/>
        <v>22967.676706666665</v>
      </c>
      <c r="BV26" s="80">
        <f t="shared" si="21"/>
        <v>22967.676706666665</v>
      </c>
      <c r="BW26" s="80">
        <f t="shared" si="21"/>
        <v>23243.696907466667</v>
      </c>
      <c r="BX26" s="80">
        <f t="shared" si="21"/>
        <v>23243.696907466667</v>
      </c>
      <c r="BY26" s="80">
        <f t="shared" si="21"/>
        <v>23243.696907466667</v>
      </c>
      <c r="BZ26" s="80">
        <f t="shared" si="21"/>
        <v>23243.696907466667</v>
      </c>
      <c r="CA26" s="80">
        <f t="shared" si="21"/>
        <v>23243.696907466667</v>
      </c>
      <c r="CB26" s="80">
        <f t="shared" si="21"/>
        <v>23243.696907466667</v>
      </c>
      <c r="CC26" s="80">
        <f t="shared" si="21"/>
        <v>23243.696907466667</v>
      </c>
      <c r="CD26" s="80">
        <f t="shared" si="21"/>
        <v>23243.696907466667</v>
      </c>
      <c r="CE26" s="80">
        <f t="shared" si="21"/>
        <v>23243.696907466667</v>
      </c>
      <c r="CF26" s="80">
        <f t="shared" si="21"/>
        <v>23243.696907466667</v>
      </c>
      <c r="CG26" s="80">
        <f t="shared" si="21"/>
        <v>23243.696907466667</v>
      </c>
      <c r="CH26" s="80">
        <f t="shared" si="21"/>
        <v>23243.696907466667</v>
      </c>
      <c r="CI26" s="80">
        <f t="shared" si="21"/>
        <v>80009.940742823252</v>
      </c>
      <c r="CJ26" s="80">
        <f t="shared" si="21"/>
        <v>80009.940742823252</v>
      </c>
      <c r="CK26" s="80">
        <f t="shared" si="21"/>
        <v>80009.940742823252</v>
      </c>
      <c r="CL26" s="80">
        <f t="shared" si="21"/>
        <v>80009.940742823252</v>
      </c>
      <c r="CM26" s="80">
        <f t="shared" si="21"/>
        <v>80009.940742823252</v>
      </c>
      <c r="CN26" s="80">
        <f t="shared" si="21"/>
        <v>80009.940742823252</v>
      </c>
      <c r="CO26" s="80">
        <f t="shared" si="21"/>
        <v>80009.940742823252</v>
      </c>
      <c r="CP26" s="80">
        <f t="shared" si="21"/>
        <v>80009.940742823252</v>
      </c>
      <c r="CQ26" s="80">
        <f t="shared" si="21"/>
        <v>80009.940742823252</v>
      </c>
      <c r="CR26" s="80">
        <f t="shared" si="21"/>
        <v>80009.940742823252</v>
      </c>
      <c r="CS26" s="80">
        <f t="shared" si="21"/>
        <v>80009.940742823252</v>
      </c>
      <c r="CT26" s="80">
        <f t="shared" si="21"/>
        <v>80009.940742823252</v>
      </c>
      <c r="CU26" s="80">
        <f t="shared" si="21"/>
        <v>81426.806224346394</v>
      </c>
      <c r="CV26" s="80">
        <f t="shared" si="21"/>
        <v>81426.806224346394</v>
      </c>
      <c r="CW26" s="80">
        <f t="shared" si="21"/>
        <v>81426.806224346394</v>
      </c>
      <c r="CX26" s="80">
        <f t="shared" si="21"/>
        <v>81426.806224346394</v>
      </c>
      <c r="CY26" s="80">
        <f t="shared" si="21"/>
        <v>81426.806224346394</v>
      </c>
      <c r="CZ26" s="80">
        <f t="shared" si="21"/>
        <v>81426.806224346394</v>
      </c>
      <c r="DA26" s="80">
        <f t="shared" si="21"/>
        <v>81426.806224346394</v>
      </c>
      <c r="DB26" s="80">
        <f t="shared" si="21"/>
        <v>81426.806224346394</v>
      </c>
      <c r="DC26" s="80">
        <f t="shared" si="21"/>
        <v>81426.806224346394</v>
      </c>
      <c r="DD26" s="80">
        <f t="shared" si="21"/>
        <v>81426.806224346394</v>
      </c>
      <c r="DE26" s="80">
        <f t="shared" si="21"/>
        <v>81426.806224346394</v>
      </c>
      <c r="DF26" s="80">
        <f t="shared" si="21"/>
        <v>81426.806224346394</v>
      </c>
      <c r="DG26" s="80">
        <f t="shared" si="21"/>
        <v>82872.009015499993</v>
      </c>
      <c r="DH26" s="80">
        <f t="shared" si="21"/>
        <v>82872.009015499993</v>
      </c>
      <c r="DI26" s="80">
        <f t="shared" si="21"/>
        <v>82872.009015499993</v>
      </c>
      <c r="DJ26" s="80">
        <f t="shared" si="21"/>
        <v>82872.009015499993</v>
      </c>
      <c r="DK26" s="80">
        <f t="shared" si="21"/>
        <v>82872.009015499993</v>
      </c>
      <c r="DL26" s="80">
        <f t="shared" si="21"/>
        <v>82872.009015499993</v>
      </c>
      <c r="DM26" s="80">
        <f t="shared" si="21"/>
        <v>82872.009015499993</v>
      </c>
      <c r="DN26" s="80">
        <f t="shared" si="21"/>
        <v>82872.009015499993</v>
      </c>
      <c r="DO26" s="80">
        <f t="shared" si="21"/>
        <v>82872.009015499993</v>
      </c>
      <c r="DP26" s="80">
        <f t="shared" si="21"/>
        <v>82872.009015499993</v>
      </c>
      <c r="DQ26" s="80">
        <f t="shared" si="21"/>
        <v>82872.009015499993</v>
      </c>
      <c r="DR26" s="80">
        <f t="shared" si="21"/>
        <v>82872.009015499993</v>
      </c>
      <c r="DS26" s="80">
        <f t="shared" si="21"/>
        <v>84346.115862476654</v>
      </c>
      <c r="DT26" s="80">
        <f t="shared" si="21"/>
        <v>84346.115862476654</v>
      </c>
      <c r="DU26" s="80">
        <f t="shared" si="21"/>
        <v>84346.115862476654</v>
      </c>
      <c r="DV26" s="80">
        <f t="shared" si="21"/>
        <v>84346.115862476654</v>
      </c>
      <c r="DW26" s="80">
        <f t="shared" si="21"/>
        <v>84346.115862476654</v>
      </c>
      <c r="DX26" s="80">
        <f t="shared" si="21"/>
        <v>84346.115862476654</v>
      </c>
      <c r="DY26" s="80">
        <f t="shared" si="21"/>
        <v>84346.115862476654</v>
      </c>
      <c r="DZ26" s="80">
        <f t="shared" si="21"/>
        <v>84346.115862476654</v>
      </c>
      <c r="EA26" s="80">
        <f t="shared" si="21"/>
        <v>84346.115862476654</v>
      </c>
      <c r="EB26" s="80">
        <f t="shared" ref="EB26:ED26" si="22">SUM(EB25)</f>
        <v>84346.115862476654</v>
      </c>
      <c r="EC26" s="80">
        <f t="shared" si="22"/>
        <v>84346.115862476654</v>
      </c>
      <c r="ED26" s="80">
        <f t="shared" si="22"/>
        <v>84346.115862476654</v>
      </c>
    </row>
    <row r="27" spans="1:134" ht="19.149999999999999" customHeight="1" x14ac:dyDescent="0.4">
      <c r="A27" s="5" t="s">
        <v>17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</row>
    <row r="28" spans="1:134" ht="19.149999999999999" customHeight="1" x14ac:dyDescent="0.4">
      <c r="A28" s="6" t="s">
        <v>25</v>
      </c>
      <c r="B28" s="6"/>
      <c r="C28" s="80">
        <f>C18+C26</f>
        <v>346655.47522711492</v>
      </c>
      <c r="D28" s="80">
        <f t="shared" ref="D28:BO28" si="23">D18+D26</f>
        <v>346655.47522711492</v>
      </c>
      <c r="E28" s="80">
        <f t="shared" si="23"/>
        <v>346655.47522711492</v>
      </c>
      <c r="F28" s="80">
        <f t="shared" si="23"/>
        <v>346655.47522711492</v>
      </c>
      <c r="G28" s="80">
        <f t="shared" si="23"/>
        <v>346655.47522711492</v>
      </c>
      <c r="H28" s="80">
        <f t="shared" si="23"/>
        <v>346655.47522711492</v>
      </c>
      <c r="I28" s="80">
        <f t="shared" si="23"/>
        <v>346655.47522711492</v>
      </c>
      <c r="J28" s="80">
        <f t="shared" si="23"/>
        <v>346655.47522711492</v>
      </c>
      <c r="K28" s="80">
        <f t="shared" si="23"/>
        <v>346655.47522711492</v>
      </c>
      <c r="L28" s="80">
        <f t="shared" si="23"/>
        <v>346655.47522711492</v>
      </c>
      <c r="M28" s="80">
        <f t="shared" si="23"/>
        <v>346655.47522711492</v>
      </c>
      <c r="N28" s="80">
        <f t="shared" si="23"/>
        <v>346655.47522711492</v>
      </c>
      <c r="O28" s="80">
        <f t="shared" si="23"/>
        <v>353405.25139832386</v>
      </c>
      <c r="P28" s="80">
        <f t="shared" si="23"/>
        <v>353405.25139832386</v>
      </c>
      <c r="Q28" s="80">
        <f t="shared" si="23"/>
        <v>353405.25139832386</v>
      </c>
      <c r="R28" s="80">
        <f t="shared" si="23"/>
        <v>353405.25139832386</v>
      </c>
      <c r="S28" s="80">
        <f t="shared" si="23"/>
        <v>353405.25139832386</v>
      </c>
      <c r="T28" s="80">
        <f t="shared" si="23"/>
        <v>353405.25139832386</v>
      </c>
      <c r="U28" s="80">
        <f t="shared" si="23"/>
        <v>353405.25139832386</v>
      </c>
      <c r="V28" s="80">
        <f t="shared" si="23"/>
        <v>353405.25139832386</v>
      </c>
      <c r="W28" s="80">
        <f t="shared" si="23"/>
        <v>353405.25139832386</v>
      </c>
      <c r="X28" s="80">
        <f t="shared" si="23"/>
        <v>353405.25139832386</v>
      </c>
      <c r="Y28" s="80">
        <f t="shared" si="23"/>
        <v>353405.25139832386</v>
      </c>
      <c r="Z28" s="80">
        <f t="shared" si="23"/>
        <v>353405.25139832386</v>
      </c>
      <c r="AA28" s="80">
        <f t="shared" si="23"/>
        <v>360290.02309295704</v>
      </c>
      <c r="AB28" s="80">
        <f t="shared" si="23"/>
        <v>360290.02309295704</v>
      </c>
      <c r="AC28" s="80">
        <f t="shared" si="23"/>
        <v>360290.02309295704</v>
      </c>
      <c r="AD28" s="80">
        <f t="shared" si="23"/>
        <v>360290.02309295704</v>
      </c>
      <c r="AE28" s="80">
        <f t="shared" si="23"/>
        <v>360290.02309295704</v>
      </c>
      <c r="AF28" s="80">
        <f t="shared" si="23"/>
        <v>360290.02309295704</v>
      </c>
      <c r="AG28" s="80">
        <f t="shared" si="23"/>
        <v>360290.02309295704</v>
      </c>
      <c r="AH28" s="80">
        <f t="shared" si="23"/>
        <v>360290.02309295704</v>
      </c>
      <c r="AI28" s="80">
        <f t="shared" si="23"/>
        <v>360290.02309295704</v>
      </c>
      <c r="AJ28" s="80">
        <f t="shared" si="23"/>
        <v>360290.02309295704</v>
      </c>
      <c r="AK28" s="80">
        <f t="shared" si="23"/>
        <v>360290.02309295704</v>
      </c>
      <c r="AL28" s="80">
        <f t="shared" si="23"/>
        <v>360290.02309295704</v>
      </c>
      <c r="AM28" s="80">
        <f t="shared" si="23"/>
        <v>367312.49022148276</v>
      </c>
      <c r="AN28" s="80">
        <f t="shared" si="23"/>
        <v>367312.49022148276</v>
      </c>
      <c r="AO28" s="80">
        <f t="shared" si="23"/>
        <v>367312.49022148276</v>
      </c>
      <c r="AP28" s="80">
        <f t="shared" si="23"/>
        <v>367312.49022148276</v>
      </c>
      <c r="AQ28" s="80">
        <f t="shared" si="23"/>
        <v>367312.49022148276</v>
      </c>
      <c r="AR28" s="80">
        <f t="shared" si="23"/>
        <v>367312.49022148276</v>
      </c>
      <c r="AS28" s="80">
        <f t="shared" si="23"/>
        <v>367312.49022148276</v>
      </c>
      <c r="AT28" s="80">
        <f t="shared" si="23"/>
        <v>367312.49022148276</v>
      </c>
      <c r="AU28" s="80">
        <f t="shared" si="23"/>
        <v>367312.49022148276</v>
      </c>
      <c r="AV28" s="80">
        <f t="shared" si="23"/>
        <v>367312.49022148276</v>
      </c>
      <c r="AW28" s="80">
        <f t="shared" si="23"/>
        <v>367312.49022148276</v>
      </c>
      <c r="AX28" s="80">
        <f t="shared" si="23"/>
        <v>367312.49022148276</v>
      </c>
      <c r="AY28" s="80">
        <f t="shared" si="23"/>
        <v>374475.40669257916</v>
      </c>
      <c r="AZ28" s="80">
        <f t="shared" si="23"/>
        <v>374475.40669257916</v>
      </c>
      <c r="BA28" s="80">
        <f t="shared" si="23"/>
        <v>374475.40669257916</v>
      </c>
      <c r="BB28" s="80">
        <f t="shared" si="23"/>
        <v>374475.40669257916</v>
      </c>
      <c r="BC28" s="80">
        <f t="shared" si="23"/>
        <v>374475.40669257916</v>
      </c>
      <c r="BD28" s="80">
        <f t="shared" si="23"/>
        <v>374475.40669257916</v>
      </c>
      <c r="BE28" s="80">
        <f t="shared" si="23"/>
        <v>374475.40669257916</v>
      </c>
      <c r="BF28" s="80">
        <f t="shared" si="23"/>
        <v>374475.40669257916</v>
      </c>
      <c r="BG28" s="80">
        <f t="shared" si="23"/>
        <v>374475.40669257916</v>
      </c>
      <c r="BH28" s="80">
        <f t="shared" si="23"/>
        <v>374475.40669257916</v>
      </c>
      <c r="BI28" s="80">
        <f t="shared" si="23"/>
        <v>374475.40669257916</v>
      </c>
      <c r="BJ28" s="80">
        <f t="shared" si="23"/>
        <v>374475.40669257916</v>
      </c>
      <c r="BK28" s="80">
        <f t="shared" si="23"/>
        <v>381781.58149309736</v>
      </c>
      <c r="BL28" s="80">
        <f t="shared" si="23"/>
        <v>381781.58149309736</v>
      </c>
      <c r="BM28" s="80">
        <f t="shared" si="23"/>
        <v>381781.58149309736</v>
      </c>
      <c r="BN28" s="80">
        <f t="shared" si="23"/>
        <v>381781.58149309736</v>
      </c>
      <c r="BO28" s="80">
        <f t="shared" si="23"/>
        <v>381781.58149309736</v>
      </c>
      <c r="BP28" s="80">
        <f t="shared" ref="BP28:EA28" si="24">BP18+BP26</f>
        <v>381781.58149309736</v>
      </c>
      <c r="BQ28" s="80">
        <f t="shared" si="24"/>
        <v>381781.58149309736</v>
      </c>
      <c r="BR28" s="80">
        <f t="shared" si="24"/>
        <v>381781.58149309736</v>
      </c>
      <c r="BS28" s="80">
        <f t="shared" si="24"/>
        <v>381781.58149309736</v>
      </c>
      <c r="BT28" s="80">
        <f t="shared" si="24"/>
        <v>381781.58149309736</v>
      </c>
      <c r="BU28" s="80">
        <f t="shared" si="24"/>
        <v>381781.58149309736</v>
      </c>
      <c r="BV28" s="80">
        <f t="shared" si="24"/>
        <v>381781.58149309736</v>
      </c>
      <c r="BW28" s="80">
        <f t="shared" si="24"/>
        <v>389233.87978962605</v>
      </c>
      <c r="BX28" s="80">
        <f t="shared" si="24"/>
        <v>389233.87978962605</v>
      </c>
      <c r="BY28" s="80">
        <f t="shared" si="24"/>
        <v>389233.87978962605</v>
      </c>
      <c r="BZ28" s="80">
        <f t="shared" si="24"/>
        <v>389233.87978962605</v>
      </c>
      <c r="CA28" s="80">
        <f t="shared" si="24"/>
        <v>389233.87978962605</v>
      </c>
      <c r="CB28" s="80">
        <f t="shared" si="24"/>
        <v>389233.87978962605</v>
      </c>
      <c r="CC28" s="80">
        <f t="shared" si="24"/>
        <v>389233.87978962605</v>
      </c>
      <c r="CD28" s="80">
        <f t="shared" si="24"/>
        <v>389233.87978962605</v>
      </c>
      <c r="CE28" s="80">
        <f t="shared" si="24"/>
        <v>389233.87978962605</v>
      </c>
      <c r="CF28" s="80">
        <f t="shared" si="24"/>
        <v>389233.87978962605</v>
      </c>
      <c r="CG28" s="80">
        <f t="shared" si="24"/>
        <v>389233.87978962605</v>
      </c>
      <c r="CH28" s="80">
        <f t="shared" si="24"/>
        <v>389233.87978962605</v>
      </c>
      <c r="CI28" s="80">
        <f t="shared" si="24"/>
        <v>453319.92728262569</v>
      </c>
      <c r="CJ28" s="80">
        <f t="shared" si="24"/>
        <v>614918.52989351889</v>
      </c>
      <c r="CK28" s="80">
        <f t="shared" si="24"/>
        <v>614918.52989351889</v>
      </c>
      <c r="CL28" s="80">
        <f t="shared" si="24"/>
        <v>614918.52989351889</v>
      </c>
      <c r="CM28" s="80">
        <f t="shared" si="24"/>
        <v>614918.52989351889</v>
      </c>
      <c r="CN28" s="80">
        <f t="shared" si="24"/>
        <v>614918.52989351889</v>
      </c>
      <c r="CO28" s="80">
        <f t="shared" si="24"/>
        <v>614918.52989351889</v>
      </c>
      <c r="CP28" s="80">
        <f t="shared" si="24"/>
        <v>614918.52989351889</v>
      </c>
      <c r="CQ28" s="80">
        <f t="shared" si="24"/>
        <v>614918.52989351889</v>
      </c>
      <c r="CR28" s="80">
        <f t="shared" si="24"/>
        <v>614918.52989351889</v>
      </c>
      <c r="CS28" s="80">
        <f t="shared" si="24"/>
        <v>614918.52989351889</v>
      </c>
      <c r="CT28" s="80">
        <f t="shared" si="24"/>
        <v>614918.52989351889</v>
      </c>
      <c r="CU28" s="80">
        <f t="shared" si="24"/>
        <v>629708.11010380939</v>
      </c>
      <c r="CV28" s="80">
        <f t="shared" si="24"/>
        <v>629708.11010380939</v>
      </c>
      <c r="CW28" s="80">
        <f t="shared" si="24"/>
        <v>629708.11010380939</v>
      </c>
      <c r="CX28" s="80">
        <f t="shared" si="24"/>
        <v>629708.11010380939</v>
      </c>
      <c r="CY28" s="80">
        <f t="shared" si="24"/>
        <v>629708.11010380939</v>
      </c>
      <c r="CZ28" s="80">
        <f t="shared" si="24"/>
        <v>629708.11010380939</v>
      </c>
      <c r="DA28" s="80">
        <f t="shared" si="24"/>
        <v>629708.11010380939</v>
      </c>
      <c r="DB28" s="80">
        <f t="shared" si="24"/>
        <v>629708.11010380939</v>
      </c>
      <c r="DC28" s="80">
        <f t="shared" si="24"/>
        <v>629708.11010380939</v>
      </c>
      <c r="DD28" s="80">
        <f t="shared" si="24"/>
        <v>629708.11010380939</v>
      </c>
      <c r="DE28" s="80">
        <f t="shared" si="24"/>
        <v>629708.11010380939</v>
      </c>
      <c r="DF28" s="80">
        <f t="shared" si="24"/>
        <v>629708.11010380939</v>
      </c>
      <c r="DG28" s="80">
        <f t="shared" si="24"/>
        <v>644860.34549194935</v>
      </c>
      <c r="DH28" s="80">
        <f t="shared" si="24"/>
        <v>644860.34549194935</v>
      </c>
      <c r="DI28" s="80">
        <f t="shared" si="24"/>
        <v>644860.34549194935</v>
      </c>
      <c r="DJ28" s="80">
        <f t="shared" si="24"/>
        <v>644860.34549194935</v>
      </c>
      <c r="DK28" s="80">
        <f t="shared" si="24"/>
        <v>644860.34549194935</v>
      </c>
      <c r="DL28" s="80">
        <f t="shared" si="24"/>
        <v>644860.34549194935</v>
      </c>
      <c r="DM28" s="80">
        <f t="shared" si="24"/>
        <v>644860.34549194935</v>
      </c>
      <c r="DN28" s="80">
        <f t="shared" si="24"/>
        <v>644860.34549194935</v>
      </c>
      <c r="DO28" s="80">
        <f t="shared" si="24"/>
        <v>644860.34549194935</v>
      </c>
      <c r="DP28" s="80">
        <f t="shared" si="24"/>
        <v>644860.34549194935</v>
      </c>
      <c r="DQ28" s="80">
        <f t="shared" si="24"/>
        <v>644860.34549194935</v>
      </c>
      <c r="DR28" s="80">
        <f t="shared" si="24"/>
        <v>644860.34549194935</v>
      </c>
      <c r="DS28" s="80">
        <f t="shared" si="24"/>
        <v>660384.1607508373</v>
      </c>
      <c r="DT28" s="80">
        <f t="shared" si="24"/>
        <v>660384.1607508373</v>
      </c>
      <c r="DU28" s="80">
        <f t="shared" si="24"/>
        <v>660384.1607508373</v>
      </c>
      <c r="DV28" s="80">
        <f t="shared" si="24"/>
        <v>660384.1607508373</v>
      </c>
      <c r="DW28" s="80">
        <f t="shared" si="24"/>
        <v>660384.1607508373</v>
      </c>
      <c r="DX28" s="80">
        <f t="shared" si="24"/>
        <v>660384.1607508373</v>
      </c>
      <c r="DY28" s="80">
        <f t="shared" si="24"/>
        <v>660384.1607508373</v>
      </c>
      <c r="DZ28" s="80">
        <f t="shared" si="24"/>
        <v>660384.1607508373</v>
      </c>
      <c r="EA28" s="80">
        <f t="shared" si="24"/>
        <v>660384.1607508373</v>
      </c>
      <c r="EB28" s="80">
        <f t="shared" ref="EB28:ED28" si="25">EB18+EB26</f>
        <v>660384.1607508373</v>
      </c>
      <c r="EC28" s="80">
        <f t="shared" si="25"/>
        <v>660384.1607508373</v>
      </c>
      <c r="ED28" s="80">
        <f t="shared" si="25"/>
        <v>660384.1607508373</v>
      </c>
    </row>
    <row r="29" spans="1:134" ht="19.149999999999999" customHeight="1" x14ac:dyDescent="0.4">
      <c r="A29" s="5" t="s">
        <v>17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</row>
    <row r="30" spans="1:134" ht="19.149999999999999" customHeight="1" x14ac:dyDescent="0.4">
      <c r="A30" s="6" t="s">
        <v>26</v>
      </c>
      <c r="B30" s="6"/>
      <c r="C30" s="80">
        <f>C28</f>
        <v>346655.47522711492</v>
      </c>
      <c r="D30" s="80">
        <f t="shared" ref="D30:BO30" si="26">D28</f>
        <v>346655.47522711492</v>
      </c>
      <c r="E30" s="80">
        <f t="shared" si="26"/>
        <v>346655.47522711492</v>
      </c>
      <c r="F30" s="80">
        <f t="shared" si="26"/>
        <v>346655.47522711492</v>
      </c>
      <c r="G30" s="80">
        <f t="shared" si="26"/>
        <v>346655.47522711492</v>
      </c>
      <c r="H30" s="80">
        <f t="shared" si="26"/>
        <v>346655.47522711492</v>
      </c>
      <c r="I30" s="80">
        <f t="shared" si="26"/>
        <v>346655.47522711492</v>
      </c>
      <c r="J30" s="80">
        <f t="shared" si="26"/>
        <v>346655.47522711492</v>
      </c>
      <c r="K30" s="80">
        <f t="shared" si="26"/>
        <v>346655.47522711492</v>
      </c>
      <c r="L30" s="80">
        <f t="shared" si="26"/>
        <v>346655.47522711492</v>
      </c>
      <c r="M30" s="80">
        <f t="shared" si="26"/>
        <v>346655.47522711492</v>
      </c>
      <c r="N30" s="80">
        <f t="shared" si="26"/>
        <v>346655.47522711492</v>
      </c>
      <c r="O30" s="80">
        <f t="shared" si="26"/>
        <v>353405.25139832386</v>
      </c>
      <c r="P30" s="80">
        <f t="shared" si="26"/>
        <v>353405.25139832386</v>
      </c>
      <c r="Q30" s="80">
        <f t="shared" si="26"/>
        <v>353405.25139832386</v>
      </c>
      <c r="R30" s="80">
        <f t="shared" si="26"/>
        <v>353405.25139832386</v>
      </c>
      <c r="S30" s="80">
        <f t="shared" si="26"/>
        <v>353405.25139832386</v>
      </c>
      <c r="T30" s="80">
        <f t="shared" si="26"/>
        <v>353405.25139832386</v>
      </c>
      <c r="U30" s="80">
        <f t="shared" si="26"/>
        <v>353405.25139832386</v>
      </c>
      <c r="V30" s="80">
        <f t="shared" si="26"/>
        <v>353405.25139832386</v>
      </c>
      <c r="W30" s="80">
        <f t="shared" si="26"/>
        <v>353405.25139832386</v>
      </c>
      <c r="X30" s="80">
        <f t="shared" si="26"/>
        <v>353405.25139832386</v>
      </c>
      <c r="Y30" s="80">
        <f t="shared" si="26"/>
        <v>353405.25139832386</v>
      </c>
      <c r="Z30" s="80">
        <f t="shared" si="26"/>
        <v>353405.25139832386</v>
      </c>
      <c r="AA30" s="80">
        <f t="shared" si="26"/>
        <v>360290.02309295704</v>
      </c>
      <c r="AB30" s="80">
        <f t="shared" si="26"/>
        <v>360290.02309295704</v>
      </c>
      <c r="AC30" s="80">
        <f t="shared" si="26"/>
        <v>360290.02309295704</v>
      </c>
      <c r="AD30" s="80">
        <f t="shared" si="26"/>
        <v>360290.02309295704</v>
      </c>
      <c r="AE30" s="80">
        <f t="shared" si="26"/>
        <v>360290.02309295704</v>
      </c>
      <c r="AF30" s="80">
        <f t="shared" si="26"/>
        <v>360290.02309295704</v>
      </c>
      <c r="AG30" s="80">
        <f t="shared" si="26"/>
        <v>360290.02309295704</v>
      </c>
      <c r="AH30" s="80">
        <f t="shared" si="26"/>
        <v>360290.02309295704</v>
      </c>
      <c r="AI30" s="80">
        <f t="shared" si="26"/>
        <v>360290.02309295704</v>
      </c>
      <c r="AJ30" s="80">
        <f t="shared" si="26"/>
        <v>360290.02309295704</v>
      </c>
      <c r="AK30" s="80">
        <f t="shared" si="26"/>
        <v>360290.02309295704</v>
      </c>
      <c r="AL30" s="80">
        <f t="shared" si="26"/>
        <v>360290.02309295704</v>
      </c>
      <c r="AM30" s="80">
        <f t="shared" si="26"/>
        <v>367312.49022148276</v>
      </c>
      <c r="AN30" s="80">
        <f t="shared" si="26"/>
        <v>367312.49022148276</v>
      </c>
      <c r="AO30" s="80">
        <f t="shared" si="26"/>
        <v>367312.49022148276</v>
      </c>
      <c r="AP30" s="80">
        <f t="shared" si="26"/>
        <v>367312.49022148276</v>
      </c>
      <c r="AQ30" s="80">
        <f t="shared" si="26"/>
        <v>367312.49022148276</v>
      </c>
      <c r="AR30" s="80">
        <f t="shared" si="26"/>
        <v>367312.49022148276</v>
      </c>
      <c r="AS30" s="80">
        <f t="shared" si="26"/>
        <v>367312.49022148276</v>
      </c>
      <c r="AT30" s="80">
        <f t="shared" si="26"/>
        <v>367312.49022148276</v>
      </c>
      <c r="AU30" s="80">
        <f t="shared" si="26"/>
        <v>367312.49022148276</v>
      </c>
      <c r="AV30" s="80">
        <f t="shared" si="26"/>
        <v>367312.49022148276</v>
      </c>
      <c r="AW30" s="80">
        <f t="shared" si="26"/>
        <v>367312.49022148276</v>
      </c>
      <c r="AX30" s="80">
        <f t="shared" si="26"/>
        <v>367312.49022148276</v>
      </c>
      <c r="AY30" s="80">
        <f t="shared" si="26"/>
        <v>374475.40669257916</v>
      </c>
      <c r="AZ30" s="80">
        <f t="shared" si="26"/>
        <v>374475.40669257916</v>
      </c>
      <c r="BA30" s="80">
        <f t="shared" si="26"/>
        <v>374475.40669257916</v>
      </c>
      <c r="BB30" s="80">
        <f t="shared" si="26"/>
        <v>374475.40669257916</v>
      </c>
      <c r="BC30" s="80">
        <f t="shared" si="26"/>
        <v>374475.40669257916</v>
      </c>
      <c r="BD30" s="80">
        <f t="shared" si="26"/>
        <v>374475.40669257916</v>
      </c>
      <c r="BE30" s="80">
        <f t="shared" si="26"/>
        <v>374475.40669257916</v>
      </c>
      <c r="BF30" s="80">
        <f t="shared" si="26"/>
        <v>374475.40669257916</v>
      </c>
      <c r="BG30" s="80">
        <f t="shared" si="26"/>
        <v>374475.40669257916</v>
      </c>
      <c r="BH30" s="80">
        <f t="shared" si="26"/>
        <v>374475.40669257916</v>
      </c>
      <c r="BI30" s="80">
        <f t="shared" si="26"/>
        <v>374475.40669257916</v>
      </c>
      <c r="BJ30" s="80">
        <f t="shared" si="26"/>
        <v>374475.40669257916</v>
      </c>
      <c r="BK30" s="80">
        <f t="shared" si="26"/>
        <v>381781.58149309736</v>
      </c>
      <c r="BL30" s="80">
        <f t="shared" si="26"/>
        <v>381781.58149309736</v>
      </c>
      <c r="BM30" s="80">
        <f t="shared" si="26"/>
        <v>381781.58149309736</v>
      </c>
      <c r="BN30" s="80">
        <f t="shared" si="26"/>
        <v>381781.58149309736</v>
      </c>
      <c r="BO30" s="80">
        <f t="shared" si="26"/>
        <v>381781.58149309736</v>
      </c>
      <c r="BP30" s="80">
        <f t="shared" ref="BP30:EA30" si="27">BP28</f>
        <v>381781.58149309736</v>
      </c>
      <c r="BQ30" s="80">
        <f t="shared" si="27"/>
        <v>381781.58149309736</v>
      </c>
      <c r="BR30" s="80">
        <f t="shared" si="27"/>
        <v>381781.58149309736</v>
      </c>
      <c r="BS30" s="80">
        <f t="shared" si="27"/>
        <v>381781.58149309736</v>
      </c>
      <c r="BT30" s="80">
        <f t="shared" si="27"/>
        <v>381781.58149309736</v>
      </c>
      <c r="BU30" s="80">
        <f t="shared" si="27"/>
        <v>381781.58149309736</v>
      </c>
      <c r="BV30" s="80">
        <f t="shared" si="27"/>
        <v>381781.58149309736</v>
      </c>
      <c r="BW30" s="80">
        <f t="shared" si="27"/>
        <v>389233.87978962605</v>
      </c>
      <c r="BX30" s="80">
        <f t="shared" si="27"/>
        <v>389233.87978962605</v>
      </c>
      <c r="BY30" s="80">
        <f t="shared" si="27"/>
        <v>389233.87978962605</v>
      </c>
      <c r="BZ30" s="80">
        <f t="shared" si="27"/>
        <v>389233.87978962605</v>
      </c>
      <c r="CA30" s="80">
        <f t="shared" si="27"/>
        <v>389233.87978962605</v>
      </c>
      <c r="CB30" s="80">
        <f t="shared" si="27"/>
        <v>389233.87978962605</v>
      </c>
      <c r="CC30" s="80">
        <f t="shared" si="27"/>
        <v>389233.87978962605</v>
      </c>
      <c r="CD30" s="80">
        <f t="shared" si="27"/>
        <v>389233.87978962605</v>
      </c>
      <c r="CE30" s="80">
        <f t="shared" si="27"/>
        <v>389233.87978962605</v>
      </c>
      <c r="CF30" s="80">
        <f t="shared" si="27"/>
        <v>389233.87978962605</v>
      </c>
      <c r="CG30" s="80">
        <f t="shared" si="27"/>
        <v>389233.87978962605</v>
      </c>
      <c r="CH30" s="80">
        <f t="shared" si="27"/>
        <v>389233.87978962605</v>
      </c>
      <c r="CI30" s="80">
        <f t="shared" si="27"/>
        <v>453319.92728262569</v>
      </c>
      <c r="CJ30" s="80">
        <f t="shared" si="27"/>
        <v>614918.52989351889</v>
      </c>
      <c r="CK30" s="80">
        <f t="shared" si="27"/>
        <v>614918.52989351889</v>
      </c>
      <c r="CL30" s="80">
        <f t="shared" si="27"/>
        <v>614918.52989351889</v>
      </c>
      <c r="CM30" s="80">
        <f t="shared" si="27"/>
        <v>614918.52989351889</v>
      </c>
      <c r="CN30" s="80">
        <f t="shared" si="27"/>
        <v>614918.52989351889</v>
      </c>
      <c r="CO30" s="80">
        <f t="shared" si="27"/>
        <v>614918.52989351889</v>
      </c>
      <c r="CP30" s="80">
        <f t="shared" si="27"/>
        <v>614918.52989351889</v>
      </c>
      <c r="CQ30" s="80">
        <f t="shared" si="27"/>
        <v>614918.52989351889</v>
      </c>
      <c r="CR30" s="80">
        <f t="shared" si="27"/>
        <v>614918.52989351889</v>
      </c>
      <c r="CS30" s="80">
        <f t="shared" si="27"/>
        <v>614918.52989351889</v>
      </c>
      <c r="CT30" s="80">
        <f t="shared" si="27"/>
        <v>614918.52989351889</v>
      </c>
      <c r="CU30" s="80">
        <f t="shared" si="27"/>
        <v>629708.11010380939</v>
      </c>
      <c r="CV30" s="80">
        <f t="shared" si="27"/>
        <v>629708.11010380939</v>
      </c>
      <c r="CW30" s="80">
        <f t="shared" si="27"/>
        <v>629708.11010380939</v>
      </c>
      <c r="CX30" s="80">
        <f t="shared" si="27"/>
        <v>629708.11010380939</v>
      </c>
      <c r="CY30" s="80">
        <f t="shared" si="27"/>
        <v>629708.11010380939</v>
      </c>
      <c r="CZ30" s="80">
        <f t="shared" si="27"/>
        <v>629708.11010380939</v>
      </c>
      <c r="DA30" s="80">
        <f t="shared" si="27"/>
        <v>629708.11010380939</v>
      </c>
      <c r="DB30" s="80">
        <f t="shared" si="27"/>
        <v>629708.11010380939</v>
      </c>
      <c r="DC30" s="80">
        <f t="shared" si="27"/>
        <v>629708.11010380939</v>
      </c>
      <c r="DD30" s="80">
        <f t="shared" si="27"/>
        <v>629708.11010380939</v>
      </c>
      <c r="DE30" s="80">
        <f t="shared" si="27"/>
        <v>629708.11010380939</v>
      </c>
      <c r="DF30" s="80">
        <f t="shared" si="27"/>
        <v>629708.11010380939</v>
      </c>
      <c r="DG30" s="80">
        <f t="shared" si="27"/>
        <v>644860.34549194935</v>
      </c>
      <c r="DH30" s="80">
        <f t="shared" si="27"/>
        <v>644860.34549194935</v>
      </c>
      <c r="DI30" s="80">
        <f t="shared" si="27"/>
        <v>644860.34549194935</v>
      </c>
      <c r="DJ30" s="80">
        <f t="shared" si="27"/>
        <v>644860.34549194935</v>
      </c>
      <c r="DK30" s="80">
        <f t="shared" si="27"/>
        <v>644860.34549194935</v>
      </c>
      <c r="DL30" s="80">
        <f t="shared" si="27"/>
        <v>644860.34549194935</v>
      </c>
      <c r="DM30" s="80">
        <f t="shared" si="27"/>
        <v>644860.34549194935</v>
      </c>
      <c r="DN30" s="80">
        <f t="shared" si="27"/>
        <v>644860.34549194935</v>
      </c>
      <c r="DO30" s="80">
        <f t="shared" si="27"/>
        <v>644860.34549194935</v>
      </c>
      <c r="DP30" s="80">
        <f t="shared" si="27"/>
        <v>644860.34549194935</v>
      </c>
      <c r="DQ30" s="80">
        <f t="shared" si="27"/>
        <v>644860.34549194935</v>
      </c>
      <c r="DR30" s="80">
        <f t="shared" si="27"/>
        <v>644860.34549194935</v>
      </c>
      <c r="DS30" s="80">
        <f t="shared" si="27"/>
        <v>660384.1607508373</v>
      </c>
      <c r="DT30" s="80">
        <f t="shared" si="27"/>
        <v>660384.1607508373</v>
      </c>
      <c r="DU30" s="80">
        <f t="shared" si="27"/>
        <v>660384.1607508373</v>
      </c>
      <c r="DV30" s="80">
        <f t="shared" si="27"/>
        <v>660384.1607508373</v>
      </c>
      <c r="DW30" s="80">
        <f t="shared" si="27"/>
        <v>660384.1607508373</v>
      </c>
      <c r="DX30" s="80">
        <f t="shared" si="27"/>
        <v>660384.1607508373</v>
      </c>
      <c r="DY30" s="80">
        <f t="shared" si="27"/>
        <v>660384.1607508373</v>
      </c>
      <c r="DZ30" s="80">
        <f t="shared" si="27"/>
        <v>660384.1607508373</v>
      </c>
      <c r="EA30" s="80">
        <f t="shared" si="27"/>
        <v>660384.1607508373</v>
      </c>
      <c r="EB30" s="80">
        <f t="shared" ref="EB30:ED30" si="28">EB28</f>
        <v>660384.1607508373</v>
      </c>
      <c r="EC30" s="80">
        <f t="shared" si="28"/>
        <v>660384.1607508373</v>
      </c>
      <c r="ED30" s="80">
        <f t="shared" si="28"/>
        <v>660384.1607508373</v>
      </c>
    </row>
    <row r="31" spans="1:134" ht="19.149999999999999" customHeight="1" x14ac:dyDescent="0.4">
      <c r="A31" s="5" t="s">
        <v>17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</row>
    <row r="32" spans="1:134" ht="19.149999999999999" customHeight="1" x14ac:dyDescent="0.4">
      <c r="A32" s="2" t="s">
        <v>27</v>
      </c>
      <c r="B32" s="2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</row>
    <row r="33" spans="1:134" ht="19.149999999999999" customHeight="1" x14ac:dyDescent="0.4">
      <c r="A33" s="10" t="s">
        <v>28</v>
      </c>
      <c r="B33" s="10"/>
      <c r="C33" s="80">
        <f>C30*-'Redlands Inputs'!$D$11</f>
        <v>-34665.547522711495</v>
      </c>
      <c r="D33" s="80">
        <f>D30*-'Redlands Inputs'!$D$11</f>
        <v>-34665.547522711495</v>
      </c>
      <c r="E33" s="80">
        <f>E30*-'Redlands Inputs'!$D$11</f>
        <v>-34665.547522711495</v>
      </c>
      <c r="F33" s="80">
        <f>F30*-'Redlands Inputs'!$D$11</f>
        <v>-34665.547522711495</v>
      </c>
      <c r="G33" s="80">
        <f>G30*-'Redlands Inputs'!$D$11</f>
        <v>-34665.547522711495</v>
      </c>
      <c r="H33" s="80">
        <f>H30*-'Redlands Inputs'!$D$11</f>
        <v>-34665.547522711495</v>
      </c>
      <c r="I33" s="80">
        <f>I30*-'Redlands Inputs'!$D$11</f>
        <v>-34665.547522711495</v>
      </c>
      <c r="J33" s="80">
        <f>J30*-'Redlands Inputs'!$D$11</f>
        <v>-34665.547522711495</v>
      </c>
      <c r="K33" s="80">
        <f>K30*-'Redlands Inputs'!$D$11</f>
        <v>-34665.547522711495</v>
      </c>
      <c r="L33" s="80">
        <f>L30*-'Redlands Inputs'!$D$11</f>
        <v>-34665.547522711495</v>
      </c>
      <c r="M33" s="80">
        <f>M30*-'Redlands Inputs'!$D$11</f>
        <v>-34665.547522711495</v>
      </c>
      <c r="N33" s="80">
        <f>N30*-'Redlands Inputs'!$D$11</f>
        <v>-34665.547522711495</v>
      </c>
      <c r="O33" s="80">
        <f>O30*-'Redlands Inputs'!$D$11</f>
        <v>-35340.525139832389</v>
      </c>
      <c r="P33" s="80">
        <f>P30*-'Redlands Inputs'!$D$11</f>
        <v>-35340.525139832389</v>
      </c>
      <c r="Q33" s="80">
        <f>Q30*-'Redlands Inputs'!$D$11</f>
        <v>-35340.525139832389</v>
      </c>
      <c r="R33" s="80">
        <f>R30*-'Redlands Inputs'!$D$11</f>
        <v>-35340.525139832389</v>
      </c>
      <c r="S33" s="80">
        <f>S30*-'Redlands Inputs'!$D$11</f>
        <v>-35340.525139832389</v>
      </c>
      <c r="T33" s="80">
        <f>T30*-'Redlands Inputs'!$D$11</f>
        <v>-35340.525139832389</v>
      </c>
      <c r="U33" s="80">
        <f>U30*-'Redlands Inputs'!$D$11</f>
        <v>-35340.525139832389</v>
      </c>
      <c r="V33" s="80">
        <f>V30*-'Redlands Inputs'!$D$11</f>
        <v>-35340.525139832389</v>
      </c>
      <c r="W33" s="80">
        <f>W30*-'Redlands Inputs'!$D$11</f>
        <v>-35340.525139832389</v>
      </c>
      <c r="X33" s="80">
        <f>X30*-'Redlands Inputs'!$D$11</f>
        <v>-35340.525139832389</v>
      </c>
      <c r="Y33" s="80">
        <f>Y30*-'Redlands Inputs'!$D$11</f>
        <v>-35340.525139832389</v>
      </c>
      <c r="Z33" s="80">
        <f>Z30*-'Redlands Inputs'!$D$11</f>
        <v>-35340.525139832389</v>
      </c>
      <c r="AA33" s="80">
        <f>AA30*-'Redlands Inputs'!$D$11</f>
        <v>-36029.002309295705</v>
      </c>
      <c r="AB33" s="80">
        <f>AB30*-'Redlands Inputs'!$D$11</f>
        <v>-36029.002309295705</v>
      </c>
      <c r="AC33" s="80">
        <f>AC30*-'Redlands Inputs'!$D$11</f>
        <v>-36029.002309295705</v>
      </c>
      <c r="AD33" s="80">
        <f>AD30*-'Redlands Inputs'!$D$11</f>
        <v>-36029.002309295705</v>
      </c>
      <c r="AE33" s="80">
        <f>AE30*-'Redlands Inputs'!$D$11</f>
        <v>-36029.002309295705</v>
      </c>
      <c r="AF33" s="80">
        <f>AF30*-'Redlands Inputs'!$D$11</f>
        <v>-36029.002309295705</v>
      </c>
      <c r="AG33" s="80">
        <f>AG30*-'Redlands Inputs'!$D$11</f>
        <v>-36029.002309295705</v>
      </c>
      <c r="AH33" s="80">
        <f>AH30*-'Redlands Inputs'!$D$11</f>
        <v>-36029.002309295705</v>
      </c>
      <c r="AI33" s="80">
        <f>AI30*-'Redlands Inputs'!$D$11</f>
        <v>-36029.002309295705</v>
      </c>
      <c r="AJ33" s="80">
        <f>AJ30*-'Redlands Inputs'!$D$11</f>
        <v>-36029.002309295705</v>
      </c>
      <c r="AK33" s="80">
        <f>AK30*-'Redlands Inputs'!$D$11</f>
        <v>-36029.002309295705</v>
      </c>
      <c r="AL33" s="80">
        <f>AL30*-'Redlands Inputs'!$D$11</f>
        <v>-36029.002309295705</v>
      </c>
      <c r="AM33" s="80">
        <f>AM30*-'Redlands Inputs'!$D$11</f>
        <v>-36731.24902214828</v>
      </c>
      <c r="AN33" s="80">
        <f>AN30*-'Redlands Inputs'!$D$11</f>
        <v>-36731.24902214828</v>
      </c>
      <c r="AO33" s="80">
        <f>AO30*-'Redlands Inputs'!$D$11</f>
        <v>-36731.24902214828</v>
      </c>
      <c r="AP33" s="80">
        <f>AP30*-'Redlands Inputs'!$D$11</f>
        <v>-36731.24902214828</v>
      </c>
      <c r="AQ33" s="80">
        <f>AQ30*-'Redlands Inputs'!$D$11</f>
        <v>-36731.24902214828</v>
      </c>
      <c r="AR33" s="80">
        <f>AR30*-'Redlands Inputs'!$D$11</f>
        <v>-36731.24902214828</v>
      </c>
      <c r="AS33" s="80">
        <f>AS30*-'Redlands Inputs'!$D$11</f>
        <v>-36731.24902214828</v>
      </c>
      <c r="AT33" s="80">
        <f>AT30*-'Redlands Inputs'!$D$11</f>
        <v>-36731.24902214828</v>
      </c>
      <c r="AU33" s="80">
        <f>AU30*-'Redlands Inputs'!$D$11</f>
        <v>-36731.24902214828</v>
      </c>
      <c r="AV33" s="80">
        <f>AV30*-'Redlands Inputs'!$D$11</f>
        <v>-36731.24902214828</v>
      </c>
      <c r="AW33" s="80">
        <f>AW30*-'Redlands Inputs'!$D$11</f>
        <v>-36731.24902214828</v>
      </c>
      <c r="AX33" s="80">
        <f>AX30*-'Redlands Inputs'!$D$11</f>
        <v>-36731.24902214828</v>
      </c>
      <c r="AY33" s="80">
        <f>AY30*-'Redlands Inputs'!$D$11</f>
        <v>-37447.54066925792</v>
      </c>
      <c r="AZ33" s="80">
        <f>AZ30*-'Redlands Inputs'!$D$11</f>
        <v>-37447.54066925792</v>
      </c>
      <c r="BA33" s="80">
        <f>BA30*-'Redlands Inputs'!$D$11</f>
        <v>-37447.54066925792</v>
      </c>
      <c r="BB33" s="80">
        <f>BB30*-'Redlands Inputs'!$D$11</f>
        <v>-37447.54066925792</v>
      </c>
      <c r="BC33" s="80">
        <f>BC30*-'Redlands Inputs'!$D$11</f>
        <v>-37447.54066925792</v>
      </c>
      <c r="BD33" s="80">
        <f>BD30*-'Redlands Inputs'!$D$11</f>
        <v>-37447.54066925792</v>
      </c>
      <c r="BE33" s="80">
        <f>BE30*-'Redlands Inputs'!$D$11</f>
        <v>-37447.54066925792</v>
      </c>
      <c r="BF33" s="80">
        <f>BF30*-'Redlands Inputs'!$D$11</f>
        <v>-37447.54066925792</v>
      </c>
      <c r="BG33" s="80">
        <f>BG30*-'Redlands Inputs'!$D$11</f>
        <v>-37447.54066925792</v>
      </c>
      <c r="BH33" s="80">
        <f>BH30*-'Redlands Inputs'!$D$11</f>
        <v>-37447.54066925792</v>
      </c>
      <c r="BI33" s="80">
        <f>BI30*-'Redlands Inputs'!$D$11</f>
        <v>-37447.54066925792</v>
      </c>
      <c r="BJ33" s="80">
        <f>BJ30*-'Redlands Inputs'!$D$11</f>
        <v>-37447.54066925792</v>
      </c>
      <c r="BK33" s="80">
        <f>BK30*-'Redlands Inputs'!$D$11</f>
        <v>-38178.15814930974</v>
      </c>
      <c r="BL33" s="80">
        <f>BL30*-'Redlands Inputs'!$D$11</f>
        <v>-38178.15814930974</v>
      </c>
      <c r="BM33" s="80">
        <f>BM30*-'Redlands Inputs'!$D$11</f>
        <v>-38178.15814930974</v>
      </c>
      <c r="BN33" s="80">
        <f>BN30*-'Redlands Inputs'!$D$11</f>
        <v>-38178.15814930974</v>
      </c>
      <c r="BO33" s="80">
        <f>BO30*-'Redlands Inputs'!$D$11</f>
        <v>-38178.15814930974</v>
      </c>
      <c r="BP33" s="80">
        <f>BP30*-'Redlands Inputs'!$D$11</f>
        <v>-38178.15814930974</v>
      </c>
      <c r="BQ33" s="80">
        <f>BQ30*-'Redlands Inputs'!$D$11</f>
        <v>-38178.15814930974</v>
      </c>
      <c r="BR33" s="80">
        <f>BR30*-'Redlands Inputs'!$D$11</f>
        <v>-38178.15814930974</v>
      </c>
      <c r="BS33" s="80">
        <f>BS30*-'Redlands Inputs'!$D$11</f>
        <v>-38178.15814930974</v>
      </c>
      <c r="BT33" s="80">
        <f>BT30*-'Redlands Inputs'!$D$11</f>
        <v>-38178.15814930974</v>
      </c>
      <c r="BU33" s="80">
        <f>BU30*-'Redlands Inputs'!$D$11</f>
        <v>-38178.15814930974</v>
      </c>
      <c r="BV33" s="80">
        <f>BV30*-'Redlands Inputs'!$D$11</f>
        <v>-38178.15814930974</v>
      </c>
      <c r="BW33" s="80">
        <f>BW30*-'Redlands Inputs'!$D$11</f>
        <v>-38923.387978962608</v>
      </c>
      <c r="BX33" s="80">
        <f>BX30*-'Redlands Inputs'!$D$11</f>
        <v>-38923.387978962608</v>
      </c>
      <c r="BY33" s="80">
        <f>BY30*-'Redlands Inputs'!$D$11</f>
        <v>-38923.387978962608</v>
      </c>
      <c r="BZ33" s="80">
        <f>BZ30*-'Redlands Inputs'!$D$11</f>
        <v>-38923.387978962608</v>
      </c>
      <c r="CA33" s="80">
        <f>CA30*-'Redlands Inputs'!$D$11</f>
        <v>-38923.387978962608</v>
      </c>
      <c r="CB33" s="80">
        <f>CB30*-'Redlands Inputs'!$D$11</f>
        <v>-38923.387978962608</v>
      </c>
      <c r="CC33" s="80">
        <f>CC30*-'Redlands Inputs'!$D$11</f>
        <v>-38923.387978962608</v>
      </c>
      <c r="CD33" s="80">
        <f>CD30*-'Redlands Inputs'!$D$11</f>
        <v>-38923.387978962608</v>
      </c>
      <c r="CE33" s="80">
        <f>CE30*-'Redlands Inputs'!$D$11</f>
        <v>-38923.387978962608</v>
      </c>
      <c r="CF33" s="80">
        <f>CF30*-'Redlands Inputs'!$D$11</f>
        <v>-38923.387978962608</v>
      </c>
      <c r="CG33" s="80">
        <f>CG30*-'Redlands Inputs'!$D$11</f>
        <v>-38923.387978962608</v>
      </c>
      <c r="CH33" s="80">
        <f>CH30*-'Redlands Inputs'!$D$11</f>
        <v>-38923.387978962608</v>
      </c>
      <c r="CI33" s="80">
        <f>CI30*-'Redlands Inputs'!$D$11</f>
        <v>-45331.992728262572</v>
      </c>
      <c r="CJ33" s="80">
        <f>CJ30*-'Redlands Inputs'!$D$11</f>
        <v>-61491.852989351893</v>
      </c>
      <c r="CK33" s="80">
        <f>CK30*-'Redlands Inputs'!$D$11</f>
        <v>-61491.852989351893</v>
      </c>
      <c r="CL33" s="80">
        <f>CL30*-'Redlands Inputs'!$D$11</f>
        <v>-61491.852989351893</v>
      </c>
      <c r="CM33" s="80">
        <f>CM30*-'Redlands Inputs'!$D$11</f>
        <v>-61491.852989351893</v>
      </c>
      <c r="CN33" s="80">
        <f>CN30*-'Redlands Inputs'!$D$11</f>
        <v>-61491.852989351893</v>
      </c>
      <c r="CO33" s="80">
        <f>CO30*-'Redlands Inputs'!$D$11</f>
        <v>-61491.852989351893</v>
      </c>
      <c r="CP33" s="80">
        <f>CP30*-'Redlands Inputs'!$D$11</f>
        <v>-61491.852989351893</v>
      </c>
      <c r="CQ33" s="80">
        <f>CQ30*-'Redlands Inputs'!$D$11</f>
        <v>-61491.852989351893</v>
      </c>
      <c r="CR33" s="80">
        <f>CR30*-'Redlands Inputs'!$D$11</f>
        <v>-61491.852989351893</v>
      </c>
      <c r="CS33" s="80">
        <f>CS30*-'Redlands Inputs'!$D$11</f>
        <v>-61491.852989351893</v>
      </c>
      <c r="CT33" s="80">
        <f>CT30*-'Redlands Inputs'!$D$11</f>
        <v>-61491.852989351893</v>
      </c>
      <c r="CU33" s="80">
        <f>CU30*-'Redlands Inputs'!$D$11</f>
        <v>-62970.811010380945</v>
      </c>
      <c r="CV33" s="80">
        <f>CV30*-'Redlands Inputs'!$D$11</f>
        <v>-62970.811010380945</v>
      </c>
      <c r="CW33" s="80">
        <f>CW30*-'Redlands Inputs'!$D$11</f>
        <v>-62970.811010380945</v>
      </c>
      <c r="CX33" s="80">
        <f>CX30*-'Redlands Inputs'!$D$11</f>
        <v>-62970.811010380945</v>
      </c>
      <c r="CY33" s="80">
        <f>CY30*-'Redlands Inputs'!$D$11</f>
        <v>-62970.811010380945</v>
      </c>
      <c r="CZ33" s="80">
        <f>CZ30*-'Redlands Inputs'!$D$11</f>
        <v>-62970.811010380945</v>
      </c>
      <c r="DA33" s="80">
        <f>DA30*-'Redlands Inputs'!$D$11</f>
        <v>-62970.811010380945</v>
      </c>
      <c r="DB33" s="80">
        <f>DB30*-'Redlands Inputs'!$D$11</f>
        <v>-62970.811010380945</v>
      </c>
      <c r="DC33" s="80">
        <f>DC30*-'Redlands Inputs'!$D$11</f>
        <v>-62970.811010380945</v>
      </c>
      <c r="DD33" s="80">
        <f>DD30*-'Redlands Inputs'!$D$11</f>
        <v>-62970.811010380945</v>
      </c>
      <c r="DE33" s="80">
        <f>DE30*-'Redlands Inputs'!$D$11</f>
        <v>-62970.811010380945</v>
      </c>
      <c r="DF33" s="80">
        <f>DF30*-'Redlands Inputs'!$D$11</f>
        <v>-62970.811010380945</v>
      </c>
      <c r="DG33" s="80">
        <f>DG30*-'Redlands Inputs'!$D$11</f>
        <v>-64486.034549194941</v>
      </c>
      <c r="DH33" s="80">
        <f>DH30*-'Redlands Inputs'!$D$11</f>
        <v>-64486.034549194941</v>
      </c>
      <c r="DI33" s="80">
        <f>DI30*-'Redlands Inputs'!$D$11</f>
        <v>-64486.034549194941</v>
      </c>
      <c r="DJ33" s="80">
        <f>DJ30*-'Redlands Inputs'!$D$11</f>
        <v>-64486.034549194941</v>
      </c>
      <c r="DK33" s="80">
        <f>DK30*-'Redlands Inputs'!$D$11</f>
        <v>-64486.034549194941</v>
      </c>
      <c r="DL33" s="80">
        <f>DL30*-'Redlands Inputs'!$D$11</f>
        <v>-64486.034549194941</v>
      </c>
      <c r="DM33" s="80">
        <f>DM30*-'Redlands Inputs'!$D$11</f>
        <v>-64486.034549194941</v>
      </c>
      <c r="DN33" s="80">
        <f>DN30*-'Redlands Inputs'!$D$11</f>
        <v>-64486.034549194941</v>
      </c>
      <c r="DO33" s="80">
        <f>DO30*-'Redlands Inputs'!$D$11</f>
        <v>-64486.034549194941</v>
      </c>
      <c r="DP33" s="80">
        <f>DP30*-'Redlands Inputs'!$D$11</f>
        <v>-64486.034549194941</v>
      </c>
      <c r="DQ33" s="80">
        <f>DQ30*-'Redlands Inputs'!$D$11</f>
        <v>-64486.034549194941</v>
      </c>
      <c r="DR33" s="80">
        <f>DR30*-'Redlands Inputs'!$D$11</f>
        <v>-64486.034549194941</v>
      </c>
      <c r="DS33" s="80">
        <f>DS30*-'Redlands Inputs'!$D$11</f>
        <v>-66038.416075083733</v>
      </c>
      <c r="DT33" s="80">
        <f>DT30*-'Redlands Inputs'!$D$11</f>
        <v>-66038.416075083733</v>
      </c>
      <c r="DU33" s="80">
        <f>DU30*-'Redlands Inputs'!$D$11</f>
        <v>-66038.416075083733</v>
      </c>
      <c r="DV33" s="80">
        <f>DV30*-'Redlands Inputs'!$D$11</f>
        <v>-66038.416075083733</v>
      </c>
      <c r="DW33" s="80">
        <f>DW30*-'Redlands Inputs'!$D$11</f>
        <v>-66038.416075083733</v>
      </c>
      <c r="DX33" s="80">
        <f>DX30*-'Redlands Inputs'!$D$11</f>
        <v>-66038.416075083733</v>
      </c>
      <c r="DY33" s="80">
        <f>DY30*-'Redlands Inputs'!$D$11</f>
        <v>-66038.416075083733</v>
      </c>
      <c r="DZ33" s="80">
        <f>DZ30*-'Redlands Inputs'!$D$11</f>
        <v>-66038.416075083733</v>
      </c>
      <c r="EA33" s="80">
        <f>EA30*-'Redlands Inputs'!$D$11</f>
        <v>-66038.416075083733</v>
      </c>
      <c r="EB33" s="80">
        <f>EB30*-'Redlands Inputs'!$D$11</f>
        <v>-66038.416075083733</v>
      </c>
      <c r="EC33" s="80">
        <f>EC30*-'Redlands Inputs'!$D$11</f>
        <v>-66038.416075083733</v>
      </c>
      <c r="ED33" s="80">
        <f>ED30*-'Redlands Inputs'!$D$11</f>
        <v>-66038.416075083733</v>
      </c>
    </row>
    <row r="34" spans="1:134" ht="19.149999999999999" customHeight="1" x14ac:dyDescent="0.4">
      <c r="A34" s="6" t="s">
        <v>29</v>
      </c>
      <c r="B34" s="6"/>
      <c r="C34" s="80">
        <f>C33</f>
        <v>-34665.547522711495</v>
      </c>
      <c r="D34" s="80">
        <f t="shared" ref="D34:BO34" si="29">D33</f>
        <v>-34665.547522711495</v>
      </c>
      <c r="E34" s="80">
        <f t="shared" si="29"/>
        <v>-34665.547522711495</v>
      </c>
      <c r="F34" s="80">
        <f t="shared" si="29"/>
        <v>-34665.547522711495</v>
      </c>
      <c r="G34" s="80">
        <f t="shared" si="29"/>
        <v>-34665.547522711495</v>
      </c>
      <c r="H34" s="80">
        <f t="shared" si="29"/>
        <v>-34665.547522711495</v>
      </c>
      <c r="I34" s="80">
        <f t="shared" si="29"/>
        <v>-34665.547522711495</v>
      </c>
      <c r="J34" s="80">
        <f t="shared" si="29"/>
        <v>-34665.547522711495</v>
      </c>
      <c r="K34" s="80">
        <f t="shared" si="29"/>
        <v>-34665.547522711495</v>
      </c>
      <c r="L34" s="80">
        <f t="shared" si="29"/>
        <v>-34665.547522711495</v>
      </c>
      <c r="M34" s="80">
        <f t="shared" si="29"/>
        <v>-34665.547522711495</v>
      </c>
      <c r="N34" s="80">
        <f t="shared" si="29"/>
        <v>-34665.547522711495</v>
      </c>
      <c r="O34" s="80">
        <f t="shared" si="29"/>
        <v>-35340.525139832389</v>
      </c>
      <c r="P34" s="80">
        <f t="shared" si="29"/>
        <v>-35340.525139832389</v>
      </c>
      <c r="Q34" s="80">
        <f t="shared" si="29"/>
        <v>-35340.525139832389</v>
      </c>
      <c r="R34" s="80">
        <f t="shared" si="29"/>
        <v>-35340.525139832389</v>
      </c>
      <c r="S34" s="80">
        <f t="shared" si="29"/>
        <v>-35340.525139832389</v>
      </c>
      <c r="T34" s="80">
        <f t="shared" si="29"/>
        <v>-35340.525139832389</v>
      </c>
      <c r="U34" s="80">
        <f t="shared" si="29"/>
        <v>-35340.525139832389</v>
      </c>
      <c r="V34" s="80">
        <f t="shared" si="29"/>
        <v>-35340.525139832389</v>
      </c>
      <c r="W34" s="80">
        <f t="shared" si="29"/>
        <v>-35340.525139832389</v>
      </c>
      <c r="X34" s="80">
        <f t="shared" si="29"/>
        <v>-35340.525139832389</v>
      </c>
      <c r="Y34" s="80">
        <f t="shared" si="29"/>
        <v>-35340.525139832389</v>
      </c>
      <c r="Z34" s="80">
        <f t="shared" si="29"/>
        <v>-35340.525139832389</v>
      </c>
      <c r="AA34" s="80">
        <f t="shared" si="29"/>
        <v>-36029.002309295705</v>
      </c>
      <c r="AB34" s="80">
        <f t="shared" si="29"/>
        <v>-36029.002309295705</v>
      </c>
      <c r="AC34" s="80">
        <f t="shared" si="29"/>
        <v>-36029.002309295705</v>
      </c>
      <c r="AD34" s="80">
        <f t="shared" si="29"/>
        <v>-36029.002309295705</v>
      </c>
      <c r="AE34" s="80">
        <f t="shared" si="29"/>
        <v>-36029.002309295705</v>
      </c>
      <c r="AF34" s="80">
        <f t="shared" si="29"/>
        <v>-36029.002309295705</v>
      </c>
      <c r="AG34" s="80">
        <f t="shared" si="29"/>
        <v>-36029.002309295705</v>
      </c>
      <c r="AH34" s="80">
        <f t="shared" si="29"/>
        <v>-36029.002309295705</v>
      </c>
      <c r="AI34" s="80">
        <f t="shared" si="29"/>
        <v>-36029.002309295705</v>
      </c>
      <c r="AJ34" s="80">
        <f t="shared" si="29"/>
        <v>-36029.002309295705</v>
      </c>
      <c r="AK34" s="80">
        <f t="shared" si="29"/>
        <v>-36029.002309295705</v>
      </c>
      <c r="AL34" s="80">
        <f t="shared" si="29"/>
        <v>-36029.002309295705</v>
      </c>
      <c r="AM34" s="80">
        <f t="shared" si="29"/>
        <v>-36731.24902214828</v>
      </c>
      <c r="AN34" s="80">
        <f t="shared" si="29"/>
        <v>-36731.24902214828</v>
      </c>
      <c r="AO34" s="80">
        <f t="shared" si="29"/>
        <v>-36731.24902214828</v>
      </c>
      <c r="AP34" s="80">
        <f t="shared" si="29"/>
        <v>-36731.24902214828</v>
      </c>
      <c r="AQ34" s="80">
        <f t="shared" si="29"/>
        <v>-36731.24902214828</v>
      </c>
      <c r="AR34" s="80">
        <f t="shared" si="29"/>
        <v>-36731.24902214828</v>
      </c>
      <c r="AS34" s="80">
        <f t="shared" si="29"/>
        <v>-36731.24902214828</v>
      </c>
      <c r="AT34" s="80">
        <f t="shared" si="29"/>
        <v>-36731.24902214828</v>
      </c>
      <c r="AU34" s="80">
        <f t="shared" si="29"/>
        <v>-36731.24902214828</v>
      </c>
      <c r="AV34" s="80">
        <f t="shared" si="29"/>
        <v>-36731.24902214828</v>
      </c>
      <c r="AW34" s="80">
        <f t="shared" si="29"/>
        <v>-36731.24902214828</v>
      </c>
      <c r="AX34" s="80">
        <f t="shared" si="29"/>
        <v>-36731.24902214828</v>
      </c>
      <c r="AY34" s="80">
        <f t="shared" si="29"/>
        <v>-37447.54066925792</v>
      </c>
      <c r="AZ34" s="80">
        <f t="shared" si="29"/>
        <v>-37447.54066925792</v>
      </c>
      <c r="BA34" s="80">
        <f t="shared" si="29"/>
        <v>-37447.54066925792</v>
      </c>
      <c r="BB34" s="80">
        <f t="shared" si="29"/>
        <v>-37447.54066925792</v>
      </c>
      <c r="BC34" s="80">
        <f t="shared" si="29"/>
        <v>-37447.54066925792</v>
      </c>
      <c r="BD34" s="80">
        <f t="shared" si="29"/>
        <v>-37447.54066925792</v>
      </c>
      <c r="BE34" s="80">
        <f t="shared" si="29"/>
        <v>-37447.54066925792</v>
      </c>
      <c r="BF34" s="80">
        <f t="shared" si="29"/>
        <v>-37447.54066925792</v>
      </c>
      <c r="BG34" s="80">
        <f t="shared" si="29"/>
        <v>-37447.54066925792</v>
      </c>
      <c r="BH34" s="80">
        <f t="shared" si="29"/>
        <v>-37447.54066925792</v>
      </c>
      <c r="BI34" s="80">
        <f t="shared" si="29"/>
        <v>-37447.54066925792</v>
      </c>
      <c r="BJ34" s="80">
        <f t="shared" si="29"/>
        <v>-37447.54066925792</v>
      </c>
      <c r="BK34" s="80">
        <f t="shared" si="29"/>
        <v>-38178.15814930974</v>
      </c>
      <c r="BL34" s="80">
        <f t="shared" si="29"/>
        <v>-38178.15814930974</v>
      </c>
      <c r="BM34" s="80">
        <f t="shared" si="29"/>
        <v>-38178.15814930974</v>
      </c>
      <c r="BN34" s="80">
        <f t="shared" si="29"/>
        <v>-38178.15814930974</v>
      </c>
      <c r="BO34" s="80">
        <f t="shared" si="29"/>
        <v>-38178.15814930974</v>
      </c>
      <c r="BP34" s="80">
        <f t="shared" ref="BP34:EA34" si="30">BP33</f>
        <v>-38178.15814930974</v>
      </c>
      <c r="BQ34" s="80">
        <f t="shared" si="30"/>
        <v>-38178.15814930974</v>
      </c>
      <c r="BR34" s="80">
        <f t="shared" si="30"/>
        <v>-38178.15814930974</v>
      </c>
      <c r="BS34" s="80">
        <f t="shared" si="30"/>
        <v>-38178.15814930974</v>
      </c>
      <c r="BT34" s="80">
        <f t="shared" si="30"/>
        <v>-38178.15814930974</v>
      </c>
      <c r="BU34" s="80">
        <f t="shared" si="30"/>
        <v>-38178.15814930974</v>
      </c>
      <c r="BV34" s="80">
        <f t="shared" si="30"/>
        <v>-38178.15814930974</v>
      </c>
      <c r="BW34" s="80">
        <f t="shared" si="30"/>
        <v>-38923.387978962608</v>
      </c>
      <c r="BX34" s="80">
        <f t="shared" si="30"/>
        <v>-38923.387978962608</v>
      </c>
      <c r="BY34" s="80">
        <f t="shared" si="30"/>
        <v>-38923.387978962608</v>
      </c>
      <c r="BZ34" s="80">
        <f t="shared" si="30"/>
        <v>-38923.387978962608</v>
      </c>
      <c r="CA34" s="80">
        <f t="shared" si="30"/>
        <v>-38923.387978962608</v>
      </c>
      <c r="CB34" s="80">
        <f t="shared" si="30"/>
        <v>-38923.387978962608</v>
      </c>
      <c r="CC34" s="80">
        <f t="shared" si="30"/>
        <v>-38923.387978962608</v>
      </c>
      <c r="CD34" s="80">
        <f t="shared" si="30"/>
        <v>-38923.387978962608</v>
      </c>
      <c r="CE34" s="80">
        <f t="shared" si="30"/>
        <v>-38923.387978962608</v>
      </c>
      <c r="CF34" s="80">
        <f t="shared" si="30"/>
        <v>-38923.387978962608</v>
      </c>
      <c r="CG34" s="80">
        <f t="shared" si="30"/>
        <v>-38923.387978962608</v>
      </c>
      <c r="CH34" s="80">
        <f t="shared" si="30"/>
        <v>-38923.387978962608</v>
      </c>
      <c r="CI34" s="80">
        <f t="shared" si="30"/>
        <v>-45331.992728262572</v>
      </c>
      <c r="CJ34" s="80">
        <f t="shared" si="30"/>
        <v>-61491.852989351893</v>
      </c>
      <c r="CK34" s="80">
        <f t="shared" si="30"/>
        <v>-61491.852989351893</v>
      </c>
      <c r="CL34" s="80">
        <f t="shared" si="30"/>
        <v>-61491.852989351893</v>
      </c>
      <c r="CM34" s="80">
        <f t="shared" si="30"/>
        <v>-61491.852989351893</v>
      </c>
      <c r="CN34" s="80">
        <f t="shared" si="30"/>
        <v>-61491.852989351893</v>
      </c>
      <c r="CO34" s="80">
        <f t="shared" si="30"/>
        <v>-61491.852989351893</v>
      </c>
      <c r="CP34" s="80">
        <f t="shared" si="30"/>
        <v>-61491.852989351893</v>
      </c>
      <c r="CQ34" s="80">
        <f t="shared" si="30"/>
        <v>-61491.852989351893</v>
      </c>
      <c r="CR34" s="80">
        <f t="shared" si="30"/>
        <v>-61491.852989351893</v>
      </c>
      <c r="CS34" s="80">
        <f t="shared" si="30"/>
        <v>-61491.852989351893</v>
      </c>
      <c r="CT34" s="80">
        <f t="shared" si="30"/>
        <v>-61491.852989351893</v>
      </c>
      <c r="CU34" s="80">
        <f t="shared" si="30"/>
        <v>-62970.811010380945</v>
      </c>
      <c r="CV34" s="80">
        <f t="shared" si="30"/>
        <v>-62970.811010380945</v>
      </c>
      <c r="CW34" s="80">
        <f t="shared" si="30"/>
        <v>-62970.811010380945</v>
      </c>
      <c r="CX34" s="80">
        <f t="shared" si="30"/>
        <v>-62970.811010380945</v>
      </c>
      <c r="CY34" s="80">
        <f t="shared" si="30"/>
        <v>-62970.811010380945</v>
      </c>
      <c r="CZ34" s="80">
        <f t="shared" si="30"/>
        <v>-62970.811010380945</v>
      </c>
      <c r="DA34" s="80">
        <f t="shared" si="30"/>
        <v>-62970.811010380945</v>
      </c>
      <c r="DB34" s="80">
        <f t="shared" si="30"/>
        <v>-62970.811010380945</v>
      </c>
      <c r="DC34" s="80">
        <f t="shared" si="30"/>
        <v>-62970.811010380945</v>
      </c>
      <c r="DD34" s="80">
        <f t="shared" si="30"/>
        <v>-62970.811010380945</v>
      </c>
      <c r="DE34" s="80">
        <f t="shared" si="30"/>
        <v>-62970.811010380945</v>
      </c>
      <c r="DF34" s="80">
        <f t="shared" si="30"/>
        <v>-62970.811010380945</v>
      </c>
      <c r="DG34" s="80">
        <f t="shared" si="30"/>
        <v>-64486.034549194941</v>
      </c>
      <c r="DH34" s="80">
        <f t="shared" si="30"/>
        <v>-64486.034549194941</v>
      </c>
      <c r="DI34" s="80">
        <f t="shared" si="30"/>
        <v>-64486.034549194941</v>
      </c>
      <c r="DJ34" s="80">
        <f t="shared" si="30"/>
        <v>-64486.034549194941</v>
      </c>
      <c r="DK34" s="80">
        <f t="shared" si="30"/>
        <v>-64486.034549194941</v>
      </c>
      <c r="DL34" s="80">
        <f t="shared" si="30"/>
        <v>-64486.034549194941</v>
      </c>
      <c r="DM34" s="80">
        <f t="shared" si="30"/>
        <v>-64486.034549194941</v>
      </c>
      <c r="DN34" s="80">
        <f t="shared" si="30"/>
        <v>-64486.034549194941</v>
      </c>
      <c r="DO34" s="80">
        <f t="shared" si="30"/>
        <v>-64486.034549194941</v>
      </c>
      <c r="DP34" s="80">
        <f t="shared" si="30"/>
        <v>-64486.034549194941</v>
      </c>
      <c r="DQ34" s="80">
        <f t="shared" si="30"/>
        <v>-64486.034549194941</v>
      </c>
      <c r="DR34" s="80">
        <f t="shared" si="30"/>
        <v>-64486.034549194941</v>
      </c>
      <c r="DS34" s="80">
        <f t="shared" si="30"/>
        <v>-66038.416075083733</v>
      </c>
      <c r="DT34" s="80">
        <f t="shared" si="30"/>
        <v>-66038.416075083733</v>
      </c>
      <c r="DU34" s="80">
        <f t="shared" si="30"/>
        <v>-66038.416075083733</v>
      </c>
      <c r="DV34" s="80">
        <f t="shared" si="30"/>
        <v>-66038.416075083733</v>
      </c>
      <c r="DW34" s="80">
        <f t="shared" si="30"/>
        <v>-66038.416075083733</v>
      </c>
      <c r="DX34" s="80">
        <f t="shared" si="30"/>
        <v>-66038.416075083733</v>
      </c>
      <c r="DY34" s="80">
        <f t="shared" si="30"/>
        <v>-66038.416075083733</v>
      </c>
      <c r="DZ34" s="80">
        <f t="shared" si="30"/>
        <v>-66038.416075083733</v>
      </c>
      <c r="EA34" s="80">
        <f t="shared" si="30"/>
        <v>-66038.416075083733</v>
      </c>
      <c r="EB34" s="80">
        <f t="shared" ref="EB34:ED34" si="31">EB33</f>
        <v>-66038.416075083733</v>
      </c>
      <c r="EC34" s="80">
        <f t="shared" si="31"/>
        <v>-66038.416075083733</v>
      </c>
      <c r="ED34" s="80">
        <f t="shared" si="31"/>
        <v>-66038.416075083733</v>
      </c>
    </row>
    <row r="35" spans="1:134" ht="19.149999999999999" customHeight="1" x14ac:dyDescent="0.4">
      <c r="A35" s="5" t="s">
        <v>17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</row>
    <row r="36" spans="1:134" ht="19.149999999999999" customHeight="1" x14ac:dyDescent="0.4">
      <c r="A36" s="6" t="s">
        <v>30</v>
      </c>
      <c r="B36" s="6"/>
      <c r="C36" s="80">
        <f>C30+C34</f>
        <v>311989.92770440341</v>
      </c>
      <c r="D36" s="80">
        <f t="shared" ref="D36:BO36" si="32">D30+D34</f>
        <v>311989.92770440341</v>
      </c>
      <c r="E36" s="80">
        <f t="shared" si="32"/>
        <v>311989.92770440341</v>
      </c>
      <c r="F36" s="80">
        <f t="shared" si="32"/>
        <v>311989.92770440341</v>
      </c>
      <c r="G36" s="80">
        <f t="shared" si="32"/>
        <v>311989.92770440341</v>
      </c>
      <c r="H36" s="80">
        <f t="shared" si="32"/>
        <v>311989.92770440341</v>
      </c>
      <c r="I36" s="80">
        <f t="shared" si="32"/>
        <v>311989.92770440341</v>
      </c>
      <c r="J36" s="80">
        <f t="shared" si="32"/>
        <v>311989.92770440341</v>
      </c>
      <c r="K36" s="80">
        <f t="shared" si="32"/>
        <v>311989.92770440341</v>
      </c>
      <c r="L36" s="80">
        <f t="shared" si="32"/>
        <v>311989.92770440341</v>
      </c>
      <c r="M36" s="80">
        <f t="shared" si="32"/>
        <v>311989.92770440341</v>
      </c>
      <c r="N36" s="80">
        <f t="shared" si="32"/>
        <v>311989.92770440341</v>
      </c>
      <c r="O36" s="80">
        <f t="shared" si="32"/>
        <v>318064.72625849146</v>
      </c>
      <c r="P36" s="80">
        <f t="shared" si="32"/>
        <v>318064.72625849146</v>
      </c>
      <c r="Q36" s="80">
        <f t="shared" si="32"/>
        <v>318064.72625849146</v>
      </c>
      <c r="R36" s="80">
        <f t="shared" si="32"/>
        <v>318064.72625849146</v>
      </c>
      <c r="S36" s="80">
        <f t="shared" si="32"/>
        <v>318064.72625849146</v>
      </c>
      <c r="T36" s="80">
        <f t="shared" si="32"/>
        <v>318064.72625849146</v>
      </c>
      <c r="U36" s="80">
        <f t="shared" si="32"/>
        <v>318064.72625849146</v>
      </c>
      <c r="V36" s="80">
        <f t="shared" si="32"/>
        <v>318064.72625849146</v>
      </c>
      <c r="W36" s="80">
        <f t="shared" si="32"/>
        <v>318064.72625849146</v>
      </c>
      <c r="X36" s="80">
        <f t="shared" si="32"/>
        <v>318064.72625849146</v>
      </c>
      <c r="Y36" s="80">
        <f t="shared" si="32"/>
        <v>318064.72625849146</v>
      </c>
      <c r="Z36" s="80">
        <f t="shared" si="32"/>
        <v>318064.72625849146</v>
      </c>
      <c r="AA36" s="80">
        <f t="shared" si="32"/>
        <v>324261.02078366134</v>
      </c>
      <c r="AB36" s="80">
        <f t="shared" si="32"/>
        <v>324261.02078366134</v>
      </c>
      <c r="AC36" s="80">
        <f t="shared" si="32"/>
        <v>324261.02078366134</v>
      </c>
      <c r="AD36" s="80">
        <f t="shared" si="32"/>
        <v>324261.02078366134</v>
      </c>
      <c r="AE36" s="80">
        <f t="shared" si="32"/>
        <v>324261.02078366134</v>
      </c>
      <c r="AF36" s="80">
        <f t="shared" si="32"/>
        <v>324261.02078366134</v>
      </c>
      <c r="AG36" s="80">
        <f t="shared" si="32"/>
        <v>324261.02078366134</v>
      </c>
      <c r="AH36" s="80">
        <f t="shared" si="32"/>
        <v>324261.02078366134</v>
      </c>
      <c r="AI36" s="80">
        <f t="shared" si="32"/>
        <v>324261.02078366134</v>
      </c>
      <c r="AJ36" s="80">
        <f t="shared" si="32"/>
        <v>324261.02078366134</v>
      </c>
      <c r="AK36" s="80">
        <f t="shared" si="32"/>
        <v>324261.02078366134</v>
      </c>
      <c r="AL36" s="80">
        <f t="shared" si="32"/>
        <v>324261.02078366134</v>
      </c>
      <c r="AM36" s="80">
        <f t="shared" si="32"/>
        <v>330581.2411993345</v>
      </c>
      <c r="AN36" s="80">
        <f t="shared" si="32"/>
        <v>330581.2411993345</v>
      </c>
      <c r="AO36" s="80">
        <f t="shared" si="32"/>
        <v>330581.2411993345</v>
      </c>
      <c r="AP36" s="80">
        <f t="shared" si="32"/>
        <v>330581.2411993345</v>
      </c>
      <c r="AQ36" s="80">
        <f t="shared" si="32"/>
        <v>330581.2411993345</v>
      </c>
      <c r="AR36" s="80">
        <f t="shared" si="32"/>
        <v>330581.2411993345</v>
      </c>
      <c r="AS36" s="80">
        <f t="shared" si="32"/>
        <v>330581.2411993345</v>
      </c>
      <c r="AT36" s="80">
        <f t="shared" si="32"/>
        <v>330581.2411993345</v>
      </c>
      <c r="AU36" s="80">
        <f t="shared" si="32"/>
        <v>330581.2411993345</v>
      </c>
      <c r="AV36" s="80">
        <f t="shared" si="32"/>
        <v>330581.2411993345</v>
      </c>
      <c r="AW36" s="80">
        <f t="shared" si="32"/>
        <v>330581.2411993345</v>
      </c>
      <c r="AX36" s="80">
        <f t="shared" si="32"/>
        <v>330581.2411993345</v>
      </c>
      <c r="AY36" s="80">
        <f t="shared" si="32"/>
        <v>337027.86602332123</v>
      </c>
      <c r="AZ36" s="80">
        <f t="shared" si="32"/>
        <v>337027.86602332123</v>
      </c>
      <c r="BA36" s="80">
        <f t="shared" si="32"/>
        <v>337027.86602332123</v>
      </c>
      <c r="BB36" s="80">
        <f t="shared" si="32"/>
        <v>337027.86602332123</v>
      </c>
      <c r="BC36" s="80">
        <f t="shared" si="32"/>
        <v>337027.86602332123</v>
      </c>
      <c r="BD36" s="80">
        <f t="shared" si="32"/>
        <v>337027.86602332123</v>
      </c>
      <c r="BE36" s="80">
        <f t="shared" si="32"/>
        <v>337027.86602332123</v>
      </c>
      <c r="BF36" s="80">
        <f t="shared" si="32"/>
        <v>337027.86602332123</v>
      </c>
      <c r="BG36" s="80">
        <f t="shared" si="32"/>
        <v>337027.86602332123</v>
      </c>
      <c r="BH36" s="80">
        <f t="shared" si="32"/>
        <v>337027.86602332123</v>
      </c>
      <c r="BI36" s="80">
        <f t="shared" si="32"/>
        <v>337027.86602332123</v>
      </c>
      <c r="BJ36" s="80">
        <f t="shared" si="32"/>
        <v>337027.86602332123</v>
      </c>
      <c r="BK36" s="80">
        <f t="shared" si="32"/>
        <v>343603.42334378761</v>
      </c>
      <c r="BL36" s="80">
        <f t="shared" si="32"/>
        <v>343603.42334378761</v>
      </c>
      <c r="BM36" s="80">
        <f t="shared" si="32"/>
        <v>343603.42334378761</v>
      </c>
      <c r="BN36" s="80">
        <f t="shared" si="32"/>
        <v>343603.42334378761</v>
      </c>
      <c r="BO36" s="80">
        <f t="shared" si="32"/>
        <v>343603.42334378761</v>
      </c>
      <c r="BP36" s="80">
        <f t="shared" ref="BP36:EA36" si="33">BP30+BP34</f>
        <v>343603.42334378761</v>
      </c>
      <c r="BQ36" s="80">
        <f t="shared" si="33"/>
        <v>343603.42334378761</v>
      </c>
      <c r="BR36" s="80">
        <f t="shared" si="33"/>
        <v>343603.42334378761</v>
      </c>
      <c r="BS36" s="80">
        <f t="shared" si="33"/>
        <v>343603.42334378761</v>
      </c>
      <c r="BT36" s="80">
        <f t="shared" si="33"/>
        <v>343603.42334378761</v>
      </c>
      <c r="BU36" s="80">
        <f t="shared" si="33"/>
        <v>343603.42334378761</v>
      </c>
      <c r="BV36" s="80">
        <f t="shared" si="33"/>
        <v>343603.42334378761</v>
      </c>
      <c r="BW36" s="80">
        <f t="shared" si="33"/>
        <v>350310.49181066343</v>
      </c>
      <c r="BX36" s="80">
        <f t="shared" si="33"/>
        <v>350310.49181066343</v>
      </c>
      <c r="BY36" s="80">
        <f t="shared" si="33"/>
        <v>350310.49181066343</v>
      </c>
      <c r="BZ36" s="80">
        <f t="shared" si="33"/>
        <v>350310.49181066343</v>
      </c>
      <c r="CA36" s="80">
        <f t="shared" si="33"/>
        <v>350310.49181066343</v>
      </c>
      <c r="CB36" s="80">
        <f t="shared" si="33"/>
        <v>350310.49181066343</v>
      </c>
      <c r="CC36" s="80">
        <f t="shared" si="33"/>
        <v>350310.49181066343</v>
      </c>
      <c r="CD36" s="80">
        <f t="shared" si="33"/>
        <v>350310.49181066343</v>
      </c>
      <c r="CE36" s="80">
        <f t="shared" si="33"/>
        <v>350310.49181066343</v>
      </c>
      <c r="CF36" s="80">
        <f t="shared" si="33"/>
        <v>350310.49181066343</v>
      </c>
      <c r="CG36" s="80">
        <f t="shared" si="33"/>
        <v>350310.49181066343</v>
      </c>
      <c r="CH36" s="80">
        <f t="shared" si="33"/>
        <v>350310.49181066343</v>
      </c>
      <c r="CI36" s="80">
        <f t="shared" si="33"/>
        <v>407987.93455436314</v>
      </c>
      <c r="CJ36" s="80">
        <f t="shared" si="33"/>
        <v>553426.67690416705</v>
      </c>
      <c r="CK36" s="80">
        <f t="shared" si="33"/>
        <v>553426.67690416705</v>
      </c>
      <c r="CL36" s="80">
        <f t="shared" si="33"/>
        <v>553426.67690416705</v>
      </c>
      <c r="CM36" s="80">
        <f t="shared" si="33"/>
        <v>553426.67690416705</v>
      </c>
      <c r="CN36" s="80">
        <f t="shared" si="33"/>
        <v>553426.67690416705</v>
      </c>
      <c r="CO36" s="80">
        <f t="shared" si="33"/>
        <v>553426.67690416705</v>
      </c>
      <c r="CP36" s="80">
        <f t="shared" si="33"/>
        <v>553426.67690416705</v>
      </c>
      <c r="CQ36" s="80">
        <f t="shared" si="33"/>
        <v>553426.67690416705</v>
      </c>
      <c r="CR36" s="80">
        <f t="shared" si="33"/>
        <v>553426.67690416705</v>
      </c>
      <c r="CS36" s="80">
        <f t="shared" si="33"/>
        <v>553426.67690416705</v>
      </c>
      <c r="CT36" s="80">
        <f t="shared" si="33"/>
        <v>553426.67690416705</v>
      </c>
      <c r="CU36" s="80">
        <f t="shared" si="33"/>
        <v>566737.29909342842</v>
      </c>
      <c r="CV36" s="80">
        <f t="shared" si="33"/>
        <v>566737.29909342842</v>
      </c>
      <c r="CW36" s="80">
        <f t="shared" si="33"/>
        <v>566737.29909342842</v>
      </c>
      <c r="CX36" s="80">
        <f t="shared" si="33"/>
        <v>566737.29909342842</v>
      </c>
      <c r="CY36" s="80">
        <f t="shared" si="33"/>
        <v>566737.29909342842</v>
      </c>
      <c r="CZ36" s="80">
        <f t="shared" si="33"/>
        <v>566737.29909342842</v>
      </c>
      <c r="DA36" s="80">
        <f t="shared" si="33"/>
        <v>566737.29909342842</v>
      </c>
      <c r="DB36" s="80">
        <f t="shared" si="33"/>
        <v>566737.29909342842</v>
      </c>
      <c r="DC36" s="80">
        <f t="shared" si="33"/>
        <v>566737.29909342842</v>
      </c>
      <c r="DD36" s="80">
        <f t="shared" si="33"/>
        <v>566737.29909342842</v>
      </c>
      <c r="DE36" s="80">
        <f t="shared" si="33"/>
        <v>566737.29909342842</v>
      </c>
      <c r="DF36" s="80">
        <f t="shared" si="33"/>
        <v>566737.29909342842</v>
      </c>
      <c r="DG36" s="80">
        <f t="shared" si="33"/>
        <v>580374.31094275438</v>
      </c>
      <c r="DH36" s="80">
        <f t="shared" si="33"/>
        <v>580374.31094275438</v>
      </c>
      <c r="DI36" s="80">
        <f t="shared" si="33"/>
        <v>580374.31094275438</v>
      </c>
      <c r="DJ36" s="80">
        <f t="shared" si="33"/>
        <v>580374.31094275438</v>
      </c>
      <c r="DK36" s="80">
        <f t="shared" si="33"/>
        <v>580374.31094275438</v>
      </c>
      <c r="DL36" s="80">
        <f t="shared" si="33"/>
        <v>580374.31094275438</v>
      </c>
      <c r="DM36" s="80">
        <f t="shared" si="33"/>
        <v>580374.31094275438</v>
      </c>
      <c r="DN36" s="80">
        <f t="shared" si="33"/>
        <v>580374.31094275438</v>
      </c>
      <c r="DO36" s="80">
        <f t="shared" si="33"/>
        <v>580374.31094275438</v>
      </c>
      <c r="DP36" s="80">
        <f t="shared" si="33"/>
        <v>580374.31094275438</v>
      </c>
      <c r="DQ36" s="80">
        <f t="shared" si="33"/>
        <v>580374.31094275438</v>
      </c>
      <c r="DR36" s="80">
        <f t="shared" si="33"/>
        <v>580374.31094275438</v>
      </c>
      <c r="DS36" s="80">
        <f t="shared" si="33"/>
        <v>594345.74467575352</v>
      </c>
      <c r="DT36" s="80">
        <f t="shared" si="33"/>
        <v>594345.74467575352</v>
      </c>
      <c r="DU36" s="80">
        <f t="shared" si="33"/>
        <v>594345.74467575352</v>
      </c>
      <c r="DV36" s="80">
        <f t="shared" si="33"/>
        <v>594345.74467575352</v>
      </c>
      <c r="DW36" s="80">
        <f t="shared" si="33"/>
        <v>594345.74467575352</v>
      </c>
      <c r="DX36" s="80">
        <f t="shared" si="33"/>
        <v>594345.74467575352</v>
      </c>
      <c r="DY36" s="80">
        <f t="shared" si="33"/>
        <v>594345.74467575352</v>
      </c>
      <c r="DZ36" s="80">
        <f t="shared" si="33"/>
        <v>594345.74467575352</v>
      </c>
      <c r="EA36" s="80">
        <f t="shared" si="33"/>
        <v>594345.74467575352</v>
      </c>
      <c r="EB36" s="80">
        <f t="shared" ref="EB36:ED36" si="34">EB30+EB34</f>
        <v>594345.74467575352</v>
      </c>
      <c r="EC36" s="80">
        <f t="shared" si="34"/>
        <v>594345.74467575352</v>
      </c>
      <c r="ED36" s="80">
        <f t="shared" si="34"/>
        <v>594345.74467575352</v>
      </c>
    </row>
    <row r="37" spans="1:134" ht="19.149999999999999" customHeight="1" x14ac:dyDescent="0.4">
      <c r="A37" s="5" t="s">
        <v>17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</row>
    <row r="38" spans="1:134" ht="19.149999999999999" customHeight="1" x14ac:dyDescent="0.4">
      <c r="A38" s="2" t="s">
        <v>31</v>
      </c>
      <c r="B38" s="2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</row>
    <row r="39" spans="1:134" ht="19.149999999999999" customHeight="1" x14ac:dyDescent="0.4">
      <c r="A39" s="11" t="s">
        <v>19</v>
      </c>
      <c r="B39" s="11"/>
      <c r="C39" s="49">
        <f>'Redlands Inputs'!$H3</f>
        <v>3750</v>
      </c>
      <c r="D39" s="39">
        <f>'Redlands Inputs'!$H3*(1+$C$3)^(D$8-1)</f>
        <v>3750</v>
      </c>
      <c r="E39" s="39">
        <f>'Redlands Inputs'!$H3*(1+$C$3)^(E$8-1)</f>
        <v>3750</v>
      </c>
      <c r="F39" s="39">
        <f>'Redlands Inputs'!$H3*(1+$C$3)^(F$8-1)</f>
        <v>3750</v>
      </c>
      <c r="G39" s="39">
        <f>'Redlands Inputs'!$H3*(1+$C$3)^(G$8-1)</f>
        <v>3750</v>
      </c>
      <c r="H39" s="39">
        <f>'Redlands Inputs'!$H3*(1+$C$3)^(H$8-1)</f>
        <v>3750</v>
      </c>
      <c r="I39" s="39">
        <f>'Redlands Inputs'!$H3*(1+$C$3)^(I$8-1)</f>
        <v>3750</v>
      </c>
      <c r="J39" s="39">
        <f>'Redlands Inputs'!$H3*(1+$C$3)^(J$8-1)</f>
        <v>3750</v>
      </c>
      <c r="K39" s="39">
        <f>'Redlands Inputs'!$H3*(1+$C$3)^(K$8-1)</f>
        <v>3750</v>
      </c>
      <c r="L39" s="39">
        <f>'Redlands Inputs'!$H3*(1+$C$3)^(L$8-1)</f>
        <v>3750</v>
      </c>
      <c r="M39" s="39">
        <f>'Redlands Inputs'!$H3*(1+$C$3)^(M$8-1)</f>
        <v>3750</v>
      </c>
      <c r="N39" s="39">
        <f>'Redlands Inputs'!$H3*(1+$C$3)^(N$8-1)</f>
        <v>3750</v>
      </c>
      <c r="O39" s="39">
        <f>'Redlands Inputs'!$H3*(1+$C$3)^(O$8-1)</f>
        <v>3843.7499999999995</v>
      </c>
      <c r="P39" s="39">
        <f>'Redlands Inputs'!$H3*(1+$C$3)^(P$8-1)</f>
        <v>3843.7499999999995</v>
      </c>
      <c r="Q39" s="39">
        <f>'Redlands Inputs'!$H3*(1+$C$3)^(Q$8-1)</f>
        <v>3843.7499999999995</v>
      </c>
      <c r="R39" s="39">
        <f>'Redlands Inputs'!$H3*(1+$C$3)^(R$8-1)</f>
        <v>3843.7499999999995</v>
      </c>
      <c r="S39" s="39">
        <f>'Redlands Inputs'!$H3*(1+$C$3)^(S$8-1)</f>
        <v>3843.7499999999995</v>
      </c>
      <c r="T39" s="39">
        <f>'Redlands Inputs'!$H3*(1+$C$3)^(T$8-1)</f>
        <v>3843.7499999999995</v>
      </c>
      <c r="U39" s="39">
        <f>'Redlands Inputs'!$H3*(1+$C$3)^(U$8-1)</f>
        <v>3843.7499999999995</v>
      </c>
      <c r="V39" s="39">
        <f>'Redlands Inputs'!$H3*(1+$C$3)^(V$8-1)</f>
        <v>3843.7499999999995</v>
      </c>
      <c r="W39" s="39">
        <f>'Redlands Inputs'!$H3*(1+$C$3)^(W$8-1)</f>
        <v>3843.7499999999995</v>
      </c>
      <c r="X39" s="39">
        <f>'Redlands Inputs'!$H3*(1+$C$3)^(X$8-1)</f>
        <v>3843.7499999999995</v>
      </c>
      <c r="Y39" s="39">
        <f>'Redlands Inputs'!$H3*(1+$C$3)^(Y$8-1)</f>
        <v>3843.7499999999995</v>
      </c>
      <c r="Z39" s="39">
        <f>'Redlands Inputs'!$H3*(1+$C$3)^(Z$8-1)</f>
        <v>3843.7499999999995</v>
      </c>
      <c r="AA39" s="39">
        <f>'Redlands Inputs'!$H3*(1+$C$3)^(AA$8-1)</f>
        <v>3939.8437499999995</v>
      </c>
      <c r="AB39" s="39">
        <f>'Redlands Inputs'!$H3*(1+$C$3)^(AB$8-1)</f>
        <v>3939.8437499999995</v>
      </c>
      <c r="AC39" s="39">
        <f>'Redlands Inputs'!$H3*(1+$C$3)^(AC$8-1)</f>
        <v>3939.8437499999995</v>
      </c>
      <c r="AD39" s="39">
        <f>'Redlands Inputs'!$H3*(1+$C$3)^(AD$8-1)</f>
        <v>3939.8437499999995</v>
      </c>
      <c r="AE39" s="39">
        <f>'Redlands Inputs'!$H3*(1+$C$3)^(AE$8-1)</f>
        <v>3939.8437499999995</v>
      </c>
      <c r="AF39" s="39">
        <f>'Redlands Inputs'!$H3*(1+$C$3)^(AF$8-1)</f>
        <v>3939.8437499999995</v>
      </c>
      <c r="AG39" s="39">
        <f>'Redlands Inputs'!$H3*(1+$C$3)^(AG$8-1)</f>
        <v>3939.8437499999995</v>
      </c>
      <c r="AH39" s="39">
        <f>'Redlands Inputs'!$H3*(1+$C$3)^(AH$8-1)</f>
        <v>3939.8437499999995</v>
      </c>
      <c r="AI39" s="39">
        <f>'Redlands Inputs'!$H3*(1+$C$3)^(AI$8-1)</f>
        <v>3939.8437499999995</v>
      </c>
      <c r="AJ39" s="39">
        <f>'Redlands Inputs'!$H3*(1+$C$3)^(AJ$8-1)</f>
        <v>3939.8437499999995</v>
      </c>
      <c r="AK39" s="39">
        <f>'Redlands Inputs'!$H3*(1+$C$3)^(AK$8-1)</f>
        <v>3939.8437499999995</v>
      </c>
      <c r="AL39" s="39">
        <f>'Redlands Inputs'!$H3*(1+$C$3)^(AL$8-1)</f>
        <v>3939.8437499999995</v>
      </c>
      <c r="AM39" s="39">
        <f>'Redlands Inputs'!$H3*(1+$C$3)^(AM$8-1)</f>
        <v>4038.3398437499995</v>
      </c>
      <c r="AN39" s="39">
        <f>'Redlands Inputs'!$H3*(1+$C$3)^(AN$8-1)</f>
        <v>4038.3398437499995</v>
      </c>
      <c r="AO39" s="39">
        <f>'Redlands Inputs'!$H3*(1+$C$3)^(AO$8-1)</f>
        <v>4038.3398437499995</v>
      </c>
      <c r="AP39" s="39">
        <f>'Redlands Inputs'!$H3*(1+$C$3)^(AP$8-1)</f>
        <v>4038.3398437499995</v>
      </c>
      <c r="AQ39" s="39">
        <f>'Redlands Inputs'!$H3*(1+$C$3)^(AQ$8-1)</f>
        <v>4038.3398437499995</v>
      </c>
      <c r="AR39" s="39">
        <f>'Redlands Inputs'!$H3*(1+$C$3)^(AR$8-1)</f>
        <v>4038.3398437499995</v>
      </c>
      <c r="AS39" s="39">
        <f>'Redlands Inputs'!$H3*(1+$C$3)^(AS$8-1)</f>
        <v>4038.3398437499995</v>
      </c>
      <c r="AT39" s="39">
        <f>'Redlands Inputs'!$H3*(1+$C$3)^(AT$8-1)</f>
        <v>4038.3398437499995</v>
      </c>
      <c r="AU39" s="39">
        <f>'Redlands Inputs'!$H3*(1+$C$3)^(AU$8-1)</f>
        <v>4038.3398437499995</v>
      </c>
      <c r="AV39" s="39">
        <f>'Redlands Inputs'!$H3*(1+$C$3)^(AV$8-1)</f>
        <v>4038.3398437499995</v>
      </c>
      <c r="AW39" s="39">
        <f>'Redlands Inputs'!$H3*(1+$C$3)^(AW$8-1)</f>
        <v>4038.3398437499995</v>
      </c>
      <c r="AX39" s="39">
        <f>'Redlands Inputs'!$H3*(1+$C$3)^(AX$8-1)</f>
        <v>4038.3398437499995</v>
      </c>
      <c r="AY39" s="39">
        <f>'Redlands Inputs'!$H3*(1+$C$3)^(AY$8-1)</f>
        <v>4139.2983398437491</v>
      </c>
      <c r="AZ39" s="39">
        <f>'Redlands Inputs'!$H3*(1+$C$3)^(AZ$8-1)</f>
        <v>4139.2983398437491</v>
      </c>
      <c r="BA39" s="39">
        <f>'Redlands Inputs'!$H3*(1+$C$3)^(BA$8-1)</f>
        <v>4139.2983398437491</v>
      </c>
      <c r="BB39" s="39">
        <f>'Redlands Inputs'!$H3*(1+$C$3)^(BB$8-1)</f>
        <v>4139.2983398437491</v>
      </c>
      <c r="BC39" s="39">
        <f>'Redlands Inputs'!$H3*(1+$C$3)^(BC$8-1)</f>
        <v>4139.2983398437491</v>
      </c>
      <c r="BD39" s="39">
        <f>'Redlands Inputs'!$H3*(1+$C$3)^(BD$8-1)</f>
        <v>4139.2983398437491</v>
      </c>
      <c r="BE39" s="39">
        <f>'Redlands Inputs'!$H3*(1+$C$3)^(BE$8-1)</f>
        <v>4139.2983398437491</v>
      </c>
      <c r="BF39" s="39">
        <f>'Redlands Inputs'!$H3*(1+$C$3)^(BF$8-1)</f>
        <v>4139.2983398437491</v>
      </c>
      <c r="BG39" s="39">
        <f>'Redlands Inputs'!$H3*(1+$C$3)^(BG$8-1)</f>
        <v>4139.2983398437491</v>
      </c>
      <c r="BH39" s="39">
        <f>'Redlands Inputs'!$H3*(1+$C$3)^(BH$8-1)</f>
        <v>4139.2983398437491</v>
      </c>
      <c r="BI39" s="39">
        <f>'Redlands Inputs'!$H3*(1+$C$3)^(BI$8-1)</f>
        <v>4139.2983398437491</v>
      </c>
      <c r="BJ39" s="39">
        <f>'Redlands Inputs'!$H3*(1+$C$3)^(BJ$8-1)</f>
        <v>4139.2983398437491</v>
      </c>
      <c r="BK39" s="39">
        <f>'Redlands Inputs'!$H3*(1+$C$3)^(BK$8-1)</f>
        <v>4242.7807983398425</v>
      </c>
      <c r="BL39" s="39">
        <f>'Redlands Inputs'!$H3*(1+$C$3)^(BL$8-1)</f>
        <v>4242.7807983398425</v>
      </c>
      <c r="BM39" s="39">
        <f>'Redlands Inputs'!$H3*(1+$C$3)^(BM$8-1)</f>
        <v>4242.7807983398425</v>
      </c>
      <c r="BN39" s="39">
        <f>'Redlands Inputs'!$H3*(1+$C$3)^(BN$8-1)</f>
        <v>4242.7807983398425</v>
      </c>
      <c r="BO39" s="39">
        <f>'Redlands Inputs'!$H3*(1+$C$3)^(BO$8-1)</f>
        <v>4242.7807983398425</v>
      </c>
      <c r="BP39" s="39">
        <f>'Redlands Inputs'!$H3*(1+$C$3)^(BP$8-1)</f>
        <v>4242.7807983398425</v>
      </c>
      <c r="BQ39" s="39">
        <f>'Redlands Inputs'!$H3*(1+$C$3)^(BQ$8-1)</f>
        <v>4242.7807983398425</v>
      </c>
      <c r="BR39" s="39">
        <f>'Redlands Inputs'!$H3*(1+$C$3)^(BR$8-1)</f>
        <v>4242.7807983398425</v>
      </c>
      <c r="BS39" s="39">
        <f>'Redlands Inputs'!$H3*(1+$C$3)^(BS$8-1)</f>
        <v>4242.7807983398425</v>
      </c>
      <c r="BT39" s="39">
        <f>'Redlands Inputs'!$H3*(1+$C$3)^(BT$8-1)</f>
        <v>4242.7807983398425</v>
      </c>
      <c r="BU39" s="39">
        <f>'Redlands Inputs'!$H3*(1+$C$3)^(BU$8-1)</f>
        <v>4242.7807983398425</v>
      </c>
      <c r="BV39" s="39">
        <f>'Redlands Inputs'!$H3*(1+$C$3)^(BV$8-1)</f>
        <v>4242.7807983398425</v>
      </c>
      <c r="BW39" s="39">
        <f>'Redlands Inputs'!$H3*(1+$C$3)^(BW$8-1)</f>
        <v>4348.8503182983386</v>
      </c>
      <c r="BX39" s="39">
        <f>'Redlands Inputs'!$H3*(1+$C$3)^(BX$8-1)</f>
        <v>4348.8503182983386</v>
      </c>
      <c r="BY39" s="39">
        <f>'Redlands Inputs'!$H3*(1+$C$3)^(BY$8-1)</f>
        <v>4348.8503182983386</v>
      </c>
      <c r="BZ39" s="39">
        <f>'Redlands Inputs'!$H3*(1+$C$3)^(BZ$8-1)</f>
        <v>4348.8503182983386</v>
      </c>
      <c r="CA39" s="39">
        <f>'Redlands Inputs'!$H3*(1+$C$3)^(CA$8-1)</f>
        <v>4348.8503182983386</v>
      </c>
      <c r="CB39" s="39">
        <f>'Redlands Inputs'!$H3*(1+$C$3)^(CB$8-1)</f>
        <v>4348.8503182983386</v>
      </c>
      <c r="CC39" s="39">
        <f>'Redlands Inputs'!$H3*(1+$C$3)^(CC$8-1)</f>
        <v>4348.8503182983386</v>
      </c>
      <c r="CD39" s="39">
        <f>'Redlands Inputs'!$H3*(1+$C$3)^(CD$8-1)</f>
        <v>4348.8503182983386</v>
      </c>
      <c r="CE39" s="39">
        <f>'Redlands Inputs'!$H3*(1+$C$3)^(CE$8-1)</f>
        <v>4348.8503182983386</v>
      </c>
      <c r="CF39" s="39">
        <f>'Redlands Inputs'!$H3*(1+$C$3)^(CF$8-1)</f>
        <v>4348.8503182983386</v>
      </c>
      <c r="CG39" s="39">
        <f>'Redlands Inputs'!$H3*(1+$C$3)^(CG$8-1)</f>
        <v>4348.8503182983386</v>
      </c>
      <c r="CH39" s="39">
        <f>'Redlands Inputs'!$H3*(1+$C$3)^(CH$8-1)</f>
        <v>4348.8503182983386</v>
      </c>
      <c r="CI39" s="39">
        <f>'Redlands Inputs'!$H3*(1+$C$3)^(CI$8-1)</f>
        <v>4457.5715762557966</v>
      </c>
      <c r="CJ39" s="39">
        <f>'Redlands Inputs'!$H3*(1+$C$3)^(CJ$8-1)</f>
        <v>4457.5715762557966</v>
      </c>
      <c r="CK39" s="39">
        <f>'Redlands Inputs'!$H3*(1+$C$3)^(CK$8-1)</f>
        <v>4457.5715762557966</v>
      </c>
      <c r="CL39" s="39">
        <f>'Redlands Inputs'!$H3*(1+$C$3)^(CL$8-1)</f>
        <v>4457.5715762557966</v>
      </c>
      <c r="CM39" s="39">
        <f>'Redlands Inputs'!$H3*(1+$C$3)^(CM$8-1)</f>
        <v>4457.5715762557966</v>
      </c>
      <c r="CN39" s="39">
        <f>'Redlands Inputs'!$H3*(1+$C$3)^(CN$8-1)</f>
        <v>4457.5715762557966</v>
      </c>
      <c r="CO39" s="39">
        <f>'Redlands Inputs'!$H3*(1+$C$3)^(CO$8-1)</f>
        <v>4457.5715762557966</v>
      </c>
      <c r="CP39" s="39">
        <f>'Redlands Inputs'!$H3*(1+$C$3)^(CP$8-1)</f>
        <v>4457.5715762557966</v>
      </c>
      <c r="CQ39" s="39">
        <f>'Redlands Inputs'!$H3*(1+$C$3)^(CQ$8-1)</f>
        <v>4457.5715762557966</v>
      </c>
      <c r="CR39" s="39">
        <f>'Redlands Inputs'!$H3*(1+$C$3)^(CR$8-1)</f>
        <v>4457.5715762557966</v>
      </c>
      <c r="CS39" s="39">
        <f>'Redlands Inputs'!$H3*(1+$C$3)^(CS$8-1)</f>
        <v>4457.5715762557966</v>
      </c>
      <c r="CT39" s="39">
        <f>'Redlands Inputs'!$H3*(1+$C$3)^(CT$8-1)</f>
        <v>4457.5715762557966</v>
      </c>
      <c r="CU39" s="39">
        <f>'Redlands Inputs'!$H3*(1+$C$3)^(CU$8-1)</f>
        <v>4569.0108656621915</v>
      </c>
      <c r="CV39" s="39">
        <f>'Redlands Inputs'!$H3*(1+$C$3)^(CV$8-1)</f>
        <v>4569.0108656621915</v>
      </c>
      <c r="CW39" s="39">
        <f>'Redlands Inputs'!$H3*(1+$C$3)^(CW$8-1)</f>
        <v>4569.0108656621915</v>
      </c>
      <c r="CX39" s="39">
        <f>'Redlands Inputs'!$H3*(1+$C$3)^(CX$8-1)</f>
        <v>4569.0108656621915</v>
      </c>
      <c r="CY39" s="39">
        <f>'Redlands Inputs'!$H3*(1+$C$3)^(CY$8-1)</f>
        <v>4569.0108656621915</v>
      </c>
      <c r="CZ39" s="39">
        <f>'Redlands Inputs'!$H3*(1+$C$3)^(CZ$8-1)</f>
        <v>4569.0108656621915</v>
      </c>
      <c r="DA39" s="39">
        <f>'Redlands Inputs'!$H3*(1+$C$3)^(DA$8-1)</f>
        <v>4569.0108656621915</v>
      </c>
      <c r="DB39" s="39">
        <f>'Redlands Inputs'!$H3*(1+$C$3)^(DB$8-1)</f>
        <v>4569.0108656621915</v>
      </c>
      <c r="DC39" s="39">
        <f>'Redlands Inputs'!$H3*(1+$C$3)^(DC$8-1)</f>
        <v>4569.0108656621915</v>
      </c>
      <c r="DD39" s="39">
        <f>'Redlands Inputs'!$H3*(1+$C$3)^(DD$8-1)</f>
        <v>4569.0108656621915</v>
      </c>
      <c r="DE39" s="39">
        <f>'Redlands Inputs'!$H3*(1+$C$3)^(DE$8-1)</f>
        <v>4569.0108656621915</v>
      </c>
      <c r="DF39" s="39">
        <f>'Redlands Inputs'!$H3*(1+$C$3)^(DF$8-1)</f>
        <v>4569.0108656621915</v>
      </c>
      <c r="DG39" s="39">
        <f>'Redlands Inputs'!$H3*(1+$C$3)^(DG$8-1)</f>
        <v>4683.2361373037456</v>
      </c>
      <c r="DH39" s="39">
        <f>'Redlands Inputs'!$H3*(1+$C$3)^(DH$8-1)</f>
        <v>4683.2361373037456</v>
      </c>
      <c r="DI39" s="39">
        <f>'Redlands Inputs'!$H3*(1+$C$3)^(DI$8-1)</f>
        <v>4683.2361373037456</v>
      </c>
      <c r="DJ39" s="39">
        <f>'Redlands Inputs'!$H3*(1+$C$3)^(DJ$8-1)</f>
        <v>4683.2361373037456</v>
      </c>
      <c r="DK39" s="39">
        <f>'Redlands Inputs'!$H3*(1+$C$3)^(DK$8-1)</f>
        <v>4683.2361373037456</v>
      </c>
      <c r="DL39" s="39">
        <f>'Redlands Inputs'!$H3*(1+$C$3)^(DL$8-1)</f>
        <v>4683.2361373037456</v>
      </c>
      <c r="DM39" s="39">
        <f>'Redlands Inputs'!$H3*(1+$C$3)^(DM$8-1)</f>
        <v>4683.2361373037456</v>
      </c>
      <c r="DN39" s="39">
        <f>'Redlands Inputs'!$H3*(1+$C$3)^(DN$8-1)</f>
        <v>4683.2361373037456</v>
      </c>
      <c r="DO39" s="39">
        <f>'Redlands Inputs'!$H3*(1+$C$3)^(DO$8-1)</f>
        <v>4683.2361373037456</v>
      </c>
      <c r="DP39" s="39">
        <f>'Redlands Inputs'!$H3*(1+$C$3)^(DP$8-1)</f>
        <v>4683.2361373037456</v>
      </c>
      <c r="DQ39" s="39">
        <f>'Redlands Inputs'!$H3*(1+$C$3)^(DQ$8-1)</f>
        <v>4683.2361373037456</v>
      </c>
      <c r="DR39" s="39">
        <f>'Redlands Inputs'!$H3*(1+$C$3)^(DR$8-1)</f>
        <v>4683.2361373037456</v>
      </c>
      <c r="DS39" s="39">
        <f>'Redlands Inputs'!$H3*(1+$C$3)^(DS$8-1)</f>
        <v>4800.3170407363386</v>
      </c>
      <c r="DT39" s="39">
        <f>'Redlands Inputs'!$H3*(1+$C$3)^(DT$8-1)</f>
        <v>4800.3170407363386</v>
      </c>
      <c r="DU39" s="39">
        <f>'Redlands Inputs'!$H3*(1+$C$3)^(DU$8-1)</f>
        <v>4800.3170407363386</v>
      </c>
      <c r="DV39" s="39">
        <f>'Redlands Inputs'!$H3*(1+$C$3)^(DV$8-1)</f>
        <v>4800.3170407363386</v>
      </c>
      <c r="DW39" s="39">
        <f>'Redlands Inputs'!$H3*(1+$C$3)^(DW$8-1)</f>
        <v>4800.3170407363386</v>
      </c>
      <c r="DX39" s="39">
        <f>'Redlands Inputs'!$H3*(1+$C$3)^(DX$8-1)</f>
        <v>4800.3170407363386</v>
      </c>
      <c r="DY39" s="39">
        <f>'Redlands Inputs'!$H3*(1+$C$3)^(DY$8-1)</f>
        <v>4800.3170407363386</v>
      </c>
      <c r="DZ39" s="39">
        <f>'Redlands Inputs'!$H3*(1+$C$3)^(DZ$8-1)</f>
        <v>4800.3170407363386</v>
      </c>
      <c r="EA39" s="39">
        <f>'Redlands Inputs'!$H3*(1+$C$3)^(EA$8-1)</f>
        <v>4800.3170407363386</v>
      </c>
      <c r="EB39" s="39">
        <f>'Redlands Inputs'!$H3*(1+$C$3)^(EB$8-1)</f>
        <v>4800.3170407363386</v>
      </c>
      <c r="EC39" s="39">
        <f>'Redlands Inputs'!$H3*(1+$C$3)^(EC$8-1)</f>
        <v>4800.3170407363386</v>
      </c>
      <c r="ED39" s="39">
        <f>'Redlands Inputs'!$H3*(1+$C$3)^(ED$8-1)</f>
        <v>4800.3170407363386</v>
      </c>
    </row>
    <row r="40" spans="1:134" ht="19.149999999999999" customHeight="1" x14ac:dyDescent="0.4">
      <c r="A40" s="11" t="s">
        <v>20</v>
      </c>
      <c r="B40" s="11"/>
      <c r="C40" s="49">
        <f>'Redlands Inputs'!$H4</f>
        <v>3750</v>
      </c>
      <c r="D40" s="39">
        <f>'Redlands Inputs'!$H4*(1+$C$3)^(D$8-1)</f>
        <v>3750</v>
      </c>
      <c r="E40" s="39">
        <f>'Redlands Inputs'!$H4*(1+$C$3)^(E$8-1)</f>
        <v>3750</v>
      </c>
      <c r="F40" s="39">
        <f>'Redlands Inputs'!$H4*(1+$C$3)^(F$8-1)</f>
        <v>3750</v>
      </c>
      <c r="G40" s="39">
        <f>'Redlands Inputs'!$H4*(1+$C$3)^(G$8-1)</f>
        <v>3750</v>
      </c>
      <c r="H40" s="39">
        <f>'Redlands Inputs'!$H4*(1+$C$3)^(H$8-1)</f>
        <v>3750</v>
      </c>
      <c r="I40" s="39">
        <f>'Redlands Inputs'!$H4*(1+$C$3)^(I$8-1)</f>
        <v>3750</v>
      </c>
      <c r="J40" s="39">
        <f>'Redlands Inputs'!$H4*(1+$C$3)^(J$8-1)</f>
        <v>3750</v>
      </c>
      <c r="K40" s="39">
        <f>'Redlands Inputs'!$H4*(1+$C$3)^(K$8-1)</f>
        <v>3750</v>
      </c>
      <c r="L40" s="39">
        <f>'Redlands Inputs'!$H4*(1+$C$3)^(L$8-1)</f>
        <v>3750</v>
      </c>
      <c r="M40" s="39">
        <f>'Redlands Inputs'!$H4*(1+$C$3)^(M$8-1)</f>
        <v>3750</v>
      </c>
      <c r="N40" s="39">
        <f>'Redlands Inputs'!$H4*(1+$C$3)^(N$8-1)</f>
        <v>3750</v>
      </c>
      <c r="O40" s="39">
        <f>'Redlands Inputs'!$H4*(1+$C$3)^(O$8-1)</f>
        <v>3843.7499999999995</v>
      </c>
      <c r="P40" s="39">
        <f>'Redlands Inputs'!$H4*(1+$C$3)^(P$8-1)</f>
        <v>3843.7499999999995</v>
      </c>
      <c r="Q40" s="39">
        <f>'Redlands Inputs'!$H4*(1+$C$3)^(Q$8-1)</f>
        <v>3843.7499999999995</v>
      </c>
      <c r="R40" s="39">
        <f>'Redlands Inputs'!$H4*(1+$C$3)^(R$8-1)</f>
        <v>3843.7499999999995</v>
      </c>
      <c r="S40" s="39">
        <f>'Redlands Inputs'!$H4*(1+$C$3)^(S$8-1)</f>
        <v>3843.7499999999995</v>
      </c>
      <c r="T40" s="39">
        <f>'Redlands Inputs'!$H4*(1+$C$3)^(T$8-1)</f>
        <v>3843.7499999999995</v>
      </c>
      <c r="U40" s="39">
        <f>'Redlands Inputs'!$H4*(1+$C$3)^(U$8-1)</f>
        <v>3843.7499999999995</v>
      </c>
      <c r="V40" s="39">
        <f>'Redlands Inputs'!$H4*(1+$C$3)^(V$8-1)</f>
        <v>3843.7499999999995</v>
      </c>
      <c r="W40" s="39">
        <f>'Redlands Inputs'!$H4*(1+$C$3)^(W$8-1)</f>
        <v>3843.7499999999995</v>
      </c>
      <c r="X40" s="39">
        <f>'Redlands Inputs'!$H4*(1+$C$3)^(X$8-1)</f>
        <v>3843.7499999999995</v>
      </c>
      <c r="Y40" s="39">
        <f>'Redlands Inputs'!$H4*(1+$C$3)^(Y$8-1)</f>
        <v>3843.7499999999995</v>
      </c>
      <c r="Z40" s="39">
        <f>'Redlands Inputs'!$H4*(1+$C$3)^(Z$8-1)</f>
        <v>3843.7499999999995</v>
      </c>
      <c r="AA40" s="39">
        <f>'Redlands Inputs'!$H4*(1+$C$3)^(AA$8-1)</f>
        <v>3939.8437499999995</v>
      </c>
      <c r="AB40" s="39">
        <f>'Redlands Inputs'!$H4*(1+$C$3)^(AB$8-1)</f>
        <v>3939.8437499999995</v>
      </c>
      <c r="AC40" s="39">
        <f>'Redlands Inputs'!$H4*(1+$C$3)^(AC$8-1)</f>
        <v>3939.8437499999995</v>
      </c>
      <c r="AD40" s="39">
        <f>'Redlands Inputs'!$H4*(1+$C$3)^(AD$8-1)</f>
        <v>3939.8437499999995</v>
      </c>
      <c r="AE40" s="39">
        <f>'Redlands Inputs'!$H4*(1+$C$3)^(AE$8-1)</f>
        <v>3939.8437499999995</v>
      </c>
      <c r="AF40" s="39">
        <f>'Redlands Inputs'!$H4*(1+$C$3)^(AF$8-1)</f>
        <v>3939.8437499999995</v>
      </c>
      <c r="AG40" s="39">
        <f>'Redlands Inputs'!$H4*(1+$C$3)^(AG$8-1)</f>
        <v>3939.8437499999995</v>
      </c>
      <c r="AH40" s="39">
        <f>'Redlands Inputs'!$H4*(1+$C$3)^(AH$8-1)</f>
        <v>3939.8437499999995</v>
      </c>
      <c r="AI40" s="39">
        <f>'Redlands Inputs'!$H4*(1+$C$3)^(AI$8-1)</f>
        <v>3939.8437499999995</v>
      </c>
      <c r="AJ40" s="39">
        <f>'Redlands Inputs'!$H4*(1+$C$3)^(AJ$8-1)</f>
        <v>3939.8437499999995</v>
      </c>
      <c r="AK40" s="39">
        <f>'Redlands Inputs'!$H4*(1+$C$3)^(AK$8-1)</f>
        <v>3939.8437499999995</v>
      </c>
      <c r="AL40" s="39">
        <f>'Redlands Inputs'!$H4*(1+$C$3)^(AL$8-1)</f>
        <v>3939.8437499999995</v>
      </c>
      <c r="AM40" s="39">
        <f>'Redlands Inputs'!$H4*(1+$C$3)^(AM$8-1)</f>
        <v>4038.3398437499995</v>
      </c>
      <c r="AN40" s="39">
        <f>'Redlands Inputs'!$H4*(1+$C$3)^(AN$8-1)</f>
        <v>4038.3398437499995</v>
      </c>
      <c r="AO40" s="39">
        <f>'Redlands Inputs'!$H4*(1+$C$3)^(AO$8-1)</f>
        <v>4038.3398437499995</v>
      </c>
      <c r="AP40" s="39">
        <f>'Redlands Inputs'!$H4*(1+$C$3)^(AP$8-1)</f>
        <v>4038.3398437499995</v>
      </c>
      <c r="AQ40" s="39">
        <f>'Redlands Inputs'!$H4*(1+$C$3)^(AQ$8-1)</f>
        <v>4038.3398437499995</v>
      </c>
      <c r="AR40" s="39">
        <f>'Redlands Inputs'!$H4*(1+$C$3)^(AR$8-1)</f>
        <v>4038.3398437499995</v>
      </c>
      <c r="AS40" s="39">
        <f>'Redlands Inputs'!$H4*(1+$C$3)^(AS$8-1)</f>
        <v>4038.3398437499995</v>
      </c>
      <c r="AT40" s="39">
        <f>'Redlands Inputs'!$H4*(1+$C$3)^(AT$8-1)</f>
        <v>4038.3398437499995</v>
      </c>
      <c r="AU40" s="39">
        <f>'Redlands Inputs'!$H4*(1+$C$3)^(AU$8-1)</f>
        <v>4038.3398437499995</v>
      </c>
      <c r="AV40" s="39">
        <f>'Redlands Inputs'!$H4*(1+$C$3)^(AV$8-1)</f>
        <v>4038.3398437499995</v>
      </c>
      <c r="AW40" s="39">
        <f>'Redlands Inputs'!$H4*(1+$C$3)^(AW$8-1)</f>
        <v>4038.3398437499995</v>
      </c>
      <c r="AX40" s="39">
        <f>'Redlands Inputs'!$H4*(1+$C$3)^(AX$8-1)</f>
        <v>4038.3398437499995</v>
      </c>
      <c r="AY40" s="39">
        <f>'Redlands Inputs'!$H4*(1+$C$3)^(AY$8-1)</f>
        <v>4139.2983398437491</v>
      </c>
      <c r="AZ40" s="39">
        <f>'Redlands Inputs'!$H4*(1+$C$3)^(AZ$8-1)</f>
        <v>4139.2983398437491</v>
      </c>
      <c r="BA40" s="39">
        <f>'Redlands Inputs'!$H4*(1+$C$3)^(BA$8-1)</f>
        <v>4139.2983398437491</v>
      </c>
      <c r="BB40" s="39">
        <f>'Redlands Inputs'!$H4*(1+$C$3)^(BB$8-1)</f>
        <v>4139.2983398437491</v>
      </c>
      <c r="BC40" s="39">
        <f>'Redlands Inputs'!$H4*(1+$C$3)^(BC$8-1)</f>
        <v>4139.2983398437491</v>
      </c>
      <c r="BD40" s="39">
        <f>'Redlands Inputs'!$H4*(1+$C$3)^(BD$8-1)</f>
        <v>4139.2983398437491</v>
      </c>
      <c r="BE40" s="39">
        <f>'Redlands Inputs'!$H4*(1+$C$3)^(BE$8-1)</f>
        <v>4139.2983398437491</v>
      </c>
      <c r="BF40" s="39">
        <f>'Redlands Inputs'!$H4*(1+$C$3)^(BF$8-1)</f>
        <v>4139.2983398437491</v>
      </c>
      <c r="BG40" s="39">
        <f>'Redlands Inputs'!$H4*(1+$C$3)^(BG$8-1)</f>
        <v>4139.2983398437491</v>
      </c>
      <c r="BH40" s="39">
        <f>'Redlands Inputs'!$H4*(1+$C$3)^(BH$8-1)</f>
        <v>4139.2983398437491</v>
      </c>
      <c r="BI40" s="39">
        <f>'Redlands Inputs'!$H4*(1+$C$3)^(BI$8-1)</f>
        <v>4139.2983398437491</v>
      </c>
      <c r="BJ40" s="39">
        <f>'Redlands Inputs'!$H4*(1+$C$3)^(BJ$8-1)</f>
        <v>4139.2983398437491</v>
      </c>
      <c r="BK40" s="39">
        <f>'Redlands Inputs'!$H4*(1+$C$3)^(BK$8-1)</f>
        <v>4242.7807983398425</v>
      </c>
      <c r="BL40" s="39">
        <f>'Redlands Inputs'!$H4*(1+$C$3)^(BL$8-1)</f>
        <v>4242.7807983398425</v>
      </c>
      <c r="BM40" s="39">
        <f>'Redlands Inputs'!$H4*(1+$C$3)^(BM$8-1)</f>
        <v>4242.7807983398425</v>
      </c>
      <c r="BN40" s="39">
        <f>'Redlands Inputs'!$H4*(1+$C$3)^(BN$8-1)</f>
        <v>4242.7807983398425</v>
      </c>
      <c r="BO40" s="39">
        <f>'Redlands Inputs'!$H4*(1+$C$3)^(BO$8-1)</f>
        <v>4242.7807983398425</v>
      </c>
      <c r="BP40" s="39">
        <f>'Redlands Inputs'!$H4*(1+$C$3)^(BP$8-1)</f>
        <v>4242.7807983398425</v>
      </c>
      <c r="BQ40" s="39">
        <f>'Redlands Inputs'!$H4*(1+$C$3)^(BQ$8-1)</f>
        <v>4242.7807983398425</v>
      </c>
      <c r="BR40" s="39">
        <f>'Redlands Inputs'!$H4*(1+$C$3)^(BR$8-1)</f>
        <v>4242.7807983398425</v>
      </c>
      <c r="BS40" s="39">
        <f>'Redlands Inputs'!$H4*(1+$C$3)^(BS$8-1)</f>
        <v>4242.7807983398425</v>
      </c>
      <c r="BT40" s="39">
        <f>'Redlands Inputs'!$H4*(1+$C$3)^(BT$8-1)</f>
        <v>4242.7807983398425</v>
      </c>
      <c r="BU40" s="39">
        <f>'Redlands Inputs'!$H4*(1+$C$3)^(BU$8-1)</f>
        <v>4242.7807983398425</v>
      </c>
      <c r="BV40" s="39">
        <f>'Redlands Inputs'!$H4*(1+$C$3)^(BV$8-1)</f>
        <v>4242.7807983398425</v>
      </c>
      <c r="BW40" s="39">
        <f>'Redlands Inputs'!$H4*(1+$C$3)^(BW$8-1)</f>
        <v>4348.8503182983386</v>
      </c>
      <c r="BX40" s="39">
        <f>'Redlands Inputs'!$H4*(1+$C$3)^(BX$8-1)</f>
        <v>4348.8503182983386</v>
      </c>
      <c r="BY40" s="39">
        <f>'Redlands Inputs'!$H4*(1+$C$3)^(BY$8-1)</f>
        <v>4348.8503182983386</v>
      </c>
      <c r="BZ40" s="39">
        <f>'Redlands Inputs'!$H4*(1+$C$3)^(BZ$8-1)</f>
        <v>4348.8503182983386</v>
      </c>
      <c r="CA40" s="39">
        <f>'Redlands Inputs'!$H4*(1+$C$3)^(CA$8-1)</f>
        <v>4348.8503182983386</v>
      </c>
      <c r="CB40" s="39">
        <f>'Redlands Inputs'!$H4*(1+$C$3)^(CB$8-1)</f>
        <v>4348.8503182983386</v>
      </c>
      <c r="CC40" s="39">
        <f>'Redlands Inputs'!$H4*(1+$C$3)^(CC$8-1)</f>
        <v>4348.8503182983386</v>
      </c>
      <c r="CD40" s="39">
        <f>'Redlands Inputs'!$H4*(1+$C$3)^(CD$8-1)</f>
        <v>4348.8503182983386</v>
      </c>
      <c r="CE40" s="39">
        <f>'Redlands Inputs'!$H4*(1+$C$3)^(CE$8-1)</f>
        <v>4348.8503182983386</v>
      </c>
      <c r="CF40" s="39">
        <f>'Redlands Inputs'!$H4*(1+$C$3)^(CF$8-1)</f>
        <v>4348.8503182983386</v>
      </c>
      <c r="CG40" s="39">
        <f>'Redlands Inputs'!$H4*(1+$C$3)^(CG$8-1)</f>
        <v>4348.8503182983386</v>
      </c>
      <c r="CH40" s="39">
        <f>'Redlands Inputs'!$H4*(1+$C$3)^(CH$8-1)</f>
        <v>4348.8503182983386</v>
      </c>
      <c r="CI40" s="39">
        <f>'Redlands Inputs'!$H4*(1+$C$3)^(CI$8-1)</f>
        <v>4457.5715762557966</v>
      </c>
      <c r="CJ40" s="39">
        <f>'Redlands Inputs'!$H4*(1+$C$3)^(CJ$8-1)</f>
        <v>4457.5715762557966</v>
      </c>
      <c r="CK40" s="39">
        <f>'Redlands Inputs'!$H4*(1+$C$3)^(CK$8-1)</f>
        <v>4457.5715762557966</v>
      </c>
      <c r="CL40" s="39">
        <f>'Redlands Inputs'!$H4*(1+$C$3)^(CL$8-1)</f>
        <v>4457.5715762557966</v>
      </c>
      <c r="CM40" s="39">
        <f>'Redlands Inputs'!$H4*(1+$C$3)^(CM$8-1)</f>
        <v>4457.5715762557966</v>
      </c>
      <c r="CN40" s="39">
        <f>'Redlands Inputs'!$H4*(1+$C$3)^(CN$8-1)</f>
        <v>4457.5715762557966</v>
      </c>
      <c r="CO40" s="39">
        <f>'Redlands Inputs'!$H4*(1+$C$3)^(CO$8-1)</f>
        <v>4457.5715762557966</v>
      </c>
      <c r="CP40" s="39">
        <f>'Redlands Inputs'!$H4*(1+$C$3)^(CP$8-1)</f>
        <v>4457.5715762557966</v>
      </c>
      <c r="CQ40" s="39">
        <f>'Redlands Inputs'!$H4*(1+$C$3)^(CQ$8-1)</f>
        <v>4457.5715762557966</v>
      </c>
      <c r="CR40" s="39">
        <f>'Redlands Inputs'!$H4*(1+$C$3)^(CR$8-1)</f>
        <v>4457.5715762557966</v>
      </c>
      <c r="CS40" s="39">
        <f>'Redlands Inputs'!$H4*(1+$C$3)^(CS$8-1)</f>
        <v>4457.5715762557966</v>
      </c>
      <c r="CT40" s="39">
        <f>'Redlands Inputs'!$H4*(1+$C$3)^(CT$8-1)</f>
        <v>4457.5715762557966</v>
      </c>
      <c r="CU40" s="39">
        <f>'Redlands Inputs'!$H4*(1+$C$3)^(CU$8-1)</f>
        <v>4569.0108656621915</v>
      </c>
      <c r="CV40" s="39">
        <f>'Redlands Inputs'!$H4*(1+$C$3)^(CV$8-1)</f>
        <v>4569.0108656621915</v>
      </c>
      <c r="CW40" s="39">
        <f>'Redlands Inputs'!$H4*(1+$C$3)^(CW$8-1)</f>
        <v>4569.0108656621915</v>
      </c>
      <c r="CX40" s="39">
        <f>'Redlands Inputs'!$H4*(1+$C$3)^(CX$8-1)</f>
        <v>4569.0108656621915</v>
      </c>
      <c r="CY40" s="39">
        <f>'Redlands Inputs'!$H4*(1+$C$3)^(CY$8-1)</f>
        <v>4569.0108656621915</v>
      </c>
      <c r="CZ40" s="39">
        <f>'Redlands Inputs'!$H4*(1+$C$3)^(CZ$8-1)</f>
        <v>4569.0108656621915</v>
      </c>
      <c r="DA40" s="39">
        <f>'Redlands Inputs'!$H4*(1+$C$3)^(DA$8-1)</f>
        <v>4569.0108656621915</v>
      </c>
      <c r="DB40" s="39">
        <f>'Redlands Inputs'!$H4*(1+$C$3)^(DB$8-1)</f>
        <v>4569.0108656621915</v>
      </c>
      <c r="DC40" s="39">
        <f>'Redlands Inputs'!$H4*(1+$C$3)^(DC$8-1)</f>
        <v>4569.0108656621915</v>
      </c>
      <c r="DD40" s="39">
        <f>'Redlands Inputs'!$H4*(1+$C$3)^(DD$8-1)</f>
        <v>4569.0108656621915</v>
      </c>
      <c r="DE40" s="39">
        <f>'Redlands Inputs'!$H4*(1+$C$3)^(DE$8-1)</f>
        <v>4569.0108656621915</v>
      </c>
      <c r="DF40" s="39">
        <f>'Redlands Inputs'!$H4*(1+$C$3)^(DF$8-1)</f>
        <v>4569.0108656621915</v>
      </c>
      <c r="DG40" s="39">
        <f>'Redlands Inputs'!$H4*(1+$C$3)^(DG$8-1)</f>
        <v>4683.2361373037456</v>
      </c>
      <c r="DH40" s="39">
        <f>'Redlands Inputs'!$H4*(1+$C$3)^(DH$8-1)</f>
        <v>4683.2361373037456</v>
      </c>
      <c r="DI40" s="39">
        <f>'Redlands Inputs'!$H4*(1+$C$3)^(DI$8-1)</f>
        <v>4683.2361373037456</v>
      </c>
      <c r="DJ40" s="39">
        <f>'Redlands Inputs'!$H4*(1+$C$3)^(DJ$8-1)</f>
        <v>4683.2361373037456</v>
      </c>
      <c r="DK40" s="39">
        <f>'Redlands Inputs'!$H4*(1+$C$3)^(DK$8-1)</f>
        <v>4683.2361373037456</v>
      </c>
      <c r="DL40" s="39">
        <f>'Redlands Inputs'!$H4*(1+$C$3)^(DL$8-1)</f>
        <v>4683.2361373037456</v>
      </c>
      <c r="DM40" s="39">
        <f>'Redlands Inputs'!$H4*(1+$C$3)^(DM$8-1)</f>
        <v>4683.2361373037456</v>
      </c>
      <c r="DN40" s="39">
        <f>'Redlands Inputs'!$H4*(1+$C$3)^(DN$8-1)</f>
        <v>4683.2361373037456</v>
      </c>
      <c r="DO40" s="39">
        <f>'Redlands Inputs'!$H4*(1+$C$3)^(DO$8-1)</f>
        <v>4683.2361373037456</v>
      </c>
      <c r="DP40" s="39">
        <f>'Redlands Inputs'!$H4*(1+$C$3)^(DP$8-1)</f>
        <v>4683.2361373037456</v>
      </c>
      <c r="DQ40" s="39">
        <f>'Redlands Inputs'!$H4*(1+$C$3)^(DQ$8-1)</f>
        <v>4683.2361373037456</v>
      </c>
      <c r="DR40" s="39">
        <f>'Redlands Inputs'!$H4*(1+$C$3)^(DR$8-1)</f>
        <v>4683.2361373037456</v>
      </c>
      <c r="DS40" s="39">
        <f>'Redlands Inputs'!$H4*(1+$C$3)^(DS$8-1)</f>
        <v>4800.3170407363386</v>
      </c>
      <c r="DT40" s="39">
        <f>'Redlands Inputs'!$H4*(1+$C$3)^(DT$8-1)</f>
        <v>4800.3170407363386</v>
      </c>
      <c r="DU40" s="39">
        <f>'Redlands Inputs'!$H4*(1+$C$3)^(DU$8-1)</f>
        <v>4800.3170407363386</v>
      </c>
      <c r="DV40" s="39">
        <f>'Redlands Inputs'!$H4*(1+$C$3)^(DV$8-1)</f>
        <v>4800.3170407363386</v>
      </c>
      <c r="DW40" s="39">
        <f>'Redlands Inputs'!$H4*(1+$C$3)^(DW$8-1)</f>
        <v>4800.3170407363386</v>
      </c>
      <c r="DX40" s="39">
        <f>'Redlands Inputs'!$H4*(1+$C$3)^(DX$8-1)</f>
        <v>4800.3170407363386</v>
      </c>
      <c r="DY40" s="39">
        <f>'Redlands Inputs'!$H4*(1+$C$3)^(DY$8-1)</f>
        <v>4800.3170407363386</v>
      </c>
      <c r="DZ40" s="39">
        <f>'Redlands Inputs'!$H4*(1+$C$3)^(DZ$8-1)</f>
        <v>4800.3170407363386</v>
      </c>
      <c r="EA40" s="39">
        <f>'Redlands Inputs'!$H4*(1+$C$3)^(EA$8-1)</f>
        <v>4800.3170407363386</v>
      </c>
      <c r="EB40" s="39">
        <f>'Redlands Inputs'!$H4*(1+$C$3)^(EB$8-1)</f>
        <v>4800.3170407363386</v>
      </c>
      <c r="EC40" s="39">
        <f>'Redlands Inputs'!$H4*(1+$C$3)^(EC$8-1)</f>
        <v>4800.3170407363386</v>
      </c>
      <c r="ED40" s="39">
        <f>'Redlands Inputs'!$H4*(1+$C$3)^(ED$8-1)</f>
        <v>4800.3170407363386</v>
      </c>
    </row>
    <row r="41" spans="1:134" ht="19.149999999999999" customHeight="1" x14ac:dyDescent="0.4">
      <c r="A41" s="11" t="s">
        <v>21</v>
      </c>
      <c r="B41" s="11"/>
      <c r="C41" s="49">
        <f>'Redlands Inputs'!$H5</f>
        <v>1666.6666666666667</v>
      </c>
      <c r="D41" s="39">
        <f>'Redlands Inputs'!$H5*(1+$C$3)^(D$8-1)</f>
        <v>1666.6666666666667</v>
      </c>
      <c r="E41" s="39">
        <f>'Redlands Inputs'!$H5*(1+$C$3)^(E$8-1)</f>
        <v>1666.6666666666667</v>
      </c>
      <c r="F41" s="39">
        <f>'Redlands Inputs'!$H5*(1+$C$3)^(F$8-1)</f>
        <v>1666.6666666666667</v>
      </c>
      <c r="G41" s="39">
        <f>'Redlands Inputs'!$H5*(1+$C$3)^(G$8-1)</f>
        <v>1666.6666666666667</v>
      </c>
      <c r="H41" s="39">
        <f>'Redlands Inputs'!$H5*(1+$C$3)^(H$8-1)</f>
        <v>1666.6666666666667</v>
      </c>
      <c r="I41" s="39">
        <f>'Redlands Inputs'!$H5*(1+$C$3)^(I$8-1)</f>
        <v>1666.6666666666667</v>
      </c>
      <c r="J41" s="39">
        <f>'Redlands Inputs'!$H5*(1+$C$3)^(J$8-1)</f>
        <v>1666.6666666666667</v>
      </c>
      <c r="K41" s="39">
        <f>'Redlands Inputs'!$H5*(1+$C$3)^(K$8-1)</f>
        <v>1666.6666666666667</v>
      </c>
      <c r="L41" s="39">
        <f>'Redlands Inputs'!$H5*(1+$C$3)^(L$8-1)</f>
        <v>1666.6666666666667</v>
      </c>
      <c r="M41" s="39">
        <f>'Redlands Inputs'!$H5*(1+$C$3)^(M$8-1)</f>
        <v>1666.6666666666667</v>
      </c>
      <c r="N41" s="39">
        <f>'Redlands Inputs'!$H5*(1+$C$3)^(N$8-1)</f>
        <v>1666.6666666666667</v>
      </c>
      <c r="O41" s="39">
        <f>'Redlands Inputs'!$H5*(1+$C$3)^(O$8-1)</f>
        <v>1708.3333333333333</v>
      </c>
      <c r="P41" s="39">
        <f>'Redlands Inputs'!$H5*(1+$C$3)^(P$8-1)</f>
        <v>1708.3333333333333</v>
      </c>
      <c r="Q41" s="39">
        <f>'Redlands Inputs'!$H5*(1+$C$3)^(Q$8-1)</f>
        <v>1708.3333333333333</v>
      </c>
      <c r="R41" s="39">
        <f>'Redlands Inputs'!$H5*(1+$C$3)^(R$8-1)</f>
        <v>1708.3333333333333</v>
      </c>
      <c r="S41" s="39">
        <f>'Redlands Inputs'!$H5*(1+$C$3)^(S$8-1)</f>
        <v>1708.3333333333333</v>
      </c>
      <c r="T41" s="39">
        <f>'Redlands Inputs'!$H5*(1+$C$3)^(T$8-1)</f>
        <v>1708.3333333333333</v>
      </c>
      <c r="U41" s="39">
        <f>'Redlands Inputs'!$H5*(1+$C$3)^(U$8-1)</f>
        <v>1708.3333333333333</v>
      </c>
      <c r="V41" s="39">
        <f>'Redlands Inputs'!$H5*(1+$C$3)^(V$8-1)</f>
        <v>1708.3333333333333</v>
      </c>
      <c r="W41" s="39">
        <f>'Redlands Inputs'!$H5*(1+$C$3)^(W$8-1)</f>
        <v>1708.3333333333333</v>
      </c>
      <c r="X41" s="39">
        <f>'Redlands Inputs'!$H5*(1+$C$3)^(X$8-1)</f>
        <v>1708.3333333333333</v>
      </c>
      <c r="Y41" s="39">
        <f>'Redlands Inputs'!$H5*(1+$C$3)^(Y$8-1)</f>
        <v>1708.3333333333333</v>
      </c>
      <c r="Z41" s="39">
        <f>'Redlands Inputs'!$H5*(1+$C$3)^(Z$8-1)</f>
        <v>1708.3333333333333</v>
      </c>
      <c r="AA41" s="39">
        <f>'Redlands Inputs'!$H5*(1+$C$3)^(AA$8-1)</f>
        <v>1751.0416666666665</v>
      </c>
      <c r="AB41" s="39">
        <f>'Redlands Inputs'!$H5*(1+$C$3)^(AB$8-1)</f>
        <v>1751.0416666666665</v>
      </c>
      <c r="AC41" s="39">
        <f>'Redlands Inputs'!$H5*(1+$C$3)^(AC$8-1)</f>
        <v>1751.0416666666665</v>
      </c>
      <c r="AD41" s="39">
        <f>'Redlands Inputs'!$H5*(1+$C$3)^(AD$8-1)</f>
        <v>1751.0416666666665</v>
      </c>
      <c r="AE41" s="39">
        <f>'Redlands Inputs'!$H5*(1+$C$3)^(AE$8-1)</f>
        <v>1751.0416666666665</v>
      </c>
      <c r="AF41" s="39">
        <f>'Redlands Inputs'!$H5*(1+$C$3)^(AF$8-1)</f>
        <v>1751.0416666666665</v>
      </c>
      <c r="AG41" s="39">
        <f>'Redlands Inputs'!$H5*(1+$C$3)^(AG$8-1)</f>
        <v>1751.0416666666665</v>
      </c>
      <c r="AH41" s="39">
        <f>'Redlands Inputs'!$H5*(1+$C$3)^(AH$8-1)</f>
        <v>1751.0416666666665</v>
      </c>
      <c r="AI41" s="39">
        <f>'Redlands Inputs'!$H5*(1+$C$3)^(AI$8-1)</f>
        <v>1751.0416666666665</v>
      </c>
      <c r="AJ41" s="39">
        <f>'Redlands Inputs'!$H5*(1+$C$3)^(AJ$8-1)</f>
        <v>1751.0416666666665</v>
      </c>
      <c r="AK41" s="39">
        <f>'Redlands Inputs'!$H5*(1+$C$3)^(AK$8-1)</f>
        <v>1751.0416666666665</v>
      </c>
      <c r="AL41" s="39">
        <f>'Redlands Inputs'!$H5*(1+$C$3)^(AL$8-1)</f>
        <v>1751.0416666666665</v>
      </c>
      <c r="AM41" s="39">
        <f>'Redlands Inputs'!$H5*(1+$C$3)^(AM$8-1)</f>
        <v>1794.8177083333333</v>
      </c>
      <c r="AN41" s="39">
        <f>'Redlands Inputs'!$H5*(1+$C$3)^(AN$8-1)</f>
        <v>1794.8177083333333</v>
      </c>
      <c r="AO41" s="39">
        <f>'Redlands Inputs'!$H5*(1+$C$3)^(AO$8-1)</f>
        <v>1794.8177083333333</v>
      </c>
      <c r="AP41" s="39">
        <f>'Redlands Inputs'!$H5*(1+$C$3)^(AP$8-1)</f>
        <v>1794.8177083333333</v>
      </c>
      <c r="AQ41" s="39">
        <f>'Redlands Inputs'!$H5*(1+$C$3)^(AQ$8-1)</f>
        <v>1794.8177083333333</v>
      </c>
      <c r="AR41" s="39">
        <f>'Redlands Inputs'!$H5*(1+$C$3)^(AR$8-1)</f>
        <v>1794.8177083333333</v>
      </c>
      <c r="AS41" s="39">
        <f>'Redlands Inputs'!$H5*(1+$C$3)^(AS$8-1)</f>
        <v>1794.8177083333333</v>
      </c>
      <c r="AT41" s="39">
        <f>'Redlands Inputs'!$H5*(1+$C$3)^(AT$8-1)</f>
        <v>1794.8177083333333</v>
      </c>
      <c r="AU41" s="39">
        <f>'Redlands Inputs'!$H5*(1+$C$3)^(AU$8-1)</f>
        <v>1794.8177083333333</v>
      </c>
      <c r="AV41" s="39">
        <f>'Redlands Inputs'!$H5*(1+$C$3)^(AV$8-1)</f>
        <v>1794.8177083333333</v>
      </c>
      <c r="AW41" s="39">
        <f>'Redlands Inputs'!$H5*(1+$C$3)^(AW$8-1)</f>
        <v>1794.8177083333333</v>
      </c>
      <c r="AX41" s="39">
        <f>'Redlands Inputs'!$H5*(1+$C$3)^(AX$8-1)</f>
        <v>1794.8177083333333</v>
      </c>
      <c r="AY41" s="39">
        <f>'Redlands Inputs'!$H5*(1+$C$3)^(AY$8-1)</f>
        <v>1839.6881510416663</v>
      </c>
      <c r="AZ41" s="39">
        <f>'Redlands Inputs'!$H5*(1+$C$3)^(AZ$8-1)</f>
        <v>1839.6881510416663</v>
      </c>
      <c r="BA41" s="39">
        <f>'Redlands Inputs'!$H5*(1+$C$3)^(BA$8-1)</f>
        <v>1839.6881510416663</v>
      </c>
      <c r="BB41" s="39">
        <f>'Redlands Inputs'!$H5*(1+$C$3)^(BB$8-1)</f>
        <v>1839.6881510416663</v>
      </c>
      <c r="BC41" s="39">
        <f>'Redlands Inputs'!$H5*(1+$C$3)^(BC$8-1)</f>
        <v>1839.6881510416663</v>
      </c>
      <c r="BD41" s="39">
        <f>'Redlands Inputs'!$H5*(1+$C$3)^(BD$8-1)</f>
        <v>1839.6881510416663</v>
      </c>
      <c r="BE41" s="39">
        <f>'Redlands Inputs'!$H5*(1+$C$3)^(BE$8-1)</f>
        <v>1839.6881510416663</v>
      </c>
      <c r="BF41" s="39">
        <f>'Redlands Inputs'!$H5*(1+$C$3)^(BF$8-1)</f>
        <v>1839.6881510416663</v>
      </c>
      <c r="BG41" s="39">
        <f>'Redlands Inputs'!$H5*(1+$C$3)^(BG$8-1)</f>
        <v>1839.6881510416663</v>
      </c>
      <c r="BH41" s="39">
        <f>'Redlands Inputs'!$H5*(1+$C$3)^(BH$8-1)</f>
        <v>1839.6881510416663</v>
      </c>
      <c r="BI41" s="39">
        <f>'Redlands Inputs'!$H5*(1+$C$3)^(BI$8-1)</f>
        <v>1839.6881510416663</v>
      </c>
      <c r="BJ41" s="39">
        <f>'Redlands Inputs'!$H5*(1+$C$3)^(BJ$8-1)</f>
        <v>1839.6881510416663</v>
      </c>
      <c r="BK41" s="39">
        <f>'Redlands Inputs'!$H5*(1+$C$3)^(BK$8-1)</f>
        <v>1885.6803548177079</v>
      </c>
      <c r="BL41" s="39">
        <f>'Redlands Inputs'!$H5*(1+$C$3)^(BL$8-1)</f>
        <v>1885.6803548177079</v>
      </c>
      <c r="BM41" s="39">
        <f>'Redlands Inputs'!$H5*(1+$C$3)^(BM$8-1)</f>
        <v>1885.6803548177079</v>
      </c>
      <c r="BN41" s="39">
        <f>'Redlands Inputs'!$H5*(1+$C$3)^(BN$8-1)</f>
        <v>1885.6803548177079</v>
      </c>
      <c r="BO41" s="39">
        <f>'Redlands Inputs'!$H5*(1+$C$3)^(BO$8-1)</f>
        <v>1885.6803548177079</v>
      </c>
      <c r="BP41" s="39">
        <f>'Redlands Inputs'!$H5*(1+$C$3)^(BP$8-1)</f>
        <v>1885.6803548177079</v>
      </c>
      <c r="BQ41" s="39">
        <f>'Redlands Inputs'!$H5*(1+$C$3)^(BQ$8-1)</f>
        <v>1885.6803548177079</v>
      </c>
      <c r="BR41" s="39">
        <f>'Redlands Inputs'!$H5*(1+$C$3)^(BR$8-1)</f>
        <v>1885.6803548177079</v>
      </c>
      <c r="BS41" s="39">
        <f>'Redlands Inputs'!$H5*(1+$C$3)^(BS$8-1)</f>
        <v>1885.6803548177079</v>
      </c>
      <c r="BT41" s="39">
        <f>'Redlands Inputs'!$H5*(1+$C$3)^(BT$8-1)</f>
        <v>1885.6803548177079</v>
      </c>
      <c r="BU41" s="39">
        <f>'Redlands Inputs'!$H5*(1+$C$3)^(BU$8-1)</f>
        <v>1885.6803548177079</v>
      </c>
      <c r="BV41" s="39">
        <f>'Redlands Inputs'!$H5*(1+$C$3)^(BV$8-1)</f>
        <v>1885.6803548177079</v>
      </c>
      <c r="BW41" s="39">
        <f>'Redlands Inputs'!$H5*(1+$C$3)^(BW$8-1)</f>
        <v>1932.8223636881503</v>
      </c>
      <c r="BX41" s="39">
        <f>'Redlands Inputs'!$H5*(1+$C$3)^(BX$8-1)</f>
        <v>1932.8223636881503</v>
      </c>
      <c r="BY41" s="39">
        <f>'Redlands Inputs'!$H5*(1+$C$3)^(BY$8-1)</f>
        <v>1932.8223636881503</v>
      </c>
      <c r="BZ41" s="39">
        <f>'Redlands Inputs'!$H5*(1+$C$3)^(BZ$8-1)</f>
        <v>1932.8223636881503</v>
      </c>
      <c r="CA41" s="39">
        <f>'Redlands Inputs'!$H5*(1+$C$3)^(CA$8-1)</f>
        <v>1932.8223636881503</v>
      </c>
      <c r="CB41" s="39">
        <f>'Redlands Inputs'!$H5*(1+$C$3)^(CB$8-1)</f>
        <v>1932.8223636881503</v>
      </c>
      <c r="CC41" s="39">
        <f>'Redlands Inputs'!$H5*(1+$C$3)^(CC$8-1)</f>
        <v>1932.8223636881503</v>
      </c>
      <c r="CD41" s="39">
        <f>'Redlands Inputs'!$H5*(1+$C$3)^(CD$8-1)</f>
        <v>1932.8223636881503</v>
      </c>
      <c r="CE41" s="39">
        <f>'Redlands Inputs'!$H5*(1+$C$3)^(CE$8-1)</f>
        <v>1932.8223636881503</v>
      </c>
      <c r="CF41" s="39">
        <f>'Redlands Inputs'!$H5*(1+$C$3)^(CF$8-1)</f>
        <v>1932.8223636881503</v>
      </c>
      <c r="CG41" s="39">
        <f>'Redlands Inputs'!$H5*(1+$C$3)^(CG$8-1)</f>
        <v>1932.8223636881503</v>
      </c>
      <c r="CH41" s="39">
        <f>'Redlands Inputs'!$H5*(1+$C$3)^(CH$8-1)</f>
        <v>1932.8223636881503</v>
      </c>
      <c r="CI41" s="39">
        <f>'Redlands Inputs'!$H5*(1+$C$3)^(CI$8-1)</f>
        <v>1981.1429227803542</v>
      </c>
      <c r="CJ41" s="39">
        <f>'Redlands Inputs'!$H5*(1+$C$3)^(CJ$8-1)</f>
        <v>1981.1429227803542</v>
      </c>
      <c r="CK41" s="39">
        <f>'Redlands Inputs'!$H5*(1+$C$3)^(CK$8-1)</f>
        <v>1981.1429227803542</v>
      </c>
      <c r="CL41" s="39">
        <f>'Redlands Inputs'!$H5*(1+$C$3)^(CL$8-1)</f>
        <v>1981.1429227803542</v>
      </c>
      <c r="CM41" s="39">
        <f>'Redlands Inputs'!$H5*(1+$C$3)^(CM$8-1)</f>
        <v>1981.1429227803542</v>
      </c>
      <c r="CN41" s="39">
        <f>'Redlands Inputs'!$H5*(1+$C$3)^(CN$8-1)</f>
        <v>1981.1429227803542</v>
      </c>
      <c r="CO41" s="39">
        <f>'Redlands Inputs'!$H5*(1+$C$3)^(CO$8-1)</f>
        <v>1981.1429227803542</v>
      </c>
      <c r="CP41" s="39">
        <f>'Redlands Inputs'!$H5*(1+$C$3)^(CP$8-1)</f>
        <v>1981.1429227803542</v>
      </c>
      <c r="CQ41" s="39">
        <f>'Redlands Inputs'!$H5*(1+$C$3)^(CQ$8-1)</f>
        <v>1981.1429227803542</v>
      </c>
      <c r="CR41" s="39">
        <f>'Redlands Inputs'!$H5*(1+$C$3)^(CR$8-1)</f>
        <v>1981.1429227803542</v>
      </c>
      <c r="CS41" s="39">
        <f>'Redlands Inputs'!$H5*(1+$C$3)^(CS$8-1)</f>
        <v>1981.1429227803542</v>
      </c>
      <c r="CT41" s="39">
        <f>'Redlands Inputs'!$H5*(1+$C$3)^(CT$8-1)</f>
        <v>1981.1429227803542</v>
      </c>
      <c r="CU41" s="39">
        <f>'Redlands Inputs'!$H5*(1+$C$3)^(CU$8-1)</f>
        <v>2030.6714958498628</v>
      </c>
      <c r="CV41" s="39">
        <f>'Redlands Inputs'!$H5*(1+$C$3)^(CV$8-1)</f>
        <v>2030.6714958498628</v>
      </c>
      <c r="CW41" s="39">
        <f>'Redlands Inputs'!$H5*(1+$C$3)^(CW$8-1)</f>
        <v>2030.6714958498628</v>
      </c>
      <c r="CX41" s="39">
        <f>'Redlands Inputs'!$H5*(1+$C$3)^(CX$8-1)</f>
        <v>2030.6714958498628</v>
      </c>
      <c r="CY41" s="39">
        <f>'Redlands Inputs'!$H5*(1+$C$3)^(CY$8-1)</f>
        <v>2030.6714958498628</v>
      </c>
      <c r="CZ41" s="39">
        <f>'Redlands Inputs'!$H5*(1+$C$3)^(CZ$8-1)</f>
        <v>2030.6714958498628</v>
      </c>
      <c r="DA41" s="39">
        <f>'Redlands Inputs'!$H5*(1+$C$3)^(DA$8-1)</f>
        <v>2030.6714958498628</v>
      </c>
      <c r="DB41" s="39">
        <f>'Redlands Inputs'!$H5*(1+$C$3)^(DB$8-1)</f>
        <v>2030.6714958498628</v>
      </c>
      <c r="DC41" s="39">
        <f>'Redlands Inputs'!$H5*(1+$C$3)^(DC$8-1)</f>
        <v>2030.6714958498628</v>
      </c>
      <c r="DD41" s="39">
        <f>'Redlands Inputs'!$H5*(1+$C$3)^(DD$8-1)</f>
        <v>2030.6714958498628</v>
      </c>
      <c r="DE41" s="39">
        <f>'Redlands Inputs'!$H5*(1+$C$3)^(DE$8-1)</f>
        <v>2030.6714958498628</v>
      </c>
      <c r="DF41" s="39">
        <f>'Redlands Inputs'!$H5*(1+$C$3)^(DF$8-1)</f>
        <v>2030.6714958498628</v>
      </c>
      <c r="DG41" s="39">
        <f>'Redlands Inputs'!$H5*(1+$C$3)^(DG$8-1)</f>
        <v>2081.4382832461092</v>
      </c>
      <c r="DH41" s="39">
        <f>'Redlands Inputs'!$H5*(1+$C$3)^(DH$8-1)</f>
        <v>2081.4382832461092</v>
      </c>
      <c r="DI41" s="39">
        <f>'Redlands Inputs'!$H5*(1+$C$3)^(DI$8-1)</f>
        <v>2081.4382832461092</v>
      </c>
      <c r="DJ41" s="39">
        <f>'Redlands Inputs'!$H5*(1+$C$3)^(DJ$8-1)</f>
        <v>2081.4382832461092</v>
      </c>
      <c r="DK41" s="39">
        <f>'Redlands Inputs'!$H5*(1+$C$3)^(DK$8-1)</f>
        <v>2081.4382832461092</v>
      </c>
      <c r="DL41" s="39">
        <f>'Redlands Inputs'!$H5*(1+$C$3)^(DL$8-1)</f>
        <v>2081.4382832461092</v>
      </c>
      <c r="DM41" s="39">
        <f>'Redlands Inputs'!$H5*(1+$C$3)^(DM$8-1)</f>
        <v>2081.4382832461092</v>
      </c>
      <c r="DN41" s="39">
        <f>'Redlands Inputs'!$H5*(1+$C$3)^(DN$8-1)</f>
        <v>2081.4382832461092</v>
      </c>
      <c r="DO41" s="39">
        <f>'Redlands Inputs'!$H5*(1+$C$3)^(DO$8-1)</f>
        <v>2081.4382832461092</v>
      </c>
      <c r="DP41" s="39">
        <f>'Redlands Inputs'!$H5*(1+$C$3)^(DP$8-1)</f>
        <v>2081.4382832461092</v>
      </c>
      <c r="DQ41" s="39">
        <f>'Redlands Inputs'!$H5*(1+$C$3)^(DQ$8-1)</f>
        <v>2081.4382832461092</v>
      </c>
      <c r="DR41" s="39">
        <f>'Redlands Inputs'!$H5*(1+$C$3)^(DR$8-1)</f>
        <v>2081.4382832461092</v>
      </c>
      <c r="DS41" s="39">
        <f>'Redlands Inputs'!$H5*(1+$C$3)^(DS$8-1)</f>
        <v>2133.4742403272621</v>
      </c>
      <c r="DT41" s="39">
        <f>'Redlands Inputs'!$H5*(1+$C$3)^(DT$8-1)</f>
        <v>2133.4742403272621</v>
      </c>
      <c r="DU41" s="39">
        <f>'Redlands Inputs'!$H5*(1+$C$3)^(DU$8-1)</f>
        <v>2133.4742403272621</v>
      </c>
      <c r="DV41" s="39">
        <f>'Redlands Inputs'!$H5*(1+$C$3)^(DV$8-1)</f>
        <v>2133.4742403272621</v>
      </c>
      <c r="DW41" s="39">
        <f>'Redlands Inputs'!$H5*(1+$C$3)^(DW$8-1)</f>
        <v>2133.4742403272621</v>
      </c>
      <c r="DX41" s="39">
        <f>'Redlands Inputs'!$H5*(1+$C$3)^(DX$8-1)</f>
        <v>2133.4742403272621</v>
      </c>
      <c r="DY41" s="39">
        <f>'Redlands Inputs'!$H5*(1+$C$3)^(DY$8-1)</f>
        <v>2133.4742403272621</v>
      </c>
      <c r="DZ41" s="39">
        <f>'Redlands Inputs'!$H5*(1+$C$3)^(DZ$8-1)</f>
        <v>2133.4742403272621</v>
      </c>
      <c r="EA41" s="39">
        <f>'Redlands Inputs'!$H5*(1+$C$3)^(EA$8-1)</f>
        <v>2133.4742403272621</v>
      </c>
      <c r="EB41" s="39">
        <f>'Redlands Inputs'!$H5*(1+$C$3)^(EB$8-1)</f>
        <v>2133.4742403272621</v>
      </c>
      <c r="EC41" s="39">
        <f>'Redlands Inputs'!$H5*(1+$C$3)^(EC$8-1)</f>
        <v>2133.4742403272621</v>
      </c>
      <c r="ED41" s="39">
        <f>'Redlands Inputs'!$H5*(1+$C$3)^(ED$8-1)</f>
        <v>2133.4742403272621</v>
      </c>
    </row>
    <row r="42" spans="1:134" ht="19.149999999999999" customHeight="1" x14ac:dyDescent="0.4">
      <c r="A42" s="11" t="s">
        <v>22</v>
      </c>
      <c r="B42" s="11"/>
      <c r="C42" s="49">
        <f>'Redlands Inputs'!H6</f>
        <v>61673.333333333336</v>
      </c>
      <c r="D42" s="39">
        <f>'Redlands Inputs'!$H6*(1+'Redlands Inputs'!$L$6)^(D$8-1)</f>
        <v>61673.333333333336</v>
      </c>
      <c r="E42" s="39">
        <f>'Redlands Inputs'!$H6*(1+'Redlands Inputs'!$L$6)^(E$8-1)</f>
        <v>61673.333333333336</v>
      </c>
      <c r="F42" s="39">
        <f>'Redlands Inputs'!$H6*(1+'Redlands Inputs'!$L$6)^(F$8-1)</f>
        <v>61673.333333333336</v>
      </c>
      <c r="G42" s="39">
        <f>'Redlands Inputs'!$H6*(1+'Redlands Inputs'!$L$6)^(G$8-1)</f>
        <v>61673.333333333336</v>
      </c>
      <c r="H42" s="39">
        <f>'Redlands Inputs'!$H6*(1+'Redlands Inputs'!$L$6)^(H$8-1)</f>
        <v>61673.333333333336</v>
      </c>
      <c r="I42" s="39">
        <f>'Redlands Inputs'!$H6*(1+'Redlands Inputs'!$L$6)^(I$8-1)</f>
        <v>61673.333333333336</v>
      </c>
      <c r="J42" s="39">
        <f>'Redlands Inputs'!$H6*(1+'Redlands Inputs'!$L$6)^(J$8-1)</f>
        <v>61673.333333333336</v>
      </c>
      <c r="K42" s="39">
        <f>'Redlands Inputs'!$H6*(1+'Redlands Inputs'!$L$6)^(K$8-1)</f>
        <v>61673.333333333336</v>
      </c>
      <c r="L42" s="39">
        <f>'Redlands Inputs'!$H6*(1+'Redlands Inputs'!$L$6)^(L$8-1)</f>
        <v>61673.333333333336</v>
      </c>
      <c r="M42" s="39">
        <f>'Redlands Inputs'!$H6*(1+'Redlands Inputs'!$L$6)^(M$8-1)</f>
        <v>61673.333333333336</v>
      </c>
      <c r="N42" s="39">
        <f>'Redlands Inputs'!$H6*(1+'Redlands Inputs'!$L$6)^(N$8-1)</f>
        <v>61673.333333333336</v>
      </c>
      <c r="O42" s="39">
        <f>'Redlands Inputs'!$H6*(1+'Redlands Inputs'!$L$6)^(O$8-1)</f>
        <v>62906.8</v>
      </c>
      <c r="P42" s="39">
        <f>'Redlands Inputs'!$H6*(1+'Redlands Inputs'!$L$6)^(P$8-1)</f>
        <v>62906.8</v>
      </c>
      <c r="Q42" s="39">
        <f>'Redlands Inputs'!$H6*(1+'Redlands Inputs'!$L$6)^(Q$8-1)</f>
        <v>62906.8</v>
      </c>
      <c r="R42" s="39">
        <f>'Redlands Inputs'!$H6*(1+'Redlands Inputs'!$L$6)^(R$8-1)</f>
        <v>62906.8</v>
      </c>
      <c r="S42" s="39">
        <f>'Redlands Inputs'!$H6*(1+'Redlands Inputs'!$L$6)^(S$8-1)</f>
        <v>62906.8</v>
      </c>
      <c r="T42" s="39">
        <f>'Redlands Inputs'!$H6*(1+'Redlands Inputs'!$L$6)^(T$8-1)</f>
        <v>62906.8</v>
      </c>
      <c r="U42" s="39">
        <f>'Redlands Inputs'!$H6*(1+'Redlands Inputs'!$L$6)^(U$8-1)</f>
        <v>62906.8</v>
      </c>
      <c r="V42" s="39">
        <f>'Redlands Inputs'!$H6*(1+'Redlands Inputs'!$L$6)^(V$8-1)</f>
        <v>62906.8</v>
      </c>
      <c r="W42" s="39">
        <f>'Redlands Inputs'!$H6*(1+'Redlands Inputs'!$L$6)^(W$8-1)</f>
        <v>62906.8</v>
      </c>
      <c r="X42" s="39">
        <f>'Redlands Inputs'!$H6*(1+'Redlands Inputs'!$L$6)^(X$8-1)</f>
        <v>62906.8</v>
      </c>
      <c r="Y42" s="39">
        <f>'Redlands Inputs'!$H6*(1+'Redlands Inputs'!$L$6)^(Y$8-1)</f>
        <v>62906.8</v>
      </c>
      <c r="Z42" s="39">
        <f>'Redlands Inputs'!$H6*(1+'Redlands Inputs'!$L$6)^(Z$8-1)</f>
        <v>62906.8</v>
      </c>
      <c r="AA42" s="39">
        <f>'Redlands Inputs'!$H6*(1+'Redlands Inputs'!$L$6)^(AA$8-1)</f>
        <v>64164.936000000002</v>
      </c>
      <c r="AB42" s="39">
        <f>'Redlands Inputs'!$H6*(1+'Redlands Inputs'!$L$6)^(AB$8-1)</f>
        <v>64164.936000000002</v>
      </c>
      <c r="AC42" s="39">
        <f>'Redlands Inputs'!$H6*(1+'Redlands Inputs'!$L$6)^(AC$8-1)</f>
        <v>64164.936000000002</v>
      </c>
      <c r="AD42" s="39">
        <f>'Redlands Inputs'!$H6*(1+'Redlands Inputs'!$L$6)^(AD$8-1)</f>
        <v>64164.936000000002</v>
      </c>
      <c r="AE42" s="39">
        <f>'Redlands Inputs'!$H6*(1+'Redlands Inputs'!$L$6)^(AE$8-1)</f>
        <v>64164.936000000002</v>
      </c>
      <c r="AF42" s="39">
        <f>'Redlands Inputs'!$H6*(1+'Redlands Inputs'!$L$6)^(AF$8-1)</f>
        <v>64164.936000000002</v>
      </c>
      <c r="AG42" s="39">
        <f>'Redlands Inputs'!$H6*(1+'Redlands Inputs'!$L$6)^(AG$8-1)</f>
        <v>64164.936000000002</v>
      </c>
      <c r="AH42" s="39">
        <f>'Redlands Inputs'!$H6*(1+'Redlands Inputs'!$L$6)^(AH$8-1)</f>
        <v>64164.936000000002</v>
      </c>
      <c r="AI42" s="39">
        <f>'Redlands Inputs'!$H6*(1+'Redlands Inputs'!$L$6)^(AI$8-1)</f>
        <v>64164.936000000002</v>
      </c>
      <c r="AJ42" s="39">
        <f>'Redlands Inputs'!$H6*(1+'Redlands Inputs'!$L$6)^(AJ$8-1)</f>
        <v>64164.936000000002</v>
      </c>
      <c r="AK42" s="39">
        <f>'Redlands Inputs'!$H6*(1+'Redlands Inputs'!$L$6)^(AK$8-1)</f>
        <v>64164.936000000002</v>
      </c>
      <c r="AL42" s="39">
        <f>'Redlands Inputs'!$H6*(1+'Redlands Inputs'!$L$6)^(AL$8-1)</f>
        <v>64164.936000000002</v>
      </c>
      <c r="AM42" s="39">
        <f>'Redlands Inputs'!$H6*(1+'Redlands Inputs'!$L$6)^(AM$8-1)</f>
        <v>65448.23472</v>
      </c>
      <c r="AN42" s="39">
        <f>'Redlands Inputs'!$H6*(1+'Redlands Inputs'!$L$6)^(AN$8-1)</f>
        <v>65448.23472</v>
      </c>
      <c r="AO42" s="39">
        <f>'Redlands Inputs'!$H6*(1+'Redlands Inputs'!$L$6)^(AO$8-1)</f>
        <v>65448.23472</v>
      </c>
      <c r="AP42" s="39">
        <f>'Redlands Inputs'!$H6*(1+'Redlands Inputs'!$L$6)^(AP$8-1)</f>
        <v>65448.23472</v>
      </c>
      <c r="AQ42" s="39">
        <f>'Redlands Inputs'!$H6*(1+'Redlands Inputs'!$L$6)^(AQ$8-1)</f>
        <v>65448.23472</v>
      </c>
      <c r="AR42" s="39">
        <f>'Redlands Inputs'!$H6*(1+'Redlands Inputs'!$L$6)^(AR$8-1)</f>
        <v>65448.23472</v>
      </c>
      <c r="AS42" s="39">
        <f>'Redlands Inputs'!$H6*(1+'Redlands Inputs'!$L$6)^(AS$8-1)</f>
        <v>65448.23472</v>
      </c>
      <c r="AT42" s="39">
        <f>'Redlands Inputs'!$H6*(1+'Redlands Inputs'!$L$6)^(AT$8-1)</f>
        <v>65448.23472</v>
      </c>
      <c r="AU42" s="39">
        <f>'Redlands Inputs'!$H6*(1+'Redlands Inputs'!$L$6)^(AU$8-1)</f>
        <v>65448.23472</v>
      </c>
      <c r="AV42" s="39">
        <f>'Redlands Inputs'!$H6*(1+'Redlands Inputs'!$L$6)^(AV$8-1)</f>
        <v>65448.23472</v>
      </c>
      <c r="AW42" s="39">
        <f>'Redlands Inputs'!$H6*(1+'Redlands Inputs'!$L$6)^(AW$8-1)</f>
        <v>65448.23472</v>
      </c>
      <c r="AX42" s="39">
        <f>'Redlands Inputs'!$H6*(1+'Redlands Inputs'!$L$6)^(AX$8-1)</f>
        <v>65448.23472</v>
      </c>
      <c r="AY42" s="39">
        <f>'Redlands Inputs'!$H6*(1+'Redlands Inputs'!$L$6)^(AY$8-1)</f>
        <v>66757.199414400005</v>
      </c>
      <c r="AZ42" s="39">
        <f>'Redlands Inputs'!$H6*(1+'Redlands Inputs'!$L$6)^(AZ$8-1)</f>
        <v>66757.199414400005</v>
      </c>
      <c r="BA42" s="39">
        <f>'Redlands Inputs'!$H6*(1+'Redlands Inputs'!$L$6)^(BA$8-1)</f>
        <v>66757.199414400005</v>
      </c>
      <c r="BB42" s="39">
        <f>'Redlands Inputs'!$H6*(1+'Redlands Inputs'!$L$6)^(BB$8-1)</f>
        <v>66757.199414400005</v>
      </c>
      <c r="BC42" s="39">
        <f>'Redlands Inputs'!$H6*(1+'Redlands Inputs'!$L$6)^(BC$8-1)</f>
        <v>66757.199414400005</v>
      </c>
      <c r="BD42" s="39">
        <f>'Redlands Inputs'!$H6*(1+'Redlands Inputs'!$L$6)^(BD$8-1)</f>
        <v>66757.199414400005</v>
      </c>
      <c r="BE42" s="39">
        <f>'Redlands Inputs'!$H6*(1+'Redlands Inputs'!$L$6)^(BE$8-1)</f>
        <v>66757.199414400005</v>
      </c>
      <c r="BF42" s="39">
        <f>'Redlands Inputs'!$H6*(1+'Redlands Inputs'!$L$6)^(BF$8-1)</f>
        <v>66757.199414400005</v>
      </c>
      <c r="BG42" s="39">
        <f>'Redlands Inputs'!$H6*(1+'Redlands Inputs'!$L$6)^(BG$8-1)</f>
        <v>66757.199414400005</v>
      </c>
      <c r="BH42" s="39">
        <f>'Redlands Inputs'!$H6*(1+'Redlands Inputs'!$L$6)^(BH$8-1)</f>
        <v>66757.199414400005</v>
      </c>
      <c r="BI42" s="39">
        <f>'Redlands Inputs'!$H6*(1+'Redlands Inputs'!$L$6)^(BI$8-1)</f>
        <v>66757.199414400005</v>
      </c>
      <c r="BJ42" s="39">
        <f>'Redlands Inputs'!$H6*(1+'Redlands Inputs'!$L$6)^(BJ$8-1)</f>
        <v>66757.199414400005</v>
      </c>
      <c r="BK42" s="39">
        <f>'Redlands Inputs'!$H6*(1+'Redlands Inputs'!$L$6)^(BK$8-1)</f>
        <v>68092.343402687999</v>
      </c>
      <c r="BL42" s="39">
        <f>'Redlands Inputs'!$H6*(1+'Redlands Inputs'!$L$6)^(BL$8-1)</f>
        <v>68092.343402687999</v>
      </c>
      <c r="BM42" s="39">
        <f>'Redlands Inputs'!$H6*(1+'Redlands Inputs'!$L$6)^(BM$8-1)</f>
        <v>68092.343402687999</v>
      </c>
      <c r="BN42" s="39">
        <f>'Redlands Inputs'!$H6*(1+'Redlands Inputs'!$L$6)^(BN$8-1)</f>
        <v>68092.343402687999</v>
      </c>
      <c r="BO42" s="39">
        <f>'Redlands Inputs'!$H6*(1+'Redlands Inputs'!$L$6)^(BO$8-1)</f>
        <v>68092.343402687999</v>
      </c>
      <c r="BP42" s="39">
        <f>'Redlands Inputs'!$H6*(1+'Redlands Inputs'!$L$6)^(BP$8-1)</f>
        <v>68092.343402687999</v>
      </c>
      <c r="BQ42" s="39">
        <f>'Redlands Inputs'!$H6*(1+'Redlands Inputs'!$L$6)^(BQ$8-1)</f>
        <v>68092.343402687999</v>
      </c>
      <c r="BR42" s="39">
        <f>'Redlands Inputs'!$H6*(1+'Redlands Inputs'!$L$6)^(BR$8-1)</f>
        <v>68092.343402687999</v>
      </c>
      <c r="BS42" s="39">
        <f>'Redlands Inputs'!$H6*(1+'Redlands Inputs'!$L$6)^(BS$8-1)</f>
        <v>68092.343402687999</v>
      </c>
      <c r="BT42" s="39">
        <f>'Redlands Inputs'!$H6*(1+'Redlands Inputs'!$L$6)^(BT$8-1)</f>
        <v>68092.343402687999</v>
      </c>
      <c r="BU42" s="39">
        <f>'Redlands Inputs'!$H6*(1+'Redlands Inputs'!$L$6)^(BU$8-1)</f>
        <v>68092.343402687999</v>
      </c>
      <c r="BV42" s="39">
        <f>'Redlands Inputs'!$H6*(1+'Redlands Inputs'!$L$6)^(BV$8-1)</f>
        <v>68092.343402687999</v>
      </c>
      <c r="BW42" s="39">
        <f>'Redlands Inputs'!$H6*(1+'Redlands Inputs'!$L$6)^(BW$8-1)</f>
        <v>69454.190270741761</v>
      </c>
      <c r="BX42" s="39">
        <f>'Redlands Inputs'!$H6*(1+'Redlands Inputs'!$L$6)^(BX$8-1)</f>
        <v>69454.190270741761</v>
      </c>
      <c r="BY42" s="39">
        <f>'Redlands Inputs'!$H6*(1+'Redlands Inputs'!$L$6)^(BY$8-1)</f>
        <v>69454.190270741761</v>
      </c>
      <c r="BZ42" s="39">
        <f>'Redlands Inputs'!$H6*(1+'Redlands Inputs'!$L$6)^(BZ$8-1)</f>
        <v>69454.190270741761</v>
      </c>
      <c r="CA42" s="39">
        <f>'Redlands Inputs'!$H6*(1+'Redlands Inputs'!$L$6)^(CA$8-1)</f>
        <v>69454.190270741761</v>
      </c>
      <c r="CB42" s="39">
        <f>'Redlands Inputs'!$H6*(1+'Redlands Inputs'!$L$6)^(CB$8-1)</f>
        <v>69454.190270741761</v>
      </c>
      <c r="CC42" s="39">
        <f>'Redlands Inputs'!$H6*(1+'Redlands Inputs'!$L$6)^(CC$8-1)</f>
        <v>69454.190270741761</v>
      </c>
      <c r="CD42" s="39">
        <f>'Redlands Inputs'!$H6*(1+'Redlands Inputs'!$L$6)^(CD$8-1)</f>
        <v>69454.190270741761</v>
      </c>
      <c r="CE42" s="39">
        <f>'Redlands Inputs'!$H6*(1+'Redlands Inputs'!$L$6)^(CE$8-1)</f>
        <v>69454.190270741761</v>
      </c>
      <c r="CF42" s="39">
        <f>'Redlands Inputs'!$H6*(1+'Redlands Inputs'!$L$6)^(CF$8-1)</f>
        <v>69454.190270741761</v>
      </c>
      <c r="CG42" s="39">
        <f>'Redlands Inputs'!$H6*(1+'Redlands Inputs'!$L$6)^(CG$8-1)</f>
        <v>69454.190270741761</v>
      </c>
      <c r="CH42" s="39">
        <f>'Redlands Inputs'!$H6*(1+'Redlands Inputs'!$L$6)^(CH$8-1)</f>
        <v>69454.190270741761</v>
      </c>
      <c r="CI42" s="39">
        <f>'Redlands Inputs'!$H6*(1+'Redlands Inputs'!$L$6)^(CI$8-1)</f>
        <v>70843.27407615658</v>
      </c>
      <c r="CJ42" s="39">
        <f>'Redlands Inputs'!$H6*(1+'Redlands Inputs'!$L$6)^(CJ$8-1)</f>
        <v>70843.27407615658</v>
      </c>
      <c r="CK42" s="39">
        <f>'Redlands Inputs'!$H6*(1+'Redlands Inputs'!$L$6)^(CK$8-1)</f>
        <v>70843.27407615658</v>
      </c>
      <c r="CL42" s="39">
        <f>'Redlands Inputs'!$H6*(1+'Redlands Inputs'!$L$6)^(CL$8-1)</f>
        <v>70843.27407615658</v>
      </c>
      <c r="CM42" s="39">
        <f>'Redlands Inputs'!$H6*(1+'Redlands Inputs'!$L$6)^(CM$8-1)</f>
        <v>70843.27407615658</v>
      </c>
      <c r="CN42" s="39">
        <f>'Redlands Inputs'!$H6*(1+'Redlands Inputs'!$L$6)^(CN$8-1)</f>
        <v>70843.27407615658</v>
      </c>
      <c r="CO42" s="39">
        <f>'Redlands Inputs'!$H6*(1+'Redlands Inputs'!$L$6)^(CO$8-1)</f>
        <v>70843.27407615658</v>
      </c>
      <c r="CP42" s="39">
        <f>'Redlands Inputs'!$H6*(1+'Redlands Inputs'!$L$6)^(CP$8-1)</f>
        <v>70843.27407615658</v>
      </c>
      <c r="CQ42" s="39">
        <f>'Redlands Inputs'!$H6*(1+'Redlands Inputs'!$L$6)^(CQ$8-1)</f>
        <v>70843.27407615658</v>
      </c>
      <c r="CR42" s="39">
        <f>'Redlands Inputs'!$H6*(1+'Redlands Inputs'!$L$6)^(CR$8-1)</f>
        <v>70843.27407615658</v>
      </c>
      <c r="CS42" s="39">
        <f>'Redlands Inputs'!$H6*(1+'Redlands Inputs'!$L$6)^(CS$8-1)</f>
        <v>70843.27407615658</v>
      </c>
      <c r="CT42" s="39">
        <f>'Redlands Inputs'!$H6*(1+'Redlands Inputs'!$L$6)^(CT$8-1)</f>
        <v>70843.27407615658</v>
      </c>
      <c r="CU42" s="39">
        <f>'Redlands Inputs'!$H6*(1+'Redlands Inputs'!$L$6)^(CU$8-1)</f>
        <v>72260.139557679722</v>
      </c>
      <c r="CV42" s="39">
        <f>'Redlands Inputs'!$H6*(1+'Redlands Inputs'!$L$6)^(CV$8-1)</f>
        <v>72260.139557679722</v>
      </c>
      <c r="CW42" s="39">
        <f>'Redlands Inputs'!$H6*(1+'Redlands Inputs'!$L$6)^(CW$8-1)</f>
        <v>72260.139557679722</v>
      </c>
      <c r="CX42" s="39">
        <f>'Redlands Inputs'!$H6*(1+'Redlands Inputs'!$L$6)^(CX$8-1)</f>
        <v>72260.139557679722</v>
      </c>
      <c r="CY42" s="39">
        <f>'Redlands Inputs'!$H6*(1+'Redlands Inputs'!$L$6)^(CY$8-1)</f>
        <v>72260.139557679722</v>
      </c>
      <c r="CZ42" s="39">
        <f>'Redlands Inputs'!$H6*(1+'Redlands Inputs'!$L$6)^(CZ$8-1)</f>
        <v>72260.139557679722</v>
      </c>
      <c r="DA42" s="39">
        <f>'Redlands Inputs'!$H6*(1+'Redlands Inputs'!$L$6)^(DA$8-1)</f>
        <v>72260.139557679722</v>
      </c>
      <c r="DB42" s="39">
        <f>'Redlands Inputs'!$H6*(1+'Redlands Inputs'!$L$6)^(DB$8-1)</f>
        <v>72260.139557679722</v>
      </c>
      <c r="DC42" s="39">
        <f>'Redlands Inputs'!$H6*(1+'Redlands Inputs'!$L$6)^(DC$8-1)</f>
        <v>72260.139557679722</v>
      </c>
      <c r="DD42" s="39">
        <f>'Redlands Inputs'!$H6*(1+'Redlands Inputs'!$L$6)^(DD$8-1)</f>
        <v>72260.139557679722</v>
      </c>
      <c r="DE42" s="39">
        <f>'Redlands Inputs'!$H6*(1+'Redlands Inputs'!$L$6)^(DE$8-1)</f>
        <v>72260.139557679722</v>
      </c>
      <c r="DF42" s="39">
        <f>'Redlands Inputs'!$H6*(1+'Redlands Inputs'!$L$6)^(DF$8-1)</f>
        <v>72260.139557679722</v>
      </c>
      <c r="DG42" s="39">
        <f>'Redlands Inputs'!$H6*(1+'Redlands Inputs'!$L$6)^(DG$8-1)</f>
        <v>73705.342348833321</v>
      </c>
      <c r="DH42" s="39">
        <f>'Redlands Inputs'!$H6*(1+'Redlands Inputs'!$L$6)^(DH$8-1)</f>
        <v>73705.342348833321</v>
      </c>
      <c r="DI42" s="39">
        <f>'Redlands Inputs'!$H6*(1+'Redlands Inputs'!$L$6)^(DI$8-1)</f>
        <v>73705.342348833321</v>
      </c>
      <c r="DJ42" s="39">
        <f>'Redlands Inputs'!$H6*(1+'Redlands Inputs'!$L$6)^(DJ$8-1)</f>
        <v>73705.342348833321</v>
      </c>
      <c r="DK42" s="39">
        <f>'Redlands Inputs'!$H6*(1+'Redlands Inputs'!$L$6)^(DK$8-1)</f>
        <v>73705.342348833321</v>
      </c>
      <c r="DL42" s="39">
        <f>'Redlands Inputs'!$H6*(1+'Redlands Inputs'!$L$6)^(DL$8-1)</f>
        <v>73705.342348833321</v>
      </c>
      <c r="DM42" s="39">
        <f>'Redlands Inputs'!$H6*(1+'Redlands Inputs'!$L$6)^(DM$8-1)</f>
        <v>73705.342348833321</v>
      </c>
      <c r="DN42" s="39">
        <f>'Redlands Inputs'!$H6*(1+'Redlands Inputs'!$L$6)^(DN$8-1)</f>
        <v>73705.342348833321</v>
      </c>
      <c r="DO42" s="39">
        <f>'Redlands Inputs'!$H6*(1+'Redlands Inputs'!$L$6)^(DO$8-1)</f>
        <v>73705.342348833321</v>
      </c>
      <c r="DP42" s="39">
        <f>'Redlands Inputs'!$H6*(1+'Redlands Inputs'!$L$6)^(DP$8-1)</f>
        <v>73705.342348833321</v>
      </c>
      <c r="DQ42" s="39">
        <f>'Redlands Inputs'!$H6*(1+'Redlands Inputs'!$L$6)^(DQ$8-1)</f>
        <v>73705.342348833321</v>
      </c>
      <c r="DR42" s="39">
        <f>'Redlands Inputs'!$H6*(1+'Redlands Inputs'!$L$6)^(DR$8-1)</f>
        <v>73705.342348833321</v>
      </c>
      <c r="DS42" s="39">
        <f>'Redlands Inputs'!$H6*(1+'Redlands Inputs'!$L$6)^(DS$8-1)</f>
        <v>75179.449195809982</v>
      </c>
      <c r="DT42" s="39">
        <f>'Redlands Inputs'!$H6*(1+'Redlands Inputs'!$L$6)^(DT$8-1)</f>
        <v>75179.449195809982</v>
      </c>
      <c r="DU42" s="39">
        <f>'Redlands Inputs'!$H6*(1+'Redlands Inputs'!$L$6)^(DU$8-1)</f>
        <v>75179.449195809982</v>
      </c>
      <c r="DV42" s="39">
        <f>'Redlands Inputs'!$H6*(1+'Redlands Inputs'!$L$6)^(DV$8-1)</f>
        <v>75179.449195809982</v>
      </c>
      <c r="DW42" s="39">
        <f>'Redlands Inputs'!$H6*(1+'Redlands Inputs'!$L$6)^(DW$8-1)</f>
        <v>75179.449195809982</v>
      </c>
      <c r="DX42" s="39">
        <f>'Redlands Inputs'!$H6*(1+'Redlands Inputs'!$L$6)^(DX$8-1)</f>
        <v>75179.449195809982</v>
      </c>
      <c r="DY42" s="39">
        <f>'Redlands Inputs'!$H6*(1+'Redlands Inputs'!$L$6)^(DY$8-1)</f>
        <v>75179.449195809982</v>
      </c>
      <c r="DZ42" s="39">
        <f>'Redlands Inputs'!$H6*(1+'Redlands Inputs'!$L$6)^(DZ$8-1)</f>
        <v>75179.449195809982</v>
      </c>
      <c r="EA42" s="39">
        <f>'Redlands Inputs'!$H6*(1+'Redlands Inputs'!$L$6)^(EA$8-1)</f>
        <v>75179.449195809982</v>
      </c>
      <c r="EB42" s="39">
        <f>'Redlands Inputs'!$H6*(1+'Redlands Inputs'!$L$6)^(EB$8-1)</f>
        <v>75179.449195809982</v>
      </c>
      <c r="EC42" s="39">
        <f>'Redlands Inputs'!$H6*(1+'Redlands Inputs'!$L$6)^(EC$8-1)</f>
        <v>75179.449195809982</v>
      </c>
      <c r="ED42" s="39">
        <f>'Redlands Inputs'!$H6*(1+'Redlands Inputs'!$L$6)^(ED$8-1)</f>
        <v>75179.449195809982</v>
      </c>
    </row>
    <row r="43" spans="1:134" ht="19.149999999999999" customHeight="1" x14ac:dyDescent="0.4">
      <c r="A43" s="11" t="s">
        <v>32</v>
      </c>
      <c r="B43" s="11"/>
      <c r="C43" s="39">
        <f>C$36*'Redlands Inputs'!$I$8</f>
        <v>9359.6978311321018</v>
      </c>
      <c r="D43" s="39">
        <f>D$36*'Redlands Inputs'!$I$8</f>
        <v>9359.6978311321018</v>
      </c>
      <c r="E43" s="39">
        <f>E$36*'Redlands Inputs'!$I$8</f>
        <v>9359.6978311321018</v>
      </c>
      <c r="F43" s="39">
        <f>F$36*'Redlands Inputs'!$I$8</f>
        <v>9359.6978311321018</v>
      </c>
      <c r="G43" s="39">
        <f>G$36*'Redlands Inputs'!$I$8</f>
        <v>9359.6978311321018</v>
      </c>
      <c r="H43" s="39">
        <f>H$36*'Redlands Inputs'!$I$8</f>
        <v>9359.6978311321018</v>
      </c>
      <c r="I43" s="39">
        <f>I$36*'Redlands Inputs'!$I$8</f>
        <v>9359.6978311321018</v>
      </c>
      <c r="J43" s="39">
        <f>J$36*'Redlands Inputs'!$I$8</f>
        <v>9359.6978311321018</v>
      </c>
      <c r="K43" s="39">
        <f>K$36*'Redlands Inputs'!$I$8</f>
        <v>9359.6978311321018</v>
      </c>
      <c r="L43" s="39">
        <f>L$36*'Redlands Inputs'!$I$8</f>
        <v>9359.6978311321018</v>
      </c>
      <c r="M43" s="39">
        <f>M$36*'Redlands Inputs'!$I$8</f>
        <v>9359.6978311321018</v>
      </c>
      <c r="N43" s="39">
        <f>N$36*'Redlands Inputs'!$I$8</f>
        <v>9359.6978311321018</v>
      </c>
      <c r="O43" s="39">
        <f>O$36*'Redlands Inputs'!$I$8</f>
        <v>9541.9417877547439</v>
      </c>
      <c r="P43" s="39">
        <f>P$36*'Redlands Inputs'!$I$8</f>
        <v>9541.9417877547439</v>
      </c>
      <c r="Q43" s="39">
        <f>Q$36*'Redlands Inputs'!$I$8</f>
        <v>9541.9417877547439</v>
      </c>
      <c r="R43" s="39">
        <f>R$36*'Redlands Inputs'!$I$8</f>
        <v>9541.9417877547439</v>
      </c>
      <c r="S43" s="39">
        <f>S$36*'Redlands Inputs'!$I$8</f>
        <v>9541.9417877547439</v>
      </c>
      <c r="T43" s="39">
        <f>T$36*'Redlands Inputs'!$I$8</f>
        <v>9541.9417877547439</v>
      </c>
      <c r="U43" s="39">
        <f>U$36*'Redlands Inputs'!$I$8</f>
        <v>9541.9417877547439</v>
      </c>
      <c r="V43" s="39">
        <f>V$36*'Redlands Inputs'!$I$8</f>
        <v>9541.9417877547439</v>
      </c>
      <c r="W43" s="39">
        <f>W$36*'Redlands Inputs'!$I$8</f>
        <v>9541.9417877547439</v>
      </c>
      <c r="X43" s="39">
        <f>X$36*'Redlands Inputs'!$I$8</f>
        <v>9541.9417877547439</v>
      </c>
      <c r="Y43" s="39">
        <f>Y$36*'Redlands Inputs'!$I$8</f>
        <v>9541.9417877547439</v>
      </c>
      <c r="Z43" s="39">
        <f>Z$36*'Redlands Inputs'!$I$8</f>
        <v>9541.9417877547439</v>
      </c>
      <c r="AA43" s="39">
        <f>AA$36*'Redlands Inputs'!$I$8</f>
        <v>9727.8306235098407</v>
      </c>
      <c r="AB43" s="39">
        <f>AB$36*'Redlands Inputs'!$I$8</f>
        <v>9727.8306235098407</v>
      </c>
      <c r="AC43" s="39">
        <f>AC$36*'Redlands Inputs'!$I$8</f>
        <v>9727.8306235098407</v>
      </c>
      <c r="AD43" s="39">
        <f>AD$36*'Redlands Inputs'!$I$8</f>
        <v>9727.8306235098407</v>
      </c>
      <c r="AE43" s="39">
        <f>AE$36*'Redlands Inputs'!$I$8</f>
        <v>9727.8306235098407</v>
      </c>
      <c r="AF43" s="39">
        <f>AF$36*'Redlands Inputs'!$I$8</f>
        <v>9727.8306235098407</v>
      </c>
      <c r="AG43" s="39">
        <f>AG$36*'Redlands Inputs'!$I$8</f>
        <v>9727.8306235098407</v>
      </c>
      <c r="AH43" s="39">
        <f>AH$36*'Redlands Inputs'!$I$8</f>
        <v>9727.8306235098407</v>
      </c>
      <c r="AI43" s="39">
        <f>AI$36*'Redlands Inputs'!$I$8</f>
        <v>9727.8306235098407</v>
      </c>
      <c r="AJ43" s="39">
        <f>AJ$36*'Redlands Inputs'!$I$8</f>
        <v>9727.8306235098407</v>
      </c>
      <c r="AK43" s="39">
        <f>AK$36*'Redlands Inputs'!$I$8</f>
        <v>9727.8306235098407</v>
      </c>
      <c r="AL43" s="39">
        <f>AL$36*'Redlands Inputs'!$I$8</f>
        <v>9727.8306235098407</v>
      </c>
      <c r="AM43" s="39">
        <f>AM$36*'Redlands Inputs'!$I$8</f>
        <v>9917.4372359800345</v>
      </c>
      <c r="AN43" s="39">
        <f>AN$36*'Redlands Inputs'!$I$8</f>
        <v>9917.4372359800345</v>
      </c>
      <c r="AO43" s="39">
        <f>AO$36*'Redlands Inputs'!$I$8</f>
        <v>9917.4372359800345</v>
      </c>
      <c r="AP43" s="39">
        <f>AP$36*'Redlands Inputs'!$I$8</f>
        <v>9917.4372359800345</v>
      </c>
      <c r="AQ43" s="39">
        <f>AQ$36*'Redlands Inputs'!$I$8</f>
        <v>9917.4372359800345</v>
      </c>
      <c r="AR43" s="39">
        <f>AR$36*'Redlands Inputs'!$I$8</f>
        <v>9917.4372359800345</v>
      </c>
      <c r="AS43" s="39">
        <f>AS$36*'Redlands Inputs'!$I$8</f>
        <v>9917.4372359800345</v>
      </c>
      <c r="AT43" s="39">
        <f>AT$36*'Redlands Inputs'!$I$8</f>
        <v>9917.4372359800345</v>
      </c>
      <c r="AU43" s="39">
        <f>AU$36*'Redlands Inputs'!$I$8</f>
        <v>9917.4372359800345</v>
      </c>
      <c r="AV43" s="39">
        <f>AV$36*'Redlands Inputs'!$I$8</f>
        <v>9917.4372359800345</v>
      </c>
      <c r="AW43" s="39">
        <f>AW$36*'Redlands Inputs'!$I$8</f>
        <v>9917.4372359800345</v>
      </c>
      <c r="AX43" s="39">
        <f>AX$36*'Redlands Inputs'!$I$8</f>
        <v>9917.4372359800345</v>
      </c>
      <c r="AY43" s="39">
        <f>AY$36*'Redlands Inputs'!$I$8</f>
        <v>10110.835980699636</v>
      </c>
      <c r="AZ43" s="39">
        <f>AZ$36*'Redlands Inputs'!$I$8</f>
        <v>10110.835980699636</v>
      </c>
      <c r="BA43" s="39">
        <f>BA$36*'Redlands Inputs'!$I$8</f>
        <v>10110.835980699636</v>
      </c>
      <c r="BB43" s="39">
        <f>BB$36*'Redlands Inputs'!$I$8</f>
        <v>10110.835980699636</v>
      </c>
      <c r="BC43" s="39">
        <f>BC$36*'Redlands Inputs'!$I$8</f>
        <v>10110.835980699636</v>
      </c>
      <c r="BD43" s="39">
        <f>BD$36*'Redlands Inputs'!$I$8</f>
        <v>10110.835980699636</v>
      </c>
      <c r="BE43" s="39">
        <f>BE$36*'Redlands Inputs'!$I$8</f>
        <v>10110.835980699636</v>
      </c>
      <c r="BF43" s="39">
        <f>BF$36*'Redlands Inputs'!$I$8</f>
        <v>10110.835980699636</v>
      </c>
      <c r="BG43" s="39">
        <f>BG$36*'Redlands Inputs'!$I$8</f>
        <v>10110.835980699636</v>
      </c>
      <c r="BH43" s="39">
        <f>BH$36*'Redlands Inputs'!$I$8</f>
        <v>10110.835980699636</v>
      </c>
      <c r="BI43" s="39">
        <f>BI$36*'Redlands Inputs'!$I$8</f>
        <v>10110.835980699636</v>
      </c>
      <c r="BJ43" s="39">
        <f>BJ$36*'Redlands Inputs'!$I$8</f>
        <v>10110.835980699636</v>
      </c>
      <c r="BK43" s="39">
        <f>BK$36*'Redlands Inputs'!$I$8</f>
        <v>10308.102700313628</v>
      </c>
      <c r="BL43" s="39">
        <f>BL$36*'Redlands Inputs'!$I$8</f>
        <v>10308.102700313628</v>
      </c>
      <c r="BM43" s="39">
        <f>BM$36*'Redlands Inputs'!$I$8</f>
        <v>10308.102700313628</v>
      </c>
      <c r="BN43" s="39">
        <f>BN$36*'Redlands Inputs'!$I$8</f>
        <v>10308.102700313628</v>
      </c>
      <c r="BO43" s="39">
        <f>BO$36*'Redlands Inputs'!$I$8</f>
        <v>10308.102700313628</v>
      </c>
      <c r="BP43" s="39">
        <f>BP$36*'Redlands Inputs'!$I$8</f>
        <v>10308.102700313628</v>
      </c>
      <c r="BQ43" s="39">
        <f>BQ$36*'Redlands Inputs'!$I$8</f>
        <v>10308.102700313628</v>
      </c>
      <c r="BR43" s="39">
        <f>BR$36*'Redlands Inputs'!$I$8</f>
        <v>10308.102700313628</v>
      </c>
      <c r="BS43" s="39">
        <f>BS$36*'Redlands Inputs'!$I$8</f>
        <v>10308.102700313628</v>
      </c>
      <c r="BT43" s="39">
        <f>BT$36*'Redlands Inputs'!$I$8</f>
        <v>10308.102700313628</v>
      </c>
      <c r="BU43" s="39">
        <f>BU$36*'Redlands Inputs'!$I$8</f>
        <v>10308.102700313628</v>
      </c>
      <c r="BV43" s="39">
        <f>BV$36*'Redlands Inputs'!$I$8</f>
        <v>10308.102700313628</v>
      </c>
      <c r="BW43" s="39">
        <f>BW$36*'Redlands Inputs'!$I$8</f>
        <v>10509.314754319903</v>
      </c>
      <c r="BX43" s="39">
        <f>BX$36*'Redlands Inputs'!$I$8</f>
        <v>10509.314754319903</v>
      </c>
      <c r="BY43" s="39">
        <f>BY$36*'Redlands Inputs'!$I$8</f>
        <v>10509.314754319903</v>
      </c>
      <c r="BZ43" s="39">
        <f>BZ$36*'Redlands Inputs'!$I$8</f>
        <v>10509.314754319903</v>
      </c>
      <c r="CA43" s="39">
        <f>CA$36*'Redlands Inputs'!$I$8</f>
        <v>10509.314754319903</v>
      </c>
      <c r="CB43" s="39">
        <f>CB$36*'Redlands Inputs'!$I$8</f>
        <v>10509.314754319903</v>
      </c>
      <c r="CC43" s="39">
        <f>CC$36*'Redlands Inputs'!$I$8</f>
        <v>10509.314754319903</v>
      </c>
      <c r="CD43" s="39">
        <f>CD$36*'Redlands Inputs'!$I$8</f>
        <v>10509.314754319903</v>
      </c>
      <c r="CE43" s="39">
        <f>CE$36*'Redlands Inputs'!$I$8</f>
        <v>10509.314754319903</v>
      </c>
      <c r="CF43" s="39">
        <f>CF$36*'Redlands Inputs'!$I$8</f>
        <v>10509.314754319903</v>
      </c>
      <c r="CG43" s="39">
        <f>CG$36*'Redlands Inputs'!$I$8</f>
        <v>10509.314754319903</v>
      </c>
      <c r="CH43" s="39">
        <f>CH$36*'Redlands Inputs'!$I$8</f>
        <v>10509.314754319903</v>
      </c>
      <c r="CI43" s="39">
        <f>CI$36*'Redlands Inputs'!$I$8</f>
        <v>12239.638036630893</v>
      </c>
      <c r="CJ43" s="39">
        <f>CJ$36*'Redlands Inputs'!$I$8</f>
        <v>16602.80030712501</v>
      </c>
      <c r="CK43" s="39">
        <f>CK$36*'Redlands Inputs'!$I$8</f>
        <v>16602.80030712501</v>
      </c>
      <c r="CL43" s="39">
        <f>CL$36*'Redlands Inputs'!$I$8</f>
        <v>16602.80030712501</v>
      </c>
      <c r="CM43" s="39">
        <f>CM$36*'Redlands Inputs'!$I$8</f>
        <v>16602.80030712501</v>
      </c>
      <c r="CN43" s="39">
        <f>CN$36*'Redlands Inputs'!$I$8</f>
        <v>16602.80030712501</v>
      </c>
      <c r="CO43" s="39">
        <f>CO$36*'Redlands Inputs'!$I$8</f>
        <v>16602.80030712501</v>
      </c>
      <c r="CP43" s="39">
        <f>CP$36*'Redlands Inputs'!$I$8</f>
        <v>16602.80030712501</v>
      </c>
      <c r="CQ43" s="39">
        <f>CQ$36*'Redlands Inputs'!$I$8</f>
        <v>16602.80030712501</v>
      </c>
      <c r="CR43" s="39">
        <f>CR$36*'Redlands Inputs'!$I$8</f>
        <v>16602.80030712501</v>
      </c>
      <c r="CS43" s="39">
        <f>CS$36*'Redlands Inputs'!$I$8</f>
        <v>16602.80030712501</v>
      </c>
      <c r="CT43" s="39">
        <f>CT$36*'Redlands Inputs'!$I$8</f>
        <v>16602.80030712501</v>
      </c>
      <c r="CU43" s="39">
        <f>CU$36*'Redlands Inputs'!$I$8</f>
        <v>17002.118972802851</v>
      </c>
      <c r="CV43" s="39">
        <f>CV$36*'Redlands Inputs'!$I$8</f>
        <v>17002.118972802851</v>
      </c>
      <c r="CW43" s="39">
        <f>CW$36*'Redlands Inputs'!$I$8</f>
        <v>17002.118972802851</v>
      </c>
      <c r="CX43" s="39">
        <f>CX$36*'Redlands Inputs'!$I$8</f>
        <v>17002.118972802851</v>
      </c>
      <c r="CY43" s="39">
        <f>CY$36*'Redlands Inputs'!$I$8</f>
        <v>17002.118972802851</v>
      </c>
      <c r="CZ43" s="39">
        <f>CZ$36*'Redlands Inputs'!$I$8</f>
        <v>17002.118972802851</v>
      </c>
      <c r="DA43" s="39">
        <f>DA$36*'Redlands Inputs'!$I$8</f>
        <v>17002.118972802851</v>
      </c>
      <c r="DB43" s="39">
        <f>DB$36*'Redlands Inputs'!$I$8</f>
        <v>17002.118972802851</v>
      </c>
      <c r="DC43" s="39">
        <f>DC$36*'Redlands Inputs'!$I$8</f>
        <v>17002.118972802851</v>
      </c>
      <c r="DD43" s="39">
        <f>DD$36*'Redlands Inputs'!$I$8</f>
        <v>17002.118972802851</v>
      </c>
      <c r="DE43" s="39">
        <f>DE$36*'Redlands Inputs'!$I$8</f>
        <v>17002.118972802851</v>
      </c>
      <c r="DF43" s="39">
        <f>DF$36*'Redlands Inputs'!$I$8</f>
        <v>17002.118972802851</v>
      </c>
      <c r="DG43" s="39">
        <f>DG$36*'Redlands Inputs'!$I$8</f>
        <v>17411.229328282632</v>
      </c>
      <c r="DH43" s="39">
        <f>DH$36*'Redlands Inputs'!$I$8</f>
        <v>17411.229328282632</v>
      </c>
      <c r="DI43" s="39">
        <f>DI$36*'Redlands Inputs'!$I$8</f>
        <v>17411.229328282632</v>
      </c>
      <c r="DJ43" s="39">
        <f>DJ$36*'Redlands Inputs'!$I$8</f>
        <v>17411.229328282632</v>
      </c>
      <c r="DK43" s="39">
        <f>DK$36*'Redlands Inputs'!$I$8</f>
        <v>17411.229328282632</v>
      </c>
      <c r="DL43" s="39">
        <f>DL$36*'Redlands Inputs'!$I$8</f>
        <v>17411.229328282632</v>
      </c>
      <c r="DM43" s="39">
        <f>DM$36*'Redlands Inputs'!$I$8</f>
        <v>17411.229328282632</v>
      </c>
      <c r="DN43" s="39">
        <f>DN$36*'Redlands Inputs'!$I$8</f>
        <v>17411.229328282632</v>
      </c>
      <c r="DO43" s="39">
        <f>DO$36*'Redlands Inputs'!$I$8</f>
        <v>17411.229328282632</v>
      </c>
      <c r="DP43" s="39">
        <f>DP$36*'Redlands Inputs'!$I$8</f>
        <v>17411.229328282632</v>
      </c>
      <c r="DQ43" s="39">
        <f>DQ$36*'Redlands Inputs'!$I$8</f>
        <v>17411.229328282632</v>
      </c>
      <c r="DR43" s="39">
        <f>DR$36*'Redlands Inputs'!$I$8</f>
        <v>17411.229328282632</v>
      </c>
      <c r="DS43" s="39">
        <f>DS$36*'Redlands Inputs'!$I$8</f>
        <v>17830.372340272606</v>
      </c>
      <c r="DT43" s="39">
        <f>DT$36*'Redlands Inputs'!$I$8</f>
        <v>17830.372340272606</v>
      </c>
      <c r="DU43" s="39">
        <f>DU$36*'Redlands Inputs'!$I$8</f>
        <v>17830.372340272606</v>
      </c>
      <c r="DV43" s="39">
        <f>DV$36*'Redlands Inputs'!$I$8</f>
        <v>17830.372340272606</v>
      </c>
      <c r="DW43" s="39">
        <f>DW$36*'Redlands Inputs'!$I$8</f>
        <v>17830.372340272606</v>
      </c>
      <c r="DX43" s="39">
        <f>DX$36*'Redlands Inputs'!$I$8</f>
        <v>17830.372340272606</v>
      </c>
      <c r="DY43" s="39">
        <f>DY$36*'Redlands Inputs'!$I$8</f>
        <v>17830.372340272606</v>
      </c>
      <c r="DZ43" s="39">
        <f>DZ$36*'Redlands Inputs'!$I$8</f>
        <v>17830.372340272606</v>
      </c>
      <c r="EA43" s="39">
        <f>EA$36*'Redlands Inputs'!$I$8</f>
        <v>17830.372340272606</v>
      </c>
      <c r="EB43" s="39">
        <f>EB$36*'Redlands Inputs'!$I$8</f>
        <v>17830.372340272606</v>
      </c>
      <c r="EC43" s="39">
        <f>EC$36*'Redlands Inputs'!$I$8</f>
        <v>17830.372340272606</v>
      </c>
      <c r="ED43" s="39">
        <f>ED$36*'Redlands Inputs'!$I$8</f>
        <v>17830.372340272606</v>
      </c>
    </row>
    <row r="44" spans="1:134" ht="19.149999999999999" customHeight="1" x14ac:dyDescent="0.4">
      <c r="A44" s="6" t="s">
        <v>33</v>
      </c>
      <c r="B44" s="6"/>
      <c r="C44" s="80">
        <f>+SUM(C39:C43)</f>
        <v>80199.6978311321</v>
      </c>
      <c r="D44" s="80">
        <f t="shared" ref="D44:BO44" si="35">+SUM(D39:D43)</f>
        <v>80199.6978311321</v>
      </c>
      <c r="E44" s="80">
        <f t="shared" si="35"/>
        <v>80199.6978311321</v>
      </c>
      <c r="F44" s="80">
        <f t="shared" si="35"/>
        <v>80199.6978311321</v>
      </c>
      <c r="G44" s="80">
        <f t="shared" si="35"/>
        <v>80199.6978311321</v>
      </c>
      <c r="H44" s="80">
        <f t="shared" si="35"/>
        <v>80199.6978311321</v>
      </c>
      <c r="I44" s="80">
        <f t="shared" si="35"/>
        <v>80199.6978311321</v>
      </c>
      <c r="J44" s="80">
        <f t="shared" si="35"/>
        <v>80199.6978311321</v>
      </c>
      <c r="K44" s="80">
        <f t="shared" si="35"/>
        <v>80199.6978311321</v>
      </c>
      <c r="L44" s="80">
        <f t="shared" si="35"/>
        <v>80199.6978311321</v>
      </c>
      <c r="M44" s="80">
        <f t="shared" si="35"/>
        <v>80199.6978311321</v>
      </c>
      <c r="N44" s="80">
        <f t="shared" si="35"/>
        <v>80199.6978311321</v>
      </c>
      <c r="O44" s="80">
        <f t="shared" si="35"/>
        <v>81844.57512108807</v>
      </c>
      <c r="P44" s="80">
        <f t="shared" si="35"/>
        <v>81844.57512108807</v>
      </c>
      <c r="Q44" s="80">
        <f t="shared" si="35"/>
        <v>81844.57512108807</v>
      </c>
      <c r="R44" s="80">
        <f t="shared" si="35"/>
        <v>81844.57512108807</v>
      </c>
      <c r="S44" s="80">
        <f t="shared" si="35"/>
        <v>81844.57512108807</v>
      </c>
      <c r="T44" s="80">
        <f t="shared" si="35"/>
        <v>81844.57512108807</v>
      </c>
      <c r="U44" s="80">
        <f t="shared" si="35"/>
        <v>81844.57512108807</v>
      </c>
      <c r="V44" s="80">
        <f t="shared" si="35"/>
        <v>81844.57512108807</v>
      </c>
      <c r="W44" s="80">
        <f t="shared" si="35"/>
        <v>81844.57512108807</v>
      </c>
      <c r="X44" s="80">
        <f t="shared" si="35"/>
        <v>81844.57512108807</v>
      </c>
      <c r="Y44" s="80">
        <f t="shared" si="35"/>
        <v>81844.57512108807</v>
      </c>
      <c r="Z44" s="80">
        <f t="shared" si="35"/>
        <v>81844.57512108807</v>
      </c>
      <c r="AA44" s="80">
        <f t="shared" si="35"/>
        <v>83523.495790176516</v>
      </c>
      <c r="AB44" s="80">
        <f t="shared" si="35"/>
        <v>83523.495790176516</v>
      </c>
      <c r="AC44" s="80">
        <f t="shared" si="35"/>
        <v>83523.495790176516</v>
      </c>
      <c r="AD44" s="80">
        <f t="shared" si="35"/>
        <v>83523.495790176516</v>
      </c>
      <c r="AE44" s="80">
        <f t="shared" si="35"/>
        <v>83523.495790176516</v>
      </c>
      <c r="AF44" s="80">
        <f t="shared" si="35"/>
        <v>83523.495790176516</v>
      </c>
      <c r="AG44" s="80">
        <f t="shared" si="35"/>
        <v>83523.495790176516</v>
      </c>
      <c r="AH44" s="80">
        <f t="shared" si="35"/>
        <v>83523.495790176516</v>
      </c>
      <c r="AI44" s="80">
        <f t="shared" si="35"/>
        <v>83523.495790176516</v>
      </c>
      <c r="AJ44" s="80">
        <f t="shared" si="35"/>
        <v>83523.495790176516</v>
      </c>
      <c r="AK44" s="80">
        <f t="shared" si="35"/>
        <v>83523.495790176516</v>
      </c>
      <c r="AL44" s="80">
        <f t="shared" si="35"/>
        <v>83523.495790176516</v>
      </c>
      <c r="AM44" s="80">
        <f t="shared" si="35"/>
        <v>85237.169351813369</v>
      </c>
      <c r="AN44" s="80">
        <f t="shared" si="35"/>
        <v>85237.169351813369</v>
      </c>
      <c r="AO44" s="80">
        <f t="shared" si="35"/>
        <v>85237.169351813369</v>
      </c>
      <c r="AP44" s="80">
        <f t="shared" si="35"/>
        <v>85237.169351813369</v>
      </c>
      <c r="AQ44" s="80">
        <f t="shared" si="35"/>
        <v>85237.169351813369</v>
      </c>
      <c r="AR44" s="80">
        <f t="shared" si="35"/>
        <v>85237.169351813369</v>
      </c>
      <c r="AS44" s="80">
        <f t="shared" si="35"/>
        <v>85237.169351813369</v>
      </c>
      <c r="AT44" s="80">
        <f t="shared" si="35"/>
        <v>85237.169351813369</v>
      </c>
      <c r="AU44" s="80">
        <f t="shared" si="35"/>
        <v>85237.169351813369</v>
      </c>
      <c r="AV44" s="80">
        <f t="shared" si="35"/>
        <v>85237.169351813369</v>
      </c>
      <c r="AW44" s="80">
        <f t="shared" si="35"/>
        <v>85237.169351813369</v>
      </c>
      <c r="AX44" s="80">
        <f t="shared" si="35"/>
        <v>85237.169351813369</v>
      </c>
      <c r="AY44" s="80">
        <f t="shared" si="35"/>
        <v>86986.320225828793</v>
      </c>
      <c r="AZ44" s="80">
        <f t="shared" si="35"/>
        <v>86986.320225828793</v>
      </c>
      <c r="BA44" s="80">
        <f t="shared" si="35"/>
        <v>86986.320225828793</v>
      </c>
      <c r="BB44" s="80">
        <f t="shared" si="35"/>
        <v>86986.320225828793</v>
      </c>
      <c r="BC44" s="80">
        <f t="shared" si="35"/>
        <v>86986.320225828793</v>
      </c>
      <c r="BD44" s="80">
        <f t="shared" si="35"/>
        <v>86986.320225828793</v>
      </c>
      <c r="BE44" s="80">
        <f t="shared" si="35"/>
        <v>86986.320225828793</v>
      </c>
      <c r="BF44" s="80">
        <f t="shared" si="35"/>
        <v>86986.320225828793</v>
      </c>
      <c r="BG44" s="80">
        <f t="shared" si="35"/>
        <v>86986.320225828793</v>
      </c>
      <c r="BH44" s="80">
        <f t="shared" si="35"/>
        <v>86986.320225828793</v>
      </c>
      <c r="BI44" s="80">
        <f t="shared" si="35"/>
        <v>86986.320225828793</v>
      </c>
      <c r="BJ44" s="80">
        <f t="shared" si="35"/>
        <v>86986.320225828793</v>
      </c>
      <c r="BK44" s="80">
        <f t="shared" si="35"/>
        <v>88771.688054499013</v>
      </c>
      <c r="BL44" s="80">
        <f t="shared" si="35"/>
        <v>88771.688054499013</v>
      </c>
      <c r="BM44" s="80">
        <f t="shared" si="35"/>
        <v>88771.688054499013</v>
      </c>
      <c r="BN44" s="80">
        <f t="shared" si="35"/>
        <v>88771.688054499013</v>
      </c>
      <c r="BO44" s="80">
        <f t="shared" si="35"/>
        <v>88771.688054499013</v>
      </c>
      <c r="BP44" s="80">
        <f t="shared" ref="BP44:EA44" si="36">+SUM(BP39:BP43)</f>
        <v>88771.688054499013</v>
      </c>
      <c r="BQ44" s="80">
        <f t="shared" si="36"/>
        <v>88771.688054499013</v>
      </c>
      <c r="BR44" s="80">
        <f t="shared" si="36"/>
        <v>88771.688054499013</v>
      </c>
      <c r="BS44" s="80">
        <f t="shared" si="36"/>
        <v>88771.688054499013</v>
      </c>
      <c r="BT44" s="80">
        <f t="shared" si="36"/>
        <v>88771.688054499013</v>
      </c>
      <c r="BU44" s="80">
        <f t="shared" si="36"/>
        <v>88771.688054499013</v>
      </c>
      <c r="BV44" s="80">
        <f t="shared" si="36"/>
        <v>88771.688054499013</v>
      </c>
      <c r="BW44" s="80">
        <f t="shared" si="36"/>
        <v>90594.028025346488</v>
      </c>
      <c r="BX44" s="80">
        <f t="shared" si="36"/>
        <v>90594.028025346488</v>
      </c>
      <c r="BY44" s="80">
        <f t="shared" si="36"/>
        <v>90594.028025346488</v>
      </c>
      <c r="BZ44" s="80">
        <f t="shared" si="36"/>
        <v>90594.028025346488</v>
      </c>
      <c r="CA44" s="80">
        <f t="shared" si="36"/>
        <v>90594.028025346488</v>
      </c>
      <c r="CB44" s="80">
        <f t="shared" si="36"/>
        <v>90594.028025346488</v>
      </c>
      <c r="CC44" s="80">
        <f t="shared" si="36"/>
        <v>90594.028025346488</v>
      </c>
      <c r="CD44" s="80">
        <f t="shared" si="36"/>
        <v>90594.028025346488</v>
      </c>
      <c r="CE44" s="80">
        <f t="shared" si="36"/>
        <v>90594.028025346488</v>
      </c>
      <c r="CF44" s="80">
        <f t="shared" si="36"/>
        <v>90594.028025346488</v>
      </c>
      <c r="CG44" s="80">
        <f t="shared" si="36"/>
        <v>90594.028025346488</v>
      </c>
      <c r="CH44" s="80">
        <f t="shared" si="36"/>
        <v>90594.028025346488</v>
      </c>
      <c r="CI44" s="80">
        <f t="shared" si="36"/>
        <v>93979.198188079419</v>
      </c>
      <c r="CJ44" s="80">
        <f t="shared" si="36"/>
        <v>98342.360458573545</v>
      </c>
      <c r="CK44" s="80">
        <f t="shared" si="36"/>
        <v>98342.360458573545</v>
      </c>
      <c r="CL44" s="80">
        <f t="shared" si="36"/>
        <v>98342.360458573545</v>
      </c>
      <c r="CM44" s="80">
        <f t="shared" si="36"/>
        <v>98342.360458573545</v>
      </c>
      <c r="CN44" s="80">
        <f t="shared" si="36"/>
        <v>98342.360458573545</v>
      </c>
      <c r="CO44" s="80">
        <f t="shared" si="36"/>
        <v>98342.360458573545</v>
      </c>
      <c r="CP44" s="80">
        <f t="shared" si="36"/>
        <v>98342.360458573545</v>
      </c>
      <c r="CQ44" s="80">
        <f t="shared" si="36"/>
        <v>98342.360458573545</v>
      </c>
      <c r="CR44" s="80">
        <f t="shared" si="36"/>
        <v>98342.360458573545</v>
      </c>
      <c r="CS44" s="80">
        <f t="shared" si="36"/>
        <v>98342.360458573545</v>
      </c>
      <c r="CT44" s="80">
        <f t="shared" si="36"/>
        <v>98342.360458573545</v>
      </c>
      <c r="CU44" s="80">
        <f t="shared" si="36"/>
        <v>100430.95175765682</v>
      </c>
      <c r="CV44" s="80">
        <f t="shared" si="36"/>
        <v>100430.95175765682</v>
      </c>
      <c r="CW44" s="80">
        <f t="shared" si="36"/>
        <v>100430.95175765682</v>
      </c>
      <c r="CX44" s="80">
        <f t="shared" si="36"/>
        <v>100430.95175765682</v>
      </c>
      <c r="CY44" s="80">
        <f t="shared" si="36"/>
        <v>100430.95175765682</v>
      </c>
      <c r="CZ44" s="80">
        <f t="shared" si="36"/>
        <v>100430.95175765682</v>
      </c>
      <c r="DA44" s="80">
        <f t="shared" si="36"/>
        <v>100430.95175765682</v>
      </c>
      <c r="DB44" s="80">
        <f t="shared" si="36"/>
        <v>100430.95175765682</v>
      </c>
      <c r="DC44" s="80">
        <f t="shared" si="36"/>
        <v>100430.95175765682</v>
      </c>
      <c r="DD44" s="80">
        <f t="shared" si="36"/>
        <v>100430.95175765682</v>
      </c>
      <c r="DE44" s="80">
        <f t="shared" si="36"/>
        <v>100430.95175765682</v>
      </c>
      <c r="DF44" s="80">
        <f t="shared" si="36"/>
        <v>100430.95175765682</v>
      </c>
      <c r="DG44" s="80">
        <f t="shared" si="36"/>
        <v>102564.48223496955</v>
      </c>
      <c r="DH44" s="80">
        <f t="shared" si="36"/>
        <v>102564.48223496955</v>
      </c>
      <c r="DI44" s="80">
        <f t="shared" si="36"/>
        <v>102564.48223496955</v>
      </c>
      <c r="DJ44" s="80">
        <f t="shared" si="36"/>
        <v>102564.48223496955</v>
      </c>
      <c r="DK44" s="80">
        <f t="shared" si="36"/>
        <v>102564.48223496955</v>
      </c>
      <c r="DL44" s="80">
        <f t="shared" si="36"/>
        <v>102564.48223496955</v>
      </c>
      <c r="DM44" s="80">
        <f t="shared" si="36"/>
        <v>102564.48223496955</v>
      </c>
      <c r="DN44" s="80">
        <f t="shared" si="36"/>
        <v>102564.48223496955</v>
      </c>
      <c r="DO44" s="80">
        <f t="shared" si="36"/>
        <v>102564.48223496955</v>
      </c>
      <c r="DP44" s="80">
        <f t="shared" si="36"/>
        <v>102564.48223496955</v>
      </c>
      <c r="DQ44" s="80">
        <f t="shared" si="36"/>
        <v>102564.48223496955</v>
      </c>
      <c r="DR44" s="80">
        <f t="shared" si="36"/>
        <v>102564.48223496955</v>
      </c>
      <c r="DS44" s="80">
        <f t="shared" si="36"/>
        <v>104743.92985788253</v>
      </c>
      <c r="DT44" s="80">
        <f t="shared" si="36"/>
        <v>104743.92985788253</v>
      </c>
      <c r="DU44" s="80">
        <f t="shared" si="36"/>
        <v>104743.92985788253</v>
      </c>
      <c r="DV44" s="80">
        <f t="shared" si="36"/>
        <v>104743.92985788253</v>
      </c>
      <c r="DW44" s="80">
        <f t="shared" si="36"/>
        <v>104743.92985788253</v>
      </c>
      <c r="DX44" s="80">
        <f t="shared" si="36"/>
        <v>104743.92985788253</v>
      </c>
      <c r="DY44" s="80">
        <f t="shared" si="36"/>
        <v>104743.92985788253</v>
      </c>
      <c r="DZ44" s="80">
        <f t="shared" si="36"/>
        <v>104743.92985788253</v>
      </c>
      <c r="EA44" s="80">
        <f t="shared" si="36"/>
        <v>104743.92985788253</v>
      </c>
      <c r="EB44" s="80">
        <f t="shared" ref="EB44:ED44" si="37">+SUM(EB39:EB43)</f>
        <v>104743.92985788253</v>
      </c>
      <c r="EC44" s="80">
        <f t="shared" si="37"/>
        <v>104743.92985788253</v>
      </c>
      <c r="ED44" s="80">
        <f t="shared" si="37"/>
        <v>104743.92985788253</v>
      </c>
    </row>
    <row r="45" spans="1:134" ht="19.149999999999999" customHeight="1" x14ac:dyDescent="0.4">
      <c r="A45" s="5" t="s">
        <v>17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</row>
    <row r="46" spans="1:134" ht="19.149999999999999" customHeight="1" x14ac:dyDescent="0.4">
      <c r="A46" s="6" t="s">
        <v>34</v>
      </c>
      <c r="B46" s="6"/>
      <c r="C46" s="80">
        <v>246690</v>
      </c>
      <c r="D46" s="80">
        <v>246690</v>
      </c>
      <c r="E46" s="80">
        <v>246690</v>
      </c>
      <c r="F46" s="80">
        <v>246690</v>
      </c>
      <c r="G46" s="80">
        <v>246690</v>
      </c>
      <c r="H46" s="80">
        <v>246690</v>
      </c>
      <c r="I46" s="80">
        <v>246690</v>
      </c>
      <c r="J46" s="80">
        <v>246690</v>
      </c>
      <c r="K46" s="80">
        <v>246690</v>
      </c>
      <c r="L46" s="80">
        <v>246690</v>
      </c>
      <c r="M46" s="80">
        <v>246690</v>
      </c>
      <c r="N46" s="80">
        <v>245945</v>
      </c>
      <c r="O46" s="80">
        <v>253043</v>
      </c>
      <c r="P46" s="80">
        <v>253043</v>
      </c>
      <c r="Q46" s="80">
        <v>253043</v>
      </c>
      <c r="R46" s="80">
        <v>253043</v>
      </c>
      <c r="S46" s="80">
        <v>253043</v>
      </c>
      <c r="T46" s="80">
        <v>253043</v>
      </c>
      <c r="U46" s="80">
        <v>253043</v>
      </c>
      <c r="V46" s="80">
        <v>253043</v>
      </c>
      <c r="W46" s="80">
        <v>253043</v>
      </c>
      <c r="X46" s="80">
        <v>253043</v>
      </c>
      <c r="Y46" s="80">
        <v>253043</v>
      </c>
      <c r="Z46" s="80">
        <v>252283</v>
      </c>
      <c r="AA46" s="80">
        <v>259559</v>
      </c>
      <c r="AB46" s="80">
        <v>259559</v>
      </c>
      <c r="AC46" s="80">
        <v>259559</v>
      </c>
      <c r="AD46" s="80">
        <v>259559</v>
      </c>
      <c r="AE46" s="80">
        <v>259559</v>
      </c>
      <c r="AF46" s="80">
        <v>259559</v>
      </c>
      <c r="AG46" s="80">
        <v>259559</v>
      </c>
      <c r="AH46" s="80">
        <v>259559</v>
      </c>
      <c r="AI46" s="80">
        <v>259559</v>
      </c>
      <c r="AJ46" s="80">
        <v>259559</v>
      </c>
      <c r="AK46" s="80">
        <v>259559</v>
      </c>
      <c r="AL46" s="80">
        <v>258784</v>
      </c>
      <c r="AM46" s="80">
        <v>266242</v>
      </c>
      <c r="AN46" s="80">
        <v>266242</v>
      </c>
      <c r="AO46" s="80">
        <v>266242</v>
      </c>
      <c r="AP46" s="80">
        <v>266242</v>
      </c>
      <c r="AQ46" s="80">
        <v>266242</v>
      </c>
      <c r="AR46" s="80">
        <v>266242</v>
      </c>
      <c r="AS46" s="80">
        <v>266242</v>
      </c>
      <c r="AT46" s="80">
        <v>266242</v>
      </c>
      <c r="AU46" s="80">
        <v>266242</v>
      </c>
      <c r="AV46" s="80">
        <v>266242</v>
      </c>
      <c r="AW46" s="80">
        <v>266242</v>
      </c>
      <c r="AX46" s="80">
        <v>265451</v>
      </c>
      <c r="AY46" s="80">
        <v>273095</v>
      </c>
      <c r="AZ46" s="80">
        <v>273095</v>
      </c>
      <c r="BA46" s="80">
        <v>273095</v>
      </c>
      <c r="BB46" s="80">
        <v>273095</v>
      </c>
      <c r="BC46" s="80">
        <v>273095</v>
      </c>
      <c r="BD46" s="80">
        <v>273095</v>
      </c>
      <c r="BE46" s="80">
        <v>273095</v>
      </c>
      <c r="BF46" s="80">
        <v>273095</v>
      </c>
      <c r="BG46" s="80">
        <v>273095</v>
      </c>
      <c r="BH46" s="80">
        <v>273095</v>
      </c>
      <c r="BI46" s="80">
        <v>273095</v>
      </c>
      <c r="BJ46" s="80">
        <v>272289</v>
      </c>
      <c r="BK46" s="80">
        <v>280124</v>
      </c>
      <c r="BL46" s="80">
        <v>280124</v>
      </c>
      <c r="BM46" s="80">
        <v>280124</v>
      </c>
      <c r="BN46" s="80">
        <v>280124</v>
      </c>
      <c r="BO46" s="80">
        <v>280124</v>
      </c>
      <c r="BP46" s="80">
        <v>280124</v>
      </c>
      <c r="BQ46" s="80">
        <v>280124</v>
      </c>
      <c r="BR46" s="80">
        <v>280124</v>
      </c>
      <c r="BS46" s="80">
        <v>280124</v>
      </c>
      <c r="BT46" s="80">
        <v>280124</v>
      </c>
      <c r="BU46" s="80">
        <v>280124</v>
      </c>
      <c r="BV46" s="80">
        <v>279302</v>
      </c>
      <c r="BW46" s="80">
        <v>287333</v>
      </c>
      <c r="BX46" s="80">
        <v>287333</v>
      </c>
      <c r="BY46" s="80">
        <v>287333</v>
      </c>
      <c r="BZ46" s="80">
        <v>287333</v>
      </c>
      <c r="CA46" s="80">
        <v>287333</v>
      </c>
      <c r="CB46" s="80">
        <v>287333</v>
      </c>
      <c r="CC46" s="80">
        <v>287333</v>
      </c>
      <c r="CD46" s="80">
        <v>287333</v>
      </c>
      <c r="CE46" s="80">
        <v>287333</v>
      </c>
      <c r="CF46" s="80">
        <v>287333</v>
      </c>
      <c r="CG46" s="80">
        <v>287333</v>
      </c>
      <c r="CH46" s="80">
        <v>285554</v>
      </c>
      <c r="CI46" s="80">
        <v>-58030</v>
      </c>
      <c r="CJ46" s="80">
        <v>-58030</v>
      </c>
      <c r="CK46" s="80">
        <v>182680</v>
      </c>
      <c r="CL46" s="80">
        <v>522255</v>
      </c>
      <c r="CM46" s="80">
        <v>522255</v>
      </c>
      <c r="CN46" s="80">
        <v>522255</v>
      </c>
      <c r="CO46" s="80">
        <v>522255</v>
      </c>
      <c r="CP46" s="80">
        <v>522255</v>
      </c>
      <c r="CQ46" s="80">
        <v>522255</v>
      </c>
      <c r="CR46" s="80">
        <v>522255</v>
      </c>
      <c r="CS46" s="80">
        <v>522255</v>
      </c>
      <c r="CT46" s="80">
        <v>522339</v>
      </c>
      <c r="CU46" s="80">
        <v>522339</v>
      </c>
      <c r="CV46" s="80">
        <v>522339</v>
      </c>
      <c r="CW46" s="80">
        <v>536488</v>
      </c>
      <c r="CX46" s="80">
        <v>536488</v>
      </c>
      <c r="CY46" s="80">
        <v>536488</v>
      </c>
      <c r="CZ46" s="80">
        <v>536488</v>
      </c>
      <c r="DA46" s="80">
        <v>536488</v>
      </c>
      <c r="DB46" s="80">
        <v>536488</v>
      </c>
      <c r="DC46" s="80">
        <v>536488</v>
      </c>
      <c r="DD46" s="80">
        <v>536488</v>
      </c>
      <c r="DE46" s="80">
        <v>536488</v>
      </c>
      <c r="DF46" s="80">
        <v>535616</v>
      </c>
      <c r="DG46" s="80">
        <v>535616</v>
      </c>
      <c r="DH46" s="80">
        <v>535616</v>
      </c>
      <c r="DI46" s="80">
        <v>550119</v>
      </c>
      <c r="DJ46" s="80">
        <v>550119</v>
      </c>
      <c r="DK46" s="80">
        <v>550119</v>
      </c>
      <c r="DL46" s="80">
        <v>550119</v>
      </c>
      <c r="DM46" s="80">
        <v>550119</v>
      </c>
      <c r="DN46" s="80">
        <v>550119</v>
      </c>
      <c r="DO46" s="80">
        <v>550119</v>
      </c>
      <c r="DP46" s="80">
        <v>550119</v>
      </c>
      <c r="DQ46" s="80">
        <v>550119</v>
      </c>
      <c r="DR46" s="80">
        <v>549229</v>
      </c>
      <c r="DS46" s="80">
        <v>498858</v>
      </c>
      <c r="DT46" s="80">
        <v>498858</v>
      </c>
      <c r="DU46" s="80">
        <v>513724</v>
      </c>
      <c r="DV46" s="80">
        <v>513724</v>
      </c>
      <c r="DW46" s="80">
        <v>513724</v>
      </c>
      <c r="DX46" s="80">
        <v>513724</v>
      </c>
      <c r="DY46" s="80">
        <v>513724</v>
      </c>
      <c r="DZ46" s="80">
        <v>513724</v>
      </c>
      <c r="EA46" s="80">
        <v>513724</v>
      </c>
      <c r="EB46" s="80">
        <v>513724</v>
      </c>
      <c r="EC46" s="80">
        <v>513724</v>
      </c>
      <c r="ED46" s="80">
        <v>513961</v>
      </c>
    </row>
    <row r="47" spans="1:134" ht="19.149999999999999" customHeight="1" x14ac:dyDescent="0.4">
      <c r="A47" s="5" t="s">
        <v>17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</row>
    <row r="48" spans="1:134" ht="19.149999999999999" customHeight="1" x14ac:dyDescent="0.4">
      <c r="A48" s="2" t="s">
        <v>35</v>
      </c>
      <c r="B48" s="2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</row>
    <row r="49" spans="1:134" ht="19.149999999999999" customHeight="1" x14ac:dyDescent="0.4">
      <c r="A49" s="10" t="s">
        <v>36</v>
      </c>
      <c r="B49" s="10"/>
      <c r="C49" s="39">
        <f>IF(C$10='Redlands Inputs'!$D$24,'Redlands Inputs'!$C$31,0)</f>
        <v>0</v>
      </c>
      <c r="D49" s="39">
        <f>IF(D$10='Redlands Inputs'!$D$24,'Redlands Inputs'!$C$31,0)</f>
        <v>0</v>
      </c>
      <c r="E49" s="39">
        <f>IF(E$10='Redlands Inputs'!$D$24,'Redlands Inputs'!$C$31,0)</f>
        <v>0</v>
      </c>
      <c r="F49" s="39">
        <f>IF(F$10='Redlands Inputs'!$D$24,'Redlands Inputs'!$C$31,0)</f>
        <v>0</v>
      </c>
      <c r="G49" s="39">
        <f>IF(G$10='Redlands Inputs'!$D$24,'Redlands Inputs'!$C$31,0)</f>
        <v>0</v>
      </c>
      <c r="H49" s="39">
        <f>IF(H$10='Redlands Inputs'!$D$24,'Redlands Inputs'!$C$31,0)</f>
        <v>0</v>
      </c>
      <c r="I49" s="39">
        <f>IF(I$10='Redlands Inputs'!$D$24,'Redlands Inputs'!$C$31,0)</f>
        <v>0</v>
      </c>
      <c r="J49" s="39">
        <f>IF(J$10='Redlands Inputs'!$D$24,'Redlands Inputs'!$C$31,0)</f>
        <v>0</v>
      </c>
      <c r="K49" s="39">
        <f>IF(K$10='Redlands Inputs'!$D$24,'Redlands Inputs'!$C$31,0)</f>
        <v>0</v>
      </c>
      <c r="L49" s="39">
        <f>IF(L$10='Redlands Inputs'!$D$24,'Redlands Inputs'!$C$31,0)</f>
        <v>0</v>
      </c>
      <c r="M49" s="39">
        <f>IF(M$10='Redlands Inputs'!$D$24,'Redlands Inputs'!$C$31,0)</f>
        <v>0</v>
      </c>
      <c r="N49" s="39">
        <f>IF(N$10='Redlands Inputs'!$D$24,'Redlands Inputs'!$C$31,0)</f>
        <v>0</v>
      </c>
      <c r="O49" s="39">
        <f>IF(O$10='Redlands Inputs'!$D$24,'Redlands Inputs'!$C$31,0)</f>
        <v>0</v>
      </c>
      <c r="P49" s="39">
        <f>IF(P$10='Redlands Inputs'!$D$24,'Redlands Inputs'!$C$31,0)</f>
        <v>0</v>
      </c>
      <c r="Q49" s="39">
        <f>IF(Q$10='Redlands Inputs'!$D$24,'Redlands Inputs'!$C$31,0)</f>
        <v>0</v>
      </c>
      <c r="R49" s="39">
        <f>IF(R$10='Redlands Inputs'!$D$24,'Redlands Inputs'!$C$31,0)</f>
        <v>0</v>
      </c>
      <c r="S49" s="39">
        <f>IF(S$10='Redlands Inputs'!$D$24,'Redlands Inputs'!$C$31,0)</f>
        <v>0</v>
      </c>
      <c r="T49" s="39">
        <f>IF(T$10='Redlands Inputs'!$D$24,'Redlands Inputs'!$C$31,0)</f>
        <v>0</v>
      </c>
      <c r="U49" s="39">
        <f>IF(U$10='Redlands Inputs'!$D$24,'Redlands Inputs'!$C$31,0)</f>
        <v>0</v>
      </c>
      <c r="V49" s="39">
        <f>IF(V$10='Redlands Inputs'!$D$24,'Redlands Inputs'!$C$31,0)</f>
        <v>0</v>
      </c>
      <c r="W49" s="39">
        <f>IF(W$10='Redlands Inputs'!$D$24,'Redlands Inputs'!$C$31,0)</f>
        <v>0</v>
      </c>
      <c r="X49" s="39">
        <f>IF(X$10='Redlands Inputs'!$D$24,'Redlands Inputs'!$C$31,0)</f>
        <v>0</v>
      </c>
      <c r="Y49" s="39">
        <f>IF(Y$10='Redlands Inputs'!$D$24,'Redlands Inputs'!$C$31,0)</f>
        <v>0</v>
      </c>
      <c r="Z49" s="39">
        <f>IF(Z$10='Redlands Inputs'!$D$24,'Redlands Inputs'!$C$31,0)</f>
        <v>0</v>
      </c>
      <c r="AA49" s="39">
        <f>IF(AA$10='Redlands Inputs'!$D$24,'Redlands Inputs'!$C$31,0)</f>
        <v>0</v>
      </c>
      <c r="AB49" s="39">
        <f>IF(AB$10='Redlands Inputs'!$D$24,'Redlands Inputs'!$C$31,0)</f>
        <v>0</v>
      </c>
      <c r="AC49" s="39">
        <f>IF(AC$10='Redlands Inputs'!$D$24,'Redlands Inputs'!$C$31,0)</f>
        <v>0</v>
      </c>
      <c r="AD49" s="39">
        <f>IF(AD$10='Redlands Inputs'!$D$24,'Redlands Inputs'!$C$31,0)</f>
        <v>0</v>
      </c>
      <c r="AE49" s="39">
        <f>IF(AE$10='Redlands Inputs'!$D$24,'Redlands Inputs'!$C$31,0)</f>
        <v>0</v>
      </c>
      <c r="AF49" s="39">
        <f>IF(AF$10='Redlands Inputs'!$D$24,'Redlands Inputs'!$C$31,0)</f>
        <v>0</v>
      </c>
      <c r="AG49" s="39">
        <f>IF(AG$10='Redlands Inputs'!$D$24,'Redlands Inputs'!$C$31,0)</f>
        <v>0</v>
      </c>
      <c r="AH49" s="39">
        <f>IF(AH$10='Redlands Inputs'!$D$24,'Redlands Inputs'!$C$31,0)</f>
        <v>0</v>
      </c>
      <c r="AI49" s="39">
        <f>IF(AI$10='Redlands Inputs'!$D$24,'Redlands Inputs'!$C$31,0)</f>
        <v>0</v>
      </c>
      <c r="AJ49" s="39">
        <f>IF(AJ$10='Redlands Inputs'!$D$24,'Redlands Inputs'!$C$31,0)</f>
        <v>0</v>
      </c>
      <c r="AK49" s="39">
        <f>IF(AK$10='Redlands Inputs'!$D$24,'Redlands Inputs'!$C$31,0)</f>
        <v>0</v>
      </c>
      <c r="AL49" s="39">
        <f>IF(AL$10='Redlands Inputs'!$D$24,'Redlands Inputs'!$C$31,0)</f>
        <v>0</v>
      </c>
      <c r="AM49" s="39">
        <f>IF(AM$10='Redlands Inputs'!$D$24,'Redlands Inputs'!$C$31,0)</f>
        <v>0</v>
      </c>
      <c r="AN49" s="39">
        <f>IF(AN$10='Redlands Inputs'!$D$24,'Redlands Inputs'!$C$31,0)</f>
        <v>0</v>
      </c>
      <c r="AO49" s="39">
        <f>IF(AO$10='Redlands Inputs'!$D$24,'Redlands Inputs'!$C$31,0)</f>
        <v>0</v>
      </c>
      <c r="AP49" s="39">
        <f>IF(AP$10='Redlands Inputs'!$D$24,'Redlands Inputs'!$C$31,0)</f>
        <v>0</v>
      </c>
      <c r="AQ49" s="39">
        <f>IF(AQ$10='Redlands Inputs'!$D$24,'Redlands Inputs'!$C$31,0)</f>
        <v>0</v>
      </c>
      <c r="AR49" s="39">
        <f>IF(AR$10='Redlands Inputs'!$D$24,'Redlands Inputs'!$C$31,0)</f>
        <v>0</v>
      </c>
      <c r="AS49" s="39">
        <f>IF(AS$10='Redlands Inputs'!$D$24,'Redlands Inputs'!$C$31,0)</f>
        <v>0</v>
      </c>
      <c r="AT49" s="39">
        <f>IF(AT$10='Redlands Inputs'!$D$24,'Redlands Inputs'!$C$31,0)</f>
        <v>0</v>
      </c>
      <c r="AU49" s="39">
        <f>IF(AU$10='Redlands Inputs'!$D$24,'Redlands Inputs'!$C$31,0)</f>
        <v>0</v>
      </c>
      <c r="AV49" s="39">
        <f>IF(AV$10='Redlands Inputs'!$D$24,'Redlands Inputs'!$C$31,0)</f>
        <v>0</v>
      </c>
      <c r="AW49" s="39">
        <f>IF(AW$10='Redlands Inputs'!$D$24,'Redlands Inputs'!$C$31,0)</f>
        <v>0</v>
      </c>
      <c r="AX49" s="39">
        <f>IF(AX$10='Redlands Inputs'!$D$24,'Redlands Inputs'!$C$31,0)</f>
        <v>0</v>
      </c>
      <c r="AY49" s="39">
        <f>IF(AY$10='Redlands Inputs'!$D$24,'Redlands Inputs'!$C$31,0)</f>
        <v>0</v>
      </c>
      <c r="AZ49" s="39">
        <f>IF(AZ$10='Redlands Inputs'!$D$24,'Redlands Inputs'!$C$31,0)</f>
        <v>0</v>
      </c>
      <c r="BA49" s="39">
        <f>IF(BA$10='Redlands Inputs'!$D$24,'Redlands Inputs'!$C$31,0)</f>
        <v>0</v>
      </c>
      <c r="BB49" s="39">
        <f>IF(BB$10='Redlands Inputs'!$D$24,'Redlands Inputs'!$C$31,0)</f>
        <v>0</v>
      </c>
      <c r="BC49" s="39">
        <f>IF(BC$10='Redlands Inputs'!$D$24,'Redlands Inputs'!$C$31,0)</f>
        <v>0</v>
      </c>
      <c r="BD49" s="39">
        <f>IF(BD$10='Redlands Inputs'!$D$24,'Redlands Inputs'!$C$31,0)</f>
        <v>0</v>
      </c>
      <c r="BE49" s="39">
        <f>IF(BE$10='Redlands Inputs'!$D$24,'Redlands Inputs'!$C$31,0)</f>
        <v>0</v>
      </c>
      <c r="BF49" s="39">
        <f>IF(BF$10='Redlands Inputs'!$D$24,'Redlands Inputs'!$C$31,0)</f>
        <v>0</v>
      </c>
      <c r="BG49" s="39">
        <f>IF(BG$10='Redlands Inputs'!$D$24,'Redlands Inputs'!$C$31,0)</f>
        <v>0</v>
      </c>
      <c r="BH49" s="39">
        <f>IF(BH$10='Redlands Inputs'!$D$24,'Redlands Inputs'!$C$31,0)</f>
        <v>0</v>
      </c>
      <c r="BI49" s="39">
        <f>IF(BI$10='Redlands Inputs'!$D$24,'Redlands Inputs'!$C$31,0)</f>
        <v>0</v>
      </c>
      <c r="BJ49" s="39">
        <f>IF(BJ$10='Redlands Inputs'!$D$24,'Redlands Inputs'!$C$31,0)</f>
        <v>0</v>
      </c>
      <c r="BK49" s="39">
        <f>IF(BK$10='Redlands Inputs'!$D$24,'Redlands Inputs'!$C$31,0)</f>
        <v>0</v>
      </c>
      <c r="BL49" s="39">
        <f>IF(BL$10='Redlands Inputs'!$D$24,'Redlands Inputs'!$C$31,0)</f>
        <v>0</v>
      </c>
      <c r="BM49" s="39">
        <f>IF(BM$10='Redlands Inputs'!$D$24,'Redlands Inputs'!$C$31,0)</f>
        <v>0</v>
      </c>
      <c r="BN49" s="39">
        <f>IF(BN$10='Redlands Inputs'!$D$24,'Redlands Inputs'!$C$31,0)</f>
        <v>0</v>
      </c>
      <c r="BO49" s="39">
        <f>IF(BO$10='Redlands Inputs'!$D$24,'Redlands Inputs'!$C$31,0)</f>
        <v>0</v>
      </c>
      <c r="BP49" s="39">
        <f>IF(BP$10='Redlands Inputs'!$D$24,'Redlands Inputs'!$C$31,0)</f>
        <v>0</v>
      </c>
      <c r="BQ49" s="39">
        <f>IF(BQ$10='Redlands Inputs'!$D$24,'Redlands Inputs'!$C$31,0)</f>
        <v>0</v>
      </c>
      <c r="BR49" s="39">
        <f>IF(BR$10='Redlands Inputs'!$D$24,'Redlands Inputs'!$C$31,0)</f>
        <v>0</v>
      </c>
      <c r="BS49" s="39">
        <f>IF(BS$10='Redlands Inputs'!$D$24,'Redlands Inputs'!$C$31,0)</f>
        <v>0</v>
      </c>
      <c r="BT49" s="39">
        <f>IF(BT$10='Redlands Inputs'!$D$24,'Redlands Inputs'!$C$31,0)</f>
        <v>0</v>
      </c>
      <c r="BU49" s="39">
        <f>IF(BU$10='Redlands Inputs'!$D$24,'Redlands Inputs'!$C$31,0)</f>
        <v>0</v>
      </c>
      <c r="BV49" s="39">
        <f>IF(BV$10='Redlands Inputs'!$D$24,'Redlands Inputs'!$C$31,0)</f>
        <v>0</v>
      </c>
      <c r="BW49" s="39">
        <f>IF(BW$10='Redlands Inputs'!$D$24,'Redlands Inputs'!$C$31,0)</f>
        <v>0</v>
      </c>
      <c r="BX49" s="39">
        <f>IF(BX$10='Redlands Inputs'!$D$24,'Redlands Inputs'!$C$31,0)</f>
        <v>0</v>
      </c>
      <c r="BY49" s="39">
        <f>IF(BY$10='Redlands Inputs'!$D$24,'Redlands Inputs'!$C$31,0)</f>
        <v>0</v>
      </c>
      <c r="BZ49" s="39">
        <f>IF(BZ$10='Redlands Inputs'!$D$24,'Redlands Inputs'!$C$31,0)</f>
        <v>0</v>
      </c>
      <c r="CA49" s="39">
        <f>IF(CA$10='Redlands Inputs'!$D$24,'Redlands Inputs'!$C$31,0)</f>
        <v>0</v>
      </c>
      <c r="CB49" s="39">
        <f>IF(CB$10='Redlands Inputs'!$D$24,'Redlands Inputs'!$C$31,0)</f>
        <v>0</v>
      </c>
      <c r="CC49" s="39">
        <f>IF(CC$10='Redlands Inputs'!$D$24,'Redlands Inputs'!$C$31,0)</f>
        <v>0</v>
      </c>
      <c r="CD49" s="39">
        <f>IF(CD$10='Redlands Inputs'!$D$24,'Redlands Inputs'!$C$31,0)</f>
        <v>0</v>
      </c>
      <c r="CE49" s="39">
        <f>IF(CE$10='Redlands Inputs'!$D$24,'Redlands Inputs'!$C$31,0)</f>
        <v>0</v>
      </c>
      <c r="CF49" s="39">
        <f>IF(CF$10='Redlands Inputs'!$D$24,'Redlands Inputs'!$C$31,0)</f>
        <v>0</v>
      </c>
      <c r="CG49" s="39">
        <f>IF(CG$10='Redlands Inputs'!$D$24,'Redlands Inputs'!$C$31,0)</f>
        <v>0</v>
      </c>
      <c r="CH49" s="39">
        <f>IF(CH$10='Redlands Inputs'!$D$24,'Redlands Inputs'!$C$31,0)</f>
        <v>0</v>
      </c>
      <c r="CI49" s="39">
        <f>IF(CI$10='Redlands Inputs'!$D$24,'Redlands Inputs'!$C$31,0)</f>
        <v>0</v>
      </c>
      <c r="CJ49" s="39">
        <f>IF(CJ$10='Redlands Inputs'!$D$24,'Redlands Inputs'!$C$31,0)</f>
        <v>2400000</v>
      </c>
      <c r="CK49" s="39">
        <f>IF(CK$10='Redlands Inputs'!$D$24,'Redlands Inputs'!$C$31,0)</f>
        <v>0</v>
      </c>
      <c r="CL49" s="39">
        <f>IF(CL$10='Redlands Inputs'!$D$24,'Redlands Inputs'!$C$31,0)</f>
        <v>0</v>
      </c>
      <c r="CM49" s="39">
        <f>IF(CM$10='Redlands Inputs'!$D$24,'Redlands Inputs'!$C$31,0)</f>
        <v>0</v>
      </c>
      <c r="CN49" s="39">
        <f>IF(CN$10='Redlands Inputs'!$D$24,'Redlands Inputs'!$C$31,0)</f>
        <v>0</v>
      </c>
      <c r="CO49" s="39">
        <f>IF(CO$10='Redlands Inputs'!$D$24,'Redlands Inputs'!$C$31,0)</f>
        <v>0</v>
      </c>
      <c r="CP49" s="39">
        <f>IF(CP$10='Redlands Inputs'!$D$24,'Redlands Inputs'!$C$31,0)</f>
        <v>0</v>
      </c>
      <c r="CQ49" s="39">
        <f>IF(CQ$10='Redlands Inputs'!$D$24,'Redlands Inputs'!$C$31,0)</f>
        <v>0</v>
      </c>
      <c r="CR49" s="39">
        <f>IF(CR$10='Redlands Inputs'!$D$24,'Redlands Inputs'!$C$31,0)</f>
        <v>0</v>
      </c>
      <c r="CS49" s="39">
        <f>IF(CS$10='Redlands Inputs'!$D$24,'Redlands Inputs'!$C$31,0)</f>
        <v>0</v>
      </c>
      <c r="CT49" s="39">
        <f>IF(CT$10='Redlands Inputs'!$D$24,'Redlands Inputs'!$C$31,0)</f>
        <v>0</v>
      </c>
      <c r="CU49" s="39">
        <f>IF(CU$10='Redlands Inputs'!$D$24,'Redlands Inputs'!$C$31,0)</f>
        <v>0</v>
      </c>
      <c r="CV49" s="39">
        <f>IF(CV$10='Redlands Inputs'!$D$24,'Redlands Inputs'!$C$31,0)</f>
        <v>0</v>
      </c>
      <c r="CW49" s="39">
        <f>IF(CW$10='Redlands Inputs'!$D$24,'Redlands Inputs'!$C$31,0)</f>
        <v>0</v>
      </c>
      <c r="CX49" s="39">
        <f>IF(CX$10='Redlands Inputs'!$D$24,'Redlands Inputs'!$C$31,0)</f>
        <v>0</v>
      </c>
      <c r="CY49" s="39">
        <f>IF(CY$10='Redlands Inputs'!$D$24,'Redlands Inputs'!$C$31,0)</f>
        <v>0</v>
      </c>
      <c r="CZ49" s="39">
        <f>IF(CZ$10='Redlands Inputs'!$D$24,'Redlands Inputs'!$C$31,0)</f>
        <v>0</v>
      </c>
      <c r="DA49" s="39">
        <f>IF(DA$10='Redlands Inputs'!$D$24,'Redlands Inputs'!$C$31,0)</f>
        <v>0</v>
      </c>
      <c r="DB49" s="39">
        <f>IF(DB$10='Redlands Inputs'!$D$24,'Redlands Inputs'!$C$31,0)</f>
        <v>0</v>
      </c>
      <c r="DC49" s="39">
        <f>IF(DC$10='Redlands Inputs'!$D$24,'Redlands Inputs'!$C$31,0)</f>
        <v>0</v>
      </c>
      <c r="DD49" s="39">
        <f>IF(DD$10='Redlands Inputs'!$D$24,'Redlands Inputs'!$C$31,0)</f>
        <v>0</v>
      </c>
      <c r="DE49" s="39">
        <f>IF(DE$10='Redlands Inputs'!$D$24,'Redlands Inputs'!$C$31,0)</f>
        <v>0</v>
      </c>
      <c r="DF49" s="39">
        <f>IF(DF$10='Redlands Inputs'!$D$24,'Redlands Inputs'!$C$31,0)</f>
        <v>0</v>
      </c>
      <c r="DG49" s="39">
        <f>IF(DG$10='Redlands Inputs'!$D$24,'Redlands Inputs'!$C$31,0)</f>
        <v>0</v>
      </c>
      <c r="DH49" s="39">
        <f>IF(DH$10='Redlands Inputs'!$D$24,'Redlands Inputs'!$C$31,0)</f>
        <v>0</v>
      </c>
      <c r="DI49" s="39">
        <f>IF(DI$10='Redlands Inputs'!$D$24,'Redlands Inputs'!$C$31,0)</f>
        <v>0</v>
      </c>
      <c r="DJ49" s="39">
        <f>IF(DJ$10='Redlands Inputs'!$D$24,'Redlands Inputs'!$C$31,0)</f>
        <v>0</v>
      </c>
      <c r="DK49" s="39">
        <f>IF(DK$10='Redlands Inputs'!$D$24,'Redlands Inputs'!$C$31,0)</f>
        <v>0</v>
      </c>
      <c r="DL49" s="39">
        <f>IF(DL$10='Redlands Inputs'!$D$24,'Redlands Inputs'!$C$31,0)</f>
        <v>0</v>
      </c>
      <c r="DM49" s="39">
        <f>IF(DM$10='Redlands Inputs'!$D$24,'Redlands Inputs'!$C$31,0)</f>
        <v>0</v>
      </c>
      <c r="DN49" s="39">
        <f>IF(DN$10='Redlands Inputs'!$D$24,'Redlands Inputs'!$C$31,0)</f>
        <v>0</v>
      </c>
      <c r="DO49" s="39">
        <f>IF(DO$10='Redlands Inputs'!$D$24,'Redlands Inputs'!$C$31,0)</f>
        <v>0</v>
      </c>
      <c r="DP49" s="39">
        <f>IF(DP$10='Redlands Inputs'!$D$24,'Redlands Inputs'!$C$31,0)</f>
        <v>0</v>
      </c>
      <c r="DQ49" s="39">
        <f>IF(DQ$10='Redlands Inputs'!$D$24,'Redlands Inputs'!$C$31,0)</f>
        <v>0</v>
      </c>
      <c r="DR49" s="39">
        <f>IF(DR$10='Redlands Inputs'!$D$24,'Redlands Inputs'!$C$31,0)</f>
        <v>0</v>
      </c>
      <c r="DS49" s="39">
        <f>IF(DS$10='Redlands Inputs'!$D$24,'Redlands Inputs'!$C$31,0)</f>
        <v>0</v>
      </c>
      <c r="DT49" s="39">
        <f>IF(DT$10='Redlands Inputs'!$D$24,'Redlands Inputs'!$C$31,0)</f>
        <v>0</v>
      </c>
      <c r="DU49" s="39">
        <f>IF(DU$10='Redlands Inputs'!$D$24,'Redlands Inputs'!$C$31,0)</f>
        <v>0</v>
      </c>
      <c r="DV49" s="39">
        <f>IF(DV$10='Redlands Inputs'!$D$24,'Redlands Inputs'!$C$31,0)</f>
        <v>0</v>
      </c>
      <c r="DW49" s="39">
        <f>IF(DW$10='Redlands Inputs'!$D$24,'Redlands Inputs'!$C$31,0)</f>
        <v>0</v>
      </c>
      <c r="DX49" s="39">
        <f>IF(DX$10='Redlands Inputs'!$D$24,'Redlands Inputs'!$C$31,0)</f>
        <v>0</v>
      </c>
      <c r="DY49" s="39">
        <f>IF(DY$10='Redlands Inputs'!$D$24,'Redlands Inputs'!$C$31,0)</f>
        <v>0</v>
      </c>
      <c r="DZ49" s="39">
        <f>IF(DZ$10='Redlands Inputs'!$D$24,'Redlands Inputs'!$C$31,0)</f>
        <v>0</v>
      </c>
      <c r="EA49" s="39">
        <f>IF(EA$10='Redlands Inputs'!$D$24,'Redlands Inputs'!$C$31,0)</f>
        <v>0</v>
      </c>
      <c r="EB49" s="39">
        <f>IF(EB$10='Redlands Inputs'!$D$24,'Redlands Inputs'!$C$31,0)</f>
        <v>0</v>
      </c>
      <c r="EC49" s="39">
        <f>IF(EC$10='Redlands Inputs'!$D$24,'Redlands Inputs'!$C$31,0)</f>
        <v>0</v>
      </c>
      <c r="ED49" s="39">
        <f>IF(ED$10='Redlands Inputs'!$D$24,'Redlands Inputs'!$C$31,0)</f>
        <v>0</v>
      </c>
    </row>
    <row r="50" spans="1:134" ht="19.149999999999999" customHeight="1" x14ac:dyDescent="0.4">
      <c r="A50" s="10" t="s">
        <v>37</v>
      </c>
      <c r="B50" s="10"/>
      <c r="C50" s="39">
        <f>IF(C$10=EDATE('Redlands Inputs'!$D$24,-2),'Redlands Inputs'!$C$34/2,IF(C$10='Redlands Inputs'!$D$24,'Redlands Inputs'!$C$34/2,0))</f>
        <v>0</v>
      </c>
      <c r="D50" s="39">
        <f>IF(D$10=EDATE('Redlands Inputs'!$D$24,-2),'Redlands Inputs'!$C$34/2,IF(D$10='Redlands Inputs'!$D$24,'Redlands Inputs'!$C$34/2,0))</f>
        <v>0</v>
      </c>
      <c r="E50" s="39">
        <f>IF(E$10=EDATE('Redlands Inputs'!$D$24,-2),'Redlands Inputs'!$C$34/2,IF(E$10='Redlands Inputs'!$D$24,'Redlands Inputs'!$C$34/2,0))</f>
        <v>0</v>
      </c>
      <c r="F50" s="39">
        <f>IF(F$10=EDATE('Redlands Inputs'!$D$24,-2),'Redlands Inputs'!$C$34/2,IF(F$10='Redlands Inputs'!$D$24,'Redlands Inputs'!$C$34/2,0))</f>
        <v>0</v>
      </c>
      <c r="G50" s="39">
        <f>IF(G$10=EDATE('Redlands Inputs'!$D$24,-2),'Redlands Inputs'!$C$34/2,IF(G$10='Redlands Inputs'!$D$24,'Redlands Inputs'!$C$34/2,0))</f>
        <v>0</v>
      </c>
      <c r="H50" s="39">
        <f>IF(H$10=EDATE('Redlands Inputs'!$D$24,-2),'Redlands Inputs'!$C$34/2,IF(H$10='Redlands Inputs'!$D$24,'Redlands Inputs'!$C$34/2,0))</f>
        <v>0</v>
      </c>
      <c r="I50" s="39">
        <f>IF(I$10=EDATE('Redlands Inputs'!$D$24,-2),'Redlands Inputs'!$C$34/2,IF(I$10='Redlands Inputs'!$D$24,'Redlands Inputs'!$C$34/2,0))</f>
        <v>0</v>
      </c>
      <c r="J50" s="39">
        <f>IF(J$10=EDATE('Redlands Inputs'!$D$24,-2),'Redlands Inputs'!$C$34/2,IF(J$10='Redlands Inputs'!$D$24,'Redlands Inputs'!$C$34/2,0))</f>
        <v>0</v>
      </c>
      <c r="K50" s="39">
        <f>IF(K$10=EDATE('Redlands Inputs'!$D$24,-2),'Redlands Inputs'!$C$34/2,IF(K$10='Redlands Inputs'!$D$24,'Redlands Inputs'!$C$34/2,0))</f>
        <v>0</v>
      </c>
      <c r="L50" s="39">
        <f>IF(L$10=EDATE('Redlands Inputs'!$D$24,-2),'Redlands Inputs'!$C$34/2,IF(L$10='Redlands Inputs'!$D$24,'Redlands Inputs'!$C$34/2,0))</f>
        <v>0</v>
      </c>
      <c r="M50" s="39">
        <f>IF(M$10=EDATE('Redlands Inputs'!$D$24,-2),'Redlands Inputs'!$C$34/2,IF(M$10='Redlands Inputs'!$D$24,'Redlands Inputs'!$C$34/2,0))</f>
        <v>0</v>
      </c>
      <c r="N50" s="39">
        <f>IF(N$10=EDATE('Redlands Inputs'!$D$24,-2),'Redlands Inputs'!$C$34/2,IF(N$10='Redlands Inputs'!$D$24,'Redlands Inputs'!$C$34/2,0))</f>
        <v>0</v>
      </c>
      <c r="O50" s="39">
        <f>IF(O$10=EDATE('Redlands Inputs'!$D$24,-2),'Redlands Inputs'!$C$34/2,IF(O$10='Redlands Inputs'!$D$24,'Redlands Inputs'!$C$34/2,0))</f>
        <v>0</v>
      </c>
      <c r="P50" s="39">
        <f>IF(P$10=EDATE('Redlands Inputs'!$D$24,-2),'Redlands Inputs'!$C$34/2,IF(P$10='Redlands Inputs'!$D$24,'Redlands Inputs'!$C$34/2,0))</f>
        <v>0</v>
      </c>
      <c r="Q50" s="39">
        <f>IF(Q$10=EDATE('Redlands Inputs'!$D$24,-2),'Redlands Inputs'!$C$34/2,IF(Q$10='Redlands Inputs'!$D$24,'Redlands Inputs'!$C$34/2,0))</f>
        <v>0</v>
      </c>
      <c r="R50" s="39">
        <f>IF(R$10=EDATE('Redlands Inputs'!$D$24,-2),'Redlands Inputs'!$C$34/2,IF(R$10='Redlands Inputs'!$D$24,'Redlands Inputs'!$C$34/2,0))</f>
        <v>0</v>
      </c>
      <c r="S50" s="39">
        <f>IF(S$10=EDATE('Redlands Inputs'!$D$24,-2),'Redlands Inputs'!$C$34/2,IF(S$10='Redlands Inputs'!$D$24,'Redlands Inputs'!$C$34/2,0))</f>
        <v>0</v>
      </c>
      <c r="T50" s="39">
        <f>IF(T$10=EDATE('Redlands Inputs'!$D$24,-2),'Redlands Inputs'!$C$34/2,IF(T$10='Redlands Inputs'!$D$24,'Redlands Inputs'!$C$34/2,0))</f>
        <v>0</v>
      </c>
      <c r="U50" s="39">
        <f>IF(U$10=EDATE('Redlands Inputs'!$D$24,-2),'Redlands Inputs'!$C$34/2,IF(U$10='Redlands Inputs'!$D$24,'Redlands Inputs'!$C$34/2,0))</f>
        <v>0</v>
      </c>
      <c r="V50" s="39">
        <f>IF(V$10=EDATE('Redlands Inputs'!$D$24,-2),'Redlands Inputs'!$C$34/2,IF(V$10='Redlands Inputs'!$D$24,'Redlands Inputs'!$C$34/2,0))</f>
        <v>0</v>
      </c>
      <c r="W50" s="39">
        <f>IF(W$10=EDATE('Redlands Inputs'!$D$24,-2),'Redlands Inputs'!$C$34/2,IF(W$10='Redlands Inputs'!$D$24,'Redlands Inputs'!$C$34/2,0))</f>
        <v>0</v>
      </c>
      <c r="X50" s="39">
        <f>IF(X$10=EDATE('Redlands Inputs'!$D$24,-2),'Redlands Inputs'!$C$34/2,IF(X$10='Redlands Inputs'!$D$24,'Redlands Inputs'!$C$34/2,0))</f>
        <v>0</v>
      </c>
      <c r="Y50" s="39">
        <f>IF(Y$10=EDATE('Redlands Inputs'!$D$24,-2),'Redlands Inputs'!$C$34/2,IF(Y$10='Redlands Inputs'!$D$24,'Redlands Inputs'!$C$34/2,0))</f>
        <v>0</v>
      </c>
      <c r="Z50" s="39">
        <f>IF(Z$10=EDATE('Redlands Inputs'!$D$24,-2),'Redlands Inputs'!$C$34/2,IF(Z$10='Redlands Inputs'!$D$24,'Redlands Inputs'!$C$34/2,0))</f>
        <v>0</v>
      </c>
      <c r="AA50" s="39">
        <f>IF(AA$10=EDATE('Redlands Inputs'!$D$24,-2),'Redlands Inputs'!$C$34/2,IF(AA$10='Redlands Inputs'!$D$24,'Redlands Inputs'!$C$34/2,0))</f>
        <v>0</v>
      </c>
      <c r="AB50" s="39">
        <f>IF(AB$10=EDATE('Redlands Inputs'!$D$24,-2),'Redlands Inputs'!$C$34/2,IF(AB$10='Redlands Inputs'!$D$24,'Redlands Inputs'!$C$34/2,0))</f>
        <v>0</v>
      </c>
      <c r="AC50" s="39">
        <f>IF(AC$10=EDATE('Redlands Inputs'!$D$24,-2),'Redlands Inputs'!$C$34/2,IF(AC$10='Redlands Inputs'!$D$24,'Redlands Inputs'!$C$34/2,0))</f>
        <v>0</v>
      </c>
      <c r="AD50" s="39">
        <f>IF(AD$10=EDATE('Redlands Inputs'!$D$24,-2),'Redlands Inputs'!$C$34/2,IF(AD$10='Redlands Inputs'!$D$24,'Redlands Inputs'!$C$34/2,0))</f>
        <v>0</v>
      </c>
      <c r="AE50" s="39">
        <f>IF(AE$10=EDATE('Redlands Inputs'!$D$24,-2),'Redlands Inputs'!$C$34/2,IF(AE$10='Redlands Inputs'!$D$24,'Redlands Inputs'!$C$34/2,0))</f>
        <v>0</v>
      </c>
      <c r="AF50" s="39">
        <f>IF(AF$10=EDATE('Redlands Inputs'!$D$24,-2),'Redlands Inputs'!$C$34/2,IF(AF$10='Redlands Inputs'!$D$24,'Redlands Inputs'!$C$34/2,0))</f>
        <v>0</v>
      </c>
      <c r="AG50" s="39">
        <f>IF(AG$10=EDATE('Redlands Inputs'!$D$24,-2),'Redlands Inputs'!$C$34/2,IF(AG$10='Redlands Inputs'!$D$24,'Redlands Inputs'!$C$34/2,0))</f>
        <v>0</v>
      </c>
      <c r="AH50" s="39">
        <f>IF(AH$10=EDATE('Redlands Inputs'!$D$24,-2),'Redlands Inputs'!$C$34/2,IF(AH$10='Redlands Inputs'!$D$24,'Redlands Inputs'!$C$34/2,0))</f>
        <v>0</v>
      </c>
      <c r="AI50" s="39">
        <f>IF(AI$10=EDATE('Redlands Inputs'!$D$24,-2),'Redlands Inputs'!$C$34/2,IF(AI$10='Redlands Inputs'!$D$24,'Redlands Inputs'!$C$34/2,0))</f>
        <v>0</v>
      </c>
      <c r="AJ50" s="39">
        <f>IF(AJ$10=EDATE('Redlands Inputs'!$D$24,-2),'Redlands Inputs'!$C$34/2,IF(AJ$10='Redlands Inputs'!$D$24,'Redlands Inputs'!$C$34/2,0))</f>
        <v>0</v>
      </c>
      <c r="AK50" s="39">
        <f>IF(AK$10=EDATE('Redlands Inputs'!$D$24,-2),'Redlands Inputs'!$C$34/2,IF(AK$10='Redlands Inputs'!$D$24,'Redlands Inputs'!$C$34/2,0))</f>
        <v>0</v>
      </c>
      <c r="AL50" s="39">
        <f>IF(AL$10=EDATE('Redlands Inputs'!$D$24,-2),'Redlands Inputs'!$C$34/2,IF(AL$10='Redlands Inputs'!$D$24,'Redlands Inputs'!$C$34/2,0))</f>
        <v>0</v>
      </c>
      <c r="AM50" s="39">
        <f>IF(AM$10=EDATE('Redlands Inputs'!$D$24,-2),'Redlands Inputs'!$C$34/2,IF(AM$10='Redlands Inputs'!$D$24,'Redlands Inputs'!$C$34/2,0))</f>
        <v>0</v>
      </c>
      <c r="AN50" s="39">
        <f>IF(AN$10=EDATE('Redlands Inputs'!$D$24,-2),'Redlands Inputs'!$C$34/2,IF(AN$10='Redlands Inputs'!$D$24,'Redlands Inputs'!$C$34/2,0))</f>
        <v>0</v>
      </c>
      <c r="AO50" s="39">
        <f>IF(AO$10=EDATE('Redlands Inputs'!$D$24,-2),'Redlands Inputs'!$C$34/2,IF(AO$10='Redlands Inputs'!$D$24,'Redlands Inputs'!$C$34/2,0))</f>
        <v>0</v>
      </c>
      <c r="AP50" s="39">
        <f>IF(AP$10=EDATE('Redlands Inputs'!$D$24,-2),'Redlands Inputs'!$C$34/2,IF(AP$10='Redlands Inputs'!$D$24,'Redlands Inputs'!$C$34/2,0))</f>
        <v>0</v>
      </c>
      <c r="AQ50" s="39">
        <f>IF(AQ$10=EDATE('Redlands Inputs'!$D$24,-2),'Redlands Inputs'!$C$34/2,IF(AQ$10='Redlands Inputs'!$D$24,'Redlands Inputs'!$C$34/2,0))</f>
        <v>0</v>
      </c>
      <c r="AR50" s="39">
        <f>IF(AR$10=EDATE('Redlands Inputs'!$D$24,-2),'Redlands Inputs'!$C$34/2,IF(AR$10='Redlands Inputs'!$D$24,'Redlands Inputs'!$C$34/2,0))</f>
        <v>0</v>
      </c>
      <c r="AS50" s="39">
        <f>IF(AS$10=EDATE('Redlands Inputs'!$D$24,-2),'Redlands Inputs'!$C$34/2,IF(AS$10='Redlands Inputs'!$D$24,'Redlands Inputs'!$C$34/2,0))</f>
        <v>0</v>
      </c>
      <c r="AT50" s="39">
        <f>IF(AT$10=EDATE('Redlands Inputs'!$D$24,-2),'Redlands Inputs'!$C$34/2,IF(AT$10='Redlands Inputs'!$D$24,'Redlands Inputs'!$C$34/2,0))</f>
        <v>0</v>
      </c>
      <c r="AU50" s="39">
        <f>IF(AU$10=EDATE('Redlands Inputs'!$D$24,-2),'Redlands Inputs'!$C$34/2,IF(AU$10='Redlands Inputs'!$D$24,'Redlands Inputs'!$C$34/2,0))</f>
        <v>0</v>
      </c>
      <c r="AV50" s="39">
        <f>IF(AV$10=EDATE('Redlands Inputs'!$D$24,-2),'Redlands Inputs'!$C$34/2,IF(AV$10='Redlands Inputs'!$D$24,'Redlands Inputs'!$C$34/2,0))</f>
        <v>0</v>
      </c>
      <c r="AW50" s="39">
        <f>IF(AW$10=EDATE('Redlands Inputs'!$D$24,-2),'Redlands Inputs'!$C$34/2,IF(AW$10='Redlands Inputs'!$D$24,'Redlands Inputs'!$C$34/2,0))</f>
        <v>0</v>
      </c>
      <c r="AX50" s="39">
        <f>IF(AX$10=EDATE('Redlands Inputs'!$D$24,-2),'Redlands Inputs'!$C$34/2,IF(AX$10='Redlands Inputs'!$D$24,'Redlands Inputs'!$C$34/2,0))</f>
        <v>0</v>
      </c>
      <c r="AY50" s="39">
        <f>IF(AY$10=EDATE('Redlands Inputs'!$D$24,-2),'Redlands Inputs'!$C$34/2,IF(AY$10='Redlands Inputs'!$D$24,'Redlands Inputs'!$C$34/2,0))</f>
        <v>0</v>
      </c>
      <c r="AZ50" s="39">
        <f>IF(AZ$10=EDATE('Redlands Inputs'!$D$24,-2),'Redlands Inputs'!$C$34/2,IF(AZ$10='Redlands Inputs'!$D$24,'Redlands Inputs'!$C$34/2,0))</f>
        <v>0</v>
      </c>
      <c r="BA50" s="39">
        <f>IF(BA$10=EDATE('Redlands Inputs'!$D$24,-2),'Redlands Inputs'!$C$34/2,IF(BA$10='Redlands Inputs'!$D$24,'Redlands Inputs'!$C$34/2,0))</f>
        <v>0</v>
      </c>
      <c r="BB50" s="39">
        <f>IF(BB$10=EDATE('Redlands Inputs'!$D$24,-2),'Redlands Inputs'!$C$34/2,IF(BB$10='Redlands Inputs'!$D$24,'Redlands Inputs'!$C$34/2,0))</f>
        <v>0</v>
      </c>
      <c r="BC50" s="39">
        <f>IF(BC$10=EDATE('Redlands Inputs'!$D$24,-2),'Redlands Inputs'!$C$34/2,IF(BC$10='Redlands Inputs'!$D$24,'Redlands Inputs'!$C$34/2,0))</f>
        <v>0</v>
      </c>
      <c r="BD50" s="39">
        <f>IF(BD$10=EDATE('Redlands Inputs'!$D$24,-2),'Redlands Inputs'!$C$34/2,IF(BD$10='Redlands Inputs'!$D$24,'Redlands Inputs'!$C$34/2,0))</f>
        <v>0</v>
      </c>
      <c r="BE50" s="39">
        <f>IF(BE$10=EDATE('Redlands Inputs'!$D$24,-2),'Redlands Inputs'!$C$34/2,IF(BE$10='Redlands Inputs'!$D$24,'Redlands Inputs'!$C$34/2,0))</f>
        <v>0</v>
      </c>
      <c r="BF50" s="39">
        <f>IF(BF$10=EDATE('Redlands Inputs'!$D$24,-2),'Redlands Inputs'!$C$34/2,IF(BF$10='Redlands Inputs'!$D$24,'Redlands Inputs'!$C$34/2,0))</f>
        <v>0</v>
      </c>
      <c r="BG50" s="39">
        <f>IF(BG$10=EDATE('Redlands Inputs'!$D$24,-2),'Redlands Inputs'!$C$34/2,IF(BG$10='Redlands Inputs'!$D$24,'Redlands Inputs'!$C$34/2,0))</f>
        <v>0</v>
      </c>
      <c r="BH50" s="39">
        <f>IF(BH$10=EDATE('Redlands Inputs'!$D$24,-2),'Redlands Inputs'!$C$34/2,IF(BH$10='Redlands Inputs'!$D$24,'Redlands Inputs'!$C$34/2,0))</f>
        <v>0</v>
      </c>
      <c r="BI50" s="39">
        <f>IF(BI$10=EDATE('Redlands Inputs'!$D$24,-2),'Redlands Inputs'!$C$34/2,IF(BI$10='Redlands Inputs'!$D$24,'Redlands Inputs'!$C$34/2,0))</f>
        <v>0</v>
      </c>
      <c r="BJ50" s="39">
        <f>IF(BJ$10=EDATE('Redlands Inputs'!$D$24,-2),'Redlands Inputs'!$C$34/2,IF(BJ$10='Redlands Inputs'!$D$24,'Redlands Inputs'!$C$34/2,0))</f>
        <v>0</v>
      </c>
      <c r="BK50" s="39">
        <f>IF(BK$10=EDATE('Redlands Inputs'!$D$24,-2),'Redlands Inputs'!$C$34/2,IF(BK$10='Redlands Inputs'!$D$24,'Redlands Inputs'!$C$34/2,0))</f>
        <v>0</v>
      </c>
      <c r="BL50" s="39">
        <f>IF(BL$10=EDATE('Redlands Inputs'!$D$24,-2),'Redlands Inputs'!$C$34/2,IF(BL$10='Redlands Inputs'!$D$24,'Redlands Inputs'!$C$34/2,0))</f>
        <v>0</v>
      </c>
      <c r="BM50" s="39">
        <f>IF(BM$10=EDATE('Redlands Inputs'!$D$24,-2),'Redlands Inputs'!$C$34/2,IF(BM$10='Redlands Inputs'!$D$24,'Redlands Inputs'!$C$34/2,0))</f>
        <v>0</v>
      </c>
      <c r="BN50" s="39">
        <f>IF(BN$10=EDATE('Redlands Inputs'!$D$24,-2),'Redlands Inputs'!$C$34/2,IF(BN$10='Redlands Inputs'!$D$24,'Redlands Inputs'!$C$34/2,0))</f>
        <v>0</v>
      </c>
      <c r="BO50" s="39">
        <f>IF(BO$10=EDATE('Redlands Inputs'!$D$24,-2),'Redlands Inputs'!$C$34/2,IF(BO$10='Redlands Inputs'!$D$24,'Redlands Inputs'!$C$34/2,0))</f>
        <v>0</v>
      </c>
      <c r="BP50" s="39">
        <f>IF(BP$10=EDATE('Redlands Inputs'!$D$24,-2),'Redlands Inputs'!$C$34/2,IF(BP$10='Redlands Inputs'!$D$24,'Redlands Inputs'!$C$34/2,0))</f>
        <v>0</v>
      </c>
      <c r="BQ50" s="39">
        <f>IF(BQ$10=EDATE('Redlands Inputs'!$D$24,-2),'Redlands Inputs'!$C$34/2,IF(BQ$10='Redlands Inputs'!$D$24,'Redlands Inputs'!$C$34/2,0))</f>
        <v>0</v>
      </c>
      <c r="BR50" s="39">
        <f>IF(BR$10=EDATE('Redlands Inputs'!$D$24,-2),'Redlands Inputs'!$C$34/2,IF(BR$10='Redlands Inputs'!$D$24,'Redlands Inputs'!$C$34/2,0))</f>
        <v>0</v>
      </c>
      <c r="BS50" s="39">
        <f>IF(BS$10=EDATE('Redlands Inputs'!$D$24,-2),'Redlands Inputs'!$C$34/2,IF(BS$10='Redlands Inputs'!$D$24,'Redlands Inputs'!$C$34/2,0))</f>
        <v>0</v>
      </c>
      <c r="BT50" s="39">
        <f>IF(BT$10=EDATE('Redlands Inputs'!$D$24,-2),'Redlands Inputs'!$C$34/2,IF(BT$10='Redlands Inputs'!$D$24,'Redlands Inputs'!$C$34/2,0))</f>
        <v>0</v>
      </c>
      <c r="BU50" s="39">
        <f>IF(BU$10=EDATE('Redlands Inputs'!$D$24,-2),'Redlands Inputs'!$C$34/2,IF(BU$10='Redlands Inputs'!$D$24,'Redlands Inputs'!$C$34/2,0))</f>
        <v>0</v>
      </c>
      <c r="BV50" s="39">
        <f>IF(BV$10=EDATE('Redlands Inputs'!$D$24,-2),'Redlands Inputs'!$C$34/2,IF(BV$10='Redlands Inputs'!$D$24,'Redlands Inputs'!$C$34/2,0))</f>
        <v>0</v>
      </c>
      <c r="BW50" s="39">
        <f>IF(BW$10=EDATE('Redlands Inputs'!$D$24,-2),'Redlands Inputs'!$C$34/2,IF(BW$10='Redlands Inputs'!$D$24,'Redlands Inputs'!$C$34/2,0))</f>
        <v>0</v>
      </c>
      <c r="BX50" s="39">
        <f>IF(BX$10=EDATE('Redlands Inputs'!$D$24,-2),'Redlands Inputs'!$C$34/2,IF(BX$10='Redlands Inputs'!$D$24,'Redlands Inputs'!$C$34/2,0))</f>
        <v>0</v>
      </c>
      <c r="BY50" s="39">
        <f>IF(BY$10=EDATE('Redlands Inputs'!$D$24,-2),'Redlands Inputs'!$C$34/2,IF(BY$10='Redlands Inputs'!$D$24,'Redlands Inputs'!$C$34/2,0))</f>
        <v>0</v>
      </c>
      <c r="BZ50" s="39">
        <f>IF(BZ$10=EDATE('Redlands Inputs'!$D$24,-2),'Redlands Inputs'!$C$34/2,IF(BZ$10='Redlands Inputs'!$D$24,'Redlands Inputs'!$C$34/2,0))</f>
        <v>0</v>
      </c>
      <c r="CA50" s="39">
        <f>IF(CA$10=EDATE('Redlands Inputs'!$D$24,-2),'Redlands Inputs'!$C$34/2,IF(CA$10='Redlands Inputs'!$D$24,'Redlands Inputs'!$C$34/2,0))</f>
        <v>0</v>
      </c>
      <c r="CB50" s="39">
        <f>IF(CB$10=EDATE('Redlands Inputs'!$D$24,-2),'Redlands Inputs'!$C$34/2,IF(CB$10='Redlands Inputs'!$D$24,'Redlands Inputs'!$C$34/2,0))</f>
        <v>0</v>
      </c>
      <c r="CC50" s="39">
        <f>IF(CC$10=EDATE('Redlands Inputs'!$D$24,-2),'Redlands Inputs'!$C$34/2,IF(CC$10='Redlands Inputs'!$D$24,'Redlands Inputs'!$C$34/2,0))</f>
        <v>0</v>
      </c>
      <c r="CD50" s="39">
        <f>IF(CD$10=EDATE('Redlands Inputs'!$D$24,-2),'Redlands Inputs'!$C$34/2,IF(CD$10='Redlands Inputs'!$D$24,'Redlands Inputs'!$C$34/2,0))</f>
        <v>0</v>
      </c>
      <c r="CE50" s="39">
        <f>IF(CE$10=EDATE('Redlands Inputs'!$D$24,-2),'Redlands Inputs'!$C$34/2,IF(CE$10='Redlands Inputs'!$D$24,'Redlands Inputs'!$C$34/2,0))</f>
        <v>0</v>
      </c>
      <c r="CF50" s="39">
        <f>IF(CF$10=EDATE('Redlands Inputs'!$D$24,-2),'Redlands Inputs'!$C$34/2,IF(CF$10='Redlands Inputs'!$D$24,'Redlands Inputs'!$C$34/2,0))</f>
        <v>0</v>
      </c>
      <c r="CG50" s="39">
        <f>IF(CG$10=EDATE('Redlands Inputs'!$D$24,-2),'Redlands Inputs'!$C$34/2,IF(CG$10='Redlands Inputs'!$D$24,'Redlands Inputs'!$C$34/2,0))</f>
        <v>0</v>
      </c>
      <c r="CH50" s="39">
        <f>IF(CH$10=EDATE('Redlands Inputs'!$D$24,-2),'Redlands Inputs'!$C$34/2,IF(CH$10='Redlands Inputs'!$D$24,'Redlands Inputs'!$C$34/2,0))</f>
        <v>0</v>
      </c>
      <c r="CI50" s="39">
        <f>IF(CI$10=EDATE('Redlands Inputs'!$D$24,-2),'Redlands Inputs'!$C$34/2,IF(CI$10='Redlands Inputs'!$D$24,'Redlands Inputs'!$C$34/2,0))</f>
        <v>0</v>
      </c>
      <c r="CJ50" s="39">
        <f>IF(CJ$10=EDATE('Redlands Inputs'!$D$24,-2),'Redlands Inputs'!$C$34/2,IF(CJ$10='Redlands Inputs'!$D$24,'Redlands Inputs'!$C$34/2,0))</f>
        <v>1134000</v>
      </c>
      <c r="CK50" s="39">
        <f>IF(CK$10=EDATE('Redlands Inputs'!$D$24,-2),'Redlands Inputs'!$C$34/2,IF(CK$10='Redlands Inputs'!$D$24,'Redlands Inputs'!$C$34/2,0))</f>
        <v>0</v>
      </c>
      <c r="CL50" s="39">
        <f>IF(CL$10=EDATE('Redlands Inputs'!$D$24,-2),'Redlands Inputs'!$C$34/2,IF(CL$10='Redlands Inputs'!$D$24,'Redlands Inputs'!$C$34/2,0))</f>
        <v>0</v>
      </c>
      <c r="CM50" s="39">
        <f>IF(CM$10=EDATE('Redlands Inputs'!$D$24,-2),'Redlands Inputs'!$C$34/2,IF(CM$10='Redlands Inputs'!$D$24,'Redlands Inputs'!$C$34/2,0))</f>
        <v>0</v>
      </c>
      <c r="CN50" s="39">
        <f>IF(CN$10=EDATE('Redlands Inputs'!$D$24,-2),'Redlands Inputs'!$C$34/2,IF(CN$10='Redlands Inputs'!$D$24,'Redlands Inputs'!$C$34/2,0))</f>
        <v>0</v>
      </c>
      <c r="CO50" s="39">
        <f>IF(CO$10=EDATE('Redlands Inputs'!$D$24,-2),'Redlands Inputs'!$C$34/2,IF(CO$10='Redlands Inputs'!$D$24,'Redlands Inputs'!$C$34/2,0))</f>
        <v>0</v>
      </c>
      <c r="CP50" s="39">
        <f>IF(CP$10=EDATE('Redlands Inputs'!$D$24,-2),'Redlands Inputs'!$C$34/2,IF(CP$10='Redlands Inputs'!$D$24,'Redlands Inputs'!$C$34/2,0))</f>
        <v>0</v>
      </c>
      <c r="CQ50" s="39">
        <f>IF(CQ$10=EDATE('Redlands Inputs'!$D$24,-2),'Redlands Inputs'!$C$34/2,IF(CQ$10='Redlands Inputs'!$D$24,'Redlands Inputs'!$C$34/2,0))</f>
        <v>0</v>
      </c>
      <c r="CR50" s="39">
        <f>IF(CR$10=EDATE('Redlands Inputs'!$D$24,-2),'Redlands Inputs'!$C$34/2,IF(CR$10='Redlands Inputs'!$D$24,'Redlands Inputs'!$C$34/2,0))</f>
        <v>0</v>
      </c>
      <c r="CS50" s="39">
        <f>IF(CS$10=EDATE('Redlands Inputs'!$D$24,-2),'Redlands Inputs'!$C$34/2,IF(CS$10='Redlands Inputs'!$D$24,'Redlands Inputs'!$C$34/2,0))</f>
        <v>0</v>
      </c>
      <c r="CT50" s="39">
        <f>IF(CT$10=EDATE('Redlands Inputs'!$D$24,-2),'Redlands Inputs'!$C$34/2,IF(CT$10='Redlands Inputs'!$D$24,'Redlands Inputs'!$C$34/2,0))</f>
        <v>0</v>
      </c>
      <c r="CU50" s="39">
        <f>IF(CU$10=EDATE('Redlands Inputs'!$D$24,-2),'Redlands Inputs'!$C$34/2,IF(CU$10='Redlands Inputs'!$D$24,'Redlands Inputs'!$C$34/2,0))</f>
        <v>0</v>
      </c>
      <c r="CV50" s="39">
        <f>IF(CV$10=EDATE('Redlands Inputs'!$D$24,-2),'Redlands Inputs'!$C$34/2,IF(CV$10='Redlands Inputs'!$D$24,'Redlands Inputs'!$C$34/2,0))</f>
        <v>0</v>
      </c>
      <c r="CW50" s="39">
        <f>IF(CW$10=EDATE('Redlands Inputs'!$D$24,-2),'Redlands Inputs'!$C$34/2,IF(CW$10='Redlands Inputs'!$D$24,'Redlands Inputs'!$C$34/2,0))</f>
        <v>0</v>
      </c>
      <c r="CX50" s="39">
        <f>IF(CX$10=EDATE('Redlands Inputs'!$D$24,-2),'Redlands Inputs'!$C$34/2,IF(CX$10='Redlands Inputs'!$D$24,'Redlands Inputs'!$C$34/2,0))</f>
        <v>0</v>
      </c>
      <c r="CY50" s="39">
        <f>IF(CY$10=EDATE('Redlands Inputs'!$D$24,-2),'Redlands Inputs'!$C$34/2,IF(CY$10='Redlands Inputs'!$D$24,'Redlands Inputs'!$C$34/2,0))</f>
        <v>0</v>
      </c>
      <c r="CZ50" s="39">
        <f>IF(CZ$10=EDATE('Redlands Inputs'!$D$24,-2),'Redlands Inputs'!$C$34/2,IF(CZ$10='Redlands Inputs'!$D$24,'Redlands Inputs'!$C$34/2,0))</f>
        <v>0</v>
      </c>
      <c r="DA50" s="39">
        <f>IF(DA$10=EDATE('Redlands Inputs'!$D$24,-2),'Redlands Inputs'!$C$34/2,IF(DA$10='Redlands Inputs'!$D$24,'Redlands Inputs'!$C$34/2,0))</f>
        <v>0</v>
      </c>
      <c r="DB50" s="39">
        <f>IF(DB$10=EDATE('Redlands Inputs'!$D$24,-2),'Redlands Inputs'!$C$34/2,IF(DB$10='Redlands Inputs'!$D$24,'Redlands Inputs'!$C$34/2,0))</f>
        <v>0</v>
      </c>
      <c r="DC50" s="39">
        <f>IF(DC$10=EDATE('Redlands Inputs'!$D$24,-2),'Redlands Inputs'!$C$34/2,IF(DC$10='Redlands Inputs'!$D$24,'Redlands Inputs'!$C$34/2,0))</f>
        <v>0</v>
      </c>
      <c r="DD50" s="39">
        <f>IF(DD$10=EDATE('Redlands Inputs'!$D$24,-2),'Redlands Inputs'!$C$34/2,IF(DD$10='Redlands Inputs'!$D$24,'Redlands Inputs'!$C$34/2,0))</f>
        <v>0</v>
      </c>
      <c r="DE50" s="39">
        <f>IF(DE$10=EDATE('Redlands Inputs'!$D$24,-2),'Redlands Inputs'!$C$34/2,IF(DE$10='Redlands Inputs'!$D$24,'Redlands Inputs'!$C$34/2,0))</f>
        <v>0</v>
      </c>
      <c r="DF50" s="39">
        <f>IF(DF$10=EDATE('Redlands Inputs'!$D$24,-2),'Redlands Inputs'!$C$34/2,IF(DF$10='Redlands Inputs'!$D$24,'Redlands Inputs'!$C$34/2,0))</f>
        <v>0</v>
      </c>
      <c r="DG50" s="39">
        <f>IF(DG$10=EDATE('Redlands Inputs'!$D$24,-2),'Redlands Inputs'!$C$34/2,IF(DG$10='Redlands Inputs'!$D$24,'Redlands Inputs'!$C$34/2,0))</f>
        <v>0</v>
      </c>
      <c r="DH50" s="39">
        <f>IF(DH$10=EDATE('Redlands Inputs'!$D$24,-2),'Redlands Inputs'!$C$34/2,IF(DH$10='Redlands Inputs'!$D$24,'Redlands Inputs'!$C$34/2,0))</f>
        <v>0</v>
      </c>
      <c r="DI50" s="39">
        <f>IF(DI$10=EDATE('Redlands Inputs'!$D$24,-2),'Redlands Inputs'!$C$34/2,IF(DI$10='Redlands Inputs'!$D$24,'Redlands Inputs'!$C$34/2,0))</f>
        <v>0</v>
      </c>
      <c r="DJ50" s="39">
        <f>IF(DJ$10=EDATE('Redlands Inputs'!$D$24,-2),'Redlands Inputs'!$C$34/2,IF(DJ$10='Redlands Inputs'!$D$24,'Redlands Inputs'!$C$34/2,0))</f>
        <v>0</v>
      </c>
      <c r="DK50" s="39">
        <f>IF(DK$10=EDATE('Redlands Inputs'!$D$24,-2),'Redlands Inputs'!$C$34/2,IF(DK$10='Redlands Inputs'!$D$24,'Redlands Inputs'!$C$34/2,0))</f>
        <v>0</v>
      </c>
      <c r="DL50" s="39">
        <f>IF(DL$10=EDATE('Redlands Inputs'!$D$24,-2),'Redlands Inputs'!$C$34/2,IF(DL$10='Redlands Inputs'!$D$24,'Redlands Inputs'!$C$34/2,0))</f>
        <v>0</v>
      </c>
      <c r="DM50" s="39">
        <f>IF(DM$10=EDATE('Redlands Inputs'!$D$24,-2),'Redlands Inputs'!$C$34/2,IF(DM$10='Redlands Inputs'!$D$24,'Redlands Inputs'!$C$34/2,0))</f>
        <v>0</v>
      </c>
      <c r="DN50" s="39">
        <f>IF(DN$10=EDATE('Redlands Inputs'!$D$24,-2),'Redlands Inputs'!$C$34/2,IF(DN$10='Redlands Inputs'!$D$24,'Redlands Inputs'!$C$34/2,0))</f>
        <v>0</v>
      </c>
      <c r="DO50" s="39">
        <f>IF(DO$10=EDATE('Redlands Inputs'!$D$24,-2),'Redlands Inputs'!$C$34/2,IF(DO$10='Redlands Inputs'!$D$24,'Redlands Inputs'!$C$34/2,0))</f>
        <v>0</v>
      </c>
      <c r="DP50" s="39">
        <f>IF(DP$10=EDATE('Redlands Inputs'!$D$24,-2),'Redlands Inputs'!$C$34/2,IF(DP$10='Redlands Inputs'!$D$24,'Redlands Inputs'!$C$34/2,0))</f>
        <v>0</v>
      </c>
      <c r="DQ50" s="39">
        <f>IF(DQ$10=EDATE('Redlands Inputs'!$D$24,-2),'Redlands Inputs'!$C$34/2,IF(DQ$10='Redlands Inputs'!$D$24,'Redlands Inputs'!$C$34/2,0))</f>
        <v>0</v>
      </c>
      <c r="DR50" s="39">
        <f>IF(DR$10=EDATE('Redlands Inputs'!$D$24,-2),'Redlands Inputs'!$C$34/2,IF(DR$10='Redlands Inputs'!$D$24,'Redlands Inputs'!$C$34/2,0))</f>
        <v>0</v>
      </c>
      <c r="DS50" s="39">
        <f>IF(DS$10=EDATE('Redlands Inputs'!$D$24,-2),'Redlands Inputs'!$C$34/2,IF(DS$10='Redlands Inputs'!$D$24,'Redlands Inputs'!$C$34/2,0))</f>
        <v>0</v>
      </c>
      <c r="DT50" s="39">
        <f>IF(DT$10=EDATE('Redlands Inputs'!$D$24,-2),'Redlands Inputs'!$C$34/2,IF(DT$10='Redlands Inputs'!$D$24,'Redlands Inputs'!$C$34/2,0))</f>
        <v>0</v>
      </c>
      <c r="DU50" s="39">
        <f>IF(DU$10=EDATE('Redlands Inputs'!$D$24,-2),'Redlands Inputs'!$C$34/2,IF(DU$10='Redlands Inputs'!$D$24,'Redlands Inputs'!$C$34/2,0))</f>
        <v>0</v>
      </c>
      <c r="DV50" s="39">
        <f>IF(DV$10=EDATE('Redlands Inputs'!$D$24,-2),'Redlands Inputs'!$C$34/2,IF(DV$10='Redlands Inputs'!$D$24,'Redlands Inputs'!$C$34/2,0))</f>
        <v>0</v>
      </c>
      <c r="DW50" s="39">
        <f>IF(DW$10=EDATE('Redlands Inputs'!$D$24,-2),'Redlands Inputs'!$C$34/2,IF(DW$10='Redlands Inputs'!$D$24,'Redlands Inputs'!$C$34/2,0))</f>
        <v>0</v>
      </c>
      <c r="DX50" s="39">
        <f>IF(DX$10=EDATE('Redlands Inputs'!$D$24,-2),'Redlands Inputs'!$C$34/2,IF(DX$10='Redlands Inputs'!$D$24,'Redlands Inputs'!$C$34/2,0))</f>
        <v>0</v>
      </c>
      <c r="DY50" s="39">
        <f>IF(DY$10=EDATE('Redlands Inputs'!$D$24,-2),'Redlands Inputs'!$C$34/2,IF(DY$10='Redlands Inputs'!$D$24,'Redlands Inputs'!$C$34/2,0))</f>
        <v>0</v>
      </c>
      <c r="DZ50" s="39">
        <f>IF(DZ$10=EDATE('Redlands Inputs'!$D$24,-2),'Redlands Inputs'!$C$34/2,IF(DZ$10='Redlands Inputs'!$D$24,'Redlands Inputs'!$C$34/2,0))</f>
        <v>0</v>
      </c>
      <c r="EA50" s="39">
        <f>IF(EA$10=EDATE('Redlands Inputs'!$D$24,-2),'Redlands Inputs'!$C$34/2,IF(EA$10='Redlands Inputs'!$D$24,'Redlands Inputs'!$C$34/2,0))</f>
        <v>0</v>
      </c>
      <c r="EB50" s="39">
        <f>IF(EB$10=EDATE('Redlands Inputs'!$D$24,-2),'Redlands Inputs'!$C$34/2,IF(EB$10='Redlands Inputs'!$D$24,'Redlands Inputs'!$C$34/2,0))</f>
        <v>0</v>
      </c>
      <c r="EC50" s="39">
        <f>IF(EC$10=EDATE('Redlands Inputs'!$D$24,-2),'Redlands Inputs'!$C$34/2,IF(EC$10='Redlands Inputs'!$D$24,'Redlands Inputs'!$C$34/2,0))</f>
        <v>0</v>
      </c>
      <c r="ED50" s="39">
        <f>IF(ED$10=EDATE('Redlands Inputs'!$D$24,-2),'Redlands Inputs'!$C$34/2,IF(ED$10='Redlands Inputs'!$D$24,'Redlands Inputs'!$C$34/2,0))</f>
        <v>0</v>
      </c>
    </row>
    <row r="51" spans="1:134" ht="19.149999999999999" customHeight="1" x14ac:dyDescent="0.4">
      <c r="A51" s="10" t="s">
        <v>38</v>
      </c>
      <c r="B51" s="10"/>
      <c r="C51" s="39">
        <f>IF(C$10='Redlands Inputs'!$D$24,-'Redlands Inputs'!$C$36,0)</f>
        <v>0</v>
      </c>
      <c r="D51" s="39">
        <f>IF(D$10='Redlands Inputs'!$D$24,-'Redlands Inputs'!$C$36,0)</f>
        <v>0</v>
      </c>
      <c r="E51" s="39">
        <f>IF(E$10='Redlands Inputs'!$D$24,-'Redlands Inputs'!$C$36,0)</f>
        <v>0</v>
      </c>
      <c r="F51" s="39">
        <f>IF(F$10='Redlands Inputs'!$D$24,-'Redlands Inputs'!$C$36,0)</f>
        <v>0</v>
      </c>
      <c r="G51" s="39">
        <f>IF(G$10='Redlands Inputs'!$D$24,-'Redlands Inputs'!$C$36,0)</f>
        <v>0</v>
      </c>
      <c r="H51" s="39">
        <f>IF(H$10='Redlands Inputs'!$D$24,-'Redlands Inputs'!$C$36,0)</f>
        <v>0</v>
      </c>
      <c r="I51" s="39">
        <f>IF(I$10='Redlands Inputs'!$D$24,-'Redlands Inputs'!$C$36,0)</f>
        <v>0</v>
      </c>
      <c r="J51" s="39">
        <f>IF(J$10='Redlands Inputs'!$D$24,-'Redlands Inputs'!$C$36,0)</f>
        <v>0</v>
      </c>
      <c r="K51" s="39">
        <f>IF(K$10='Redlands Inputs'!$D$24,-'Redlands Inputs'!$C$36,0)</f>
        <v>0</v>
      </c>
      <c r="L51" s="39">
        <f>IF(L$10='Redlands Inputs'!$D$24,-'Redlands Inputs'!$C$36,0)</f>
        <v>0</v>
      </c>
      <c r="M51" s="39">
        <f>IF(M$10='Redlands Inputs'!$D$24,-'Redlands Inputs'!$C$36,0)</f>
        <v>0</v>
      </c>
      <c r="N51" s="39">
        <f>IF(N$10='Redlands Inputs'!$D$24,-'Redlands Inputs'!$C$36,0)</f>
        <v>0</v>
      </c>
      <c r="O51" s="39">
        <f>IF(O$10='Redlands Inputs'!$D$24,-'Redlands Inputs'!$C$36,0)</f>
        <v>0</v>
      </c>
      <c r="P51" s="39">
        <f>IF(P$10='Redlands Inputs'!$D$24,-'Redlands Inputs'!$C$36,0)</f>
        <v>0</v>
      </c>
      <c r="Q51" s="39">
        <f>IF(Q$10='Redlands Inputs'!$D$24,-'Redlands Inputs'!$C$36,0)</f>
        <v>0</v>
      </c>
      <c r="R51" s="39">
        <f>IF(R$10='Redlands Inputs'!$D$24,-'Redlands Inputs'!$C$36,0)</f>
        <v>0</v>
      </c>
      <c r="S51" s="39">
        <f>IF(S$10='Redlands Inputs'!$D$24,-'Redlands Inputs'!$C$36,0)</f>
        <v>0</v>
      </c>
      <c r="T51" s="39">
        <f>IF(T$10='Redlands Inputs'!$D$24,-'Redlands Inputs'!$C$36,0)</f>
        <v>0</v>
      </c>
      <c r="U51" s="39">
        <f>IF(U$10='Redlands Inputs'!$D$24,-'Redlands Inputs'!$C$36,0)</f>
        <v>0</v>
      </c>
      <c r="V51" s="39">
        <f>IF(V$10='Redlands Inputs'!$D$24,-'Redlands Inputs'!$C$36,0)</f>
        <v>0</v>
      </c>
      <c r="W51" s="39">
        <f>IF(W$10='Redlands Inputs'!$D$24,-'Redlands Inputs'!$C$36,0)</f>
        <v>0</v>
      </c>
      <c r="X51" s="39">
        <f>IF(X$10='Redlands Inputs'!$D$24,-'Redlands Inputs'!$C$36,0)</f>
        <v>0</v>
      </c>
      <c r="Y51" s="39">
        <f>IF(Y$10='Redlands Inputs'!$D$24,-'Redlands Inputs'!$C$36,0)</f>
        <v>0</v>
      </c>
      <c r="Z51" s="39">
        <f>IF(Z$10='Redlands Inputs'!$D$24,-'Redlands Inputs'!$C$36,0)</f>
        <v>0</v>
      </c>
      <c r="AA51" s="39">
        <f>IF(AA$10='Redlands Inputs'!$D$24,-'Redlands Inputs'!$C$36,0)</f>
        <v>0</v>
      </c>
      <c r="AB51" s="39">
        <f>IF(AB$10='Redlands Inputs'!$D$24,-'Redlands Inputs'!$C$36,0)</f>
        <v>0</v>
      </c>
      <c r="AC51" s="39">
        <f>IF(AC$10='Redlands Inputs'!$D$24,-'Redlands Inputs'!$C$36,0)</f>
        <v>0</v>
      </c>
      <c r="AD51" s="39">
        <f>IF(AD$10='Redlands Inputs'!$D$24,-'Redlands Inputs'!$C$36,0)</f>
        <v>0</v>
      </c>
      <c r="AE51" s="39">
        <f>IF(AE$10='Redlands Inputs'!$D$24,-'Redlands Inputs'!$C$36,0)</f>
        <v>0</v>
      </c>
      <c r="AF51" s="39">
        <f>IF(AF$10='Redlands Inputs'!$D$24,-'Redlands Inputs'!$C$36,0)</f>
        <v>0</v>
      </c>
      <c r="AG51" s="39">
        <f>IF(AG$10='Redlands Inputs'!$D$24,-'Redlands Inputs'!$C$36,0)</f>
        <v>0</v>
      </c>
      <c r="AH51" s="39">
        <f>IF(AH$10='Redlands Inputs'!$D$24,-'Redlands Inputs'!$C$36,0)</f>
        <v>0</v>
      </c>
      <c r="AI51" s="39">
        <f>IF(AI$10='Redlands Inputs'!$D$24,-'Redlands Inputs'!$C$36,0)</f>
        <v>0</v>
      </c>
      <c r="AJ51" s="39">
        <f>IF(AJ$10='Redlands Inputs'!$D$24,-'Redlands Inputs'!$C$36,0)</f>
        <v>0</v>
      </c>
      <c r="AK51" s="39">
        <f>IF(AK$10='Redlands Inputs'!$D$24,-'Redlands Inputs'!$C$36,0)</f>
        <v>0</v>
      </c>
      <c r="AL51" s="39">
        <f>IF(AL$10='Redlands Inputs'!$D$24,-'Redlands Inputs'!$C$36,0)</f>
        <v>0</v>
      </c>
      <c r="AM51" s="39">
        <f>IF(AM$10='Redlands Inputs'!$D$24,-'Redlands Inputs'!$C$36,0)</f>
        <v>0</v>
      </c>
      <c r="AN51" s="39">
        <f>IF(AN$10='Redlands Inputs'!$D$24,-'Redlands Inputs'!$C$36,0)</f>
        <v>0</v>
      </c>
      <c r="AO51" s="39">
        <f>IF(AO$10='Redlands Inputs'!$D$24,-'Redlands Inputs'!$C$36,0)</f>
        <v>0</v>
      </c>
      <c r="AP51" s="39">
        <f>IF(AP$10='Redlands Inputs'!$D$24,-'Redlands Inputs'!$C$36,0)</f>
        <v>0</v>
      </c>
      <c r="AQ51" s="39">
        <f>IF(AQ$10='Redlands Inputs'!$D$24,-'Redlands Inputs'!$C$36,0)</f>
        <v>0</v>
      </c>
      <c r="AR51" s="39">
        <f>IF(AR$10='Redlands Inputs'!$D$24,-'Redlands Inputs'!$C$36,0)</f>
        <v>0</v>
      </c>
      <c r="AS51" s="39">
        <f>IF(AS$10='Redlands Inputs'!$D$24,-'Redlands Inputs'!$C$36,0)</f>
        <v>0</v>
      </c>
      <c r="AT51" s="39">
        <f>IF(AT$10='Redlands Inputs'!$D$24,-'Redlands Inputs'!$C$36,0)</f>
        <v>0</v>
      </c>
      <c r="AU51" s="39">
        <f>IF(AU$10='Redlands Inputs'!$D$24,-'Redlands Inputs'!$C$36,0)</f>
        <v>0</v>
      </c>
      <c r="AV51" s="39">
        <f>IF(AV$10='Redlands Inputs'!$D$24,-'Redlands Inputs'!$C$36,0)</f>
        <v>0</v>
      </c>
      <c r="AW51" s="39">
        <f>IF(AW$10='Redlands Inputs'!$D$24,-'Redlands Inputs'!$C$36,0)</f>
        <v>0</v>
      </c>
      <c r="AX51" s="39">
        <f>IF(AX$10='Redlands Inputs'!$D$24,-'Redlands Inputs'!$C$36,0)</f>
        <v>0</v>
      </c>
      <c r="AY51" s="39">
        <f>IF(AY$10='Redlands Inputs'!$D$24,-'Redlands Inputs'!$C$36,0)</f>
        <v>0</v>
      </c>
      <c r="AZ51" s="39">
        <f>IF(AZ$10='Redlands Inputs'!$D$24,-'Redlands Inputs'!$C$36,0)</f>
        <v>0</v>
      </c>
      <c r="BA51" s="39">
        <f>IF(BA$10='Redlands Inputs'!$D$24,-'Redlands Inputs'!$C$36,0)</f>
        <v>0</v>
      </c>
      <c r="BB51" s="39">
        <f>IF(BB$10='Redlands Inputs'!$D$24,-'Redlands Inputs'!$C$36,0)</f>
        <v>0</v>
      </c>
      <c r="BC51" s="39">
        <f>IF(BC$10='Redlands Inputs'!$D$24,-'Redlands Inputs'!$C$36,0)</f>
        <v>0</v>
      </c>
      <c r="BD51" s="39">
        <f>IF(BD$10='Redlands Inputs'!$D$24,-'Redlands Inputs'!$C$36,0)</f>
        <v>0</v>
      </c>
      <c r="BE51" s="39">
        <f>IF(BE$10='Redlands Inputs'!$D$24,-'Redlands Inputs'!$C$36,0)</f>
        <v>0</v>
      </c>
      <c r="BF51" s="39">
        <f>IF(BF$10='Redlands Inputs'!$D$24,-'Redlands Inputs'!$C$36,0)</f>
        <v>0</v>
      </c>
      <c r="BG51" s="39">
        <f>IF(BG$10='Redlands Inputs'!$D$24,-'Redlands Inputs'!$C$36,0)</f>
        <v>0</v>
      </c>
      <c r="BH51" s="39">
        <f>IF(BH$10='Redlands Inputs'!$D$24,-'Redlands Inputs'!$C$36,0)</f>
        <v>0</v>
      </c>
      <c r="BI51" s="39">
        <f>IF(BI$10='Redlands Inputs'!$D$24,-'Redlands Inputs'!$C$36,0)</f>
        <v>0</v>
      </c>
      <c r="BJ51" s="39">
        <f>IF(BJ$10='Redlands Inputs'!$D$24,-'Redlands Inputs'!$C$36,0)</f>
        <v>0</v>
      </c>
      <c r="BK51" s="39">
        <f>IF(BK$10='Redlands Inputs'!$D$24,-'Redlands Inputs'!$C$36,0)</f>
        <v>0</v>
      </c>
      <c r="BL51" s="39">
        <f>IF(BL$10='Redlands Inputs'!$D$24,-'Redlands Inputs'!$C$36,0)</f>
        <v>0</v>
      </c>
      <c r="BM51" s="39">
        <f>IF(BM$10='Redlands Inputs'!$D$24,-'Redlands Inputs'!$C$36,0)</f>
        <v>0</v>
      </c>
      <c r="BN51" s="39">
        <f>IF(BN$10='Redlands Inputs'!$D$24,-'Redlands Inputs'!$C$36,0)</f>
        <v>0</v>
      </c>
      <c r="BO51" s="39">
        <f>IF(BO$10='Redlands Inputs'!$D$24,-'Redlands Inputs'!$C$36,0)</f>
        <v>0</v>
      </c>
      <c r="BP51" s="39">
        <f>IF(BP$10='Redlands Inputs'!$D$24,-'Redlands Inputs'!$C$36,0)</f>
        <v>0</v>
      </c>
      <c r="BQ51" s="39">
        <f>IF(BQ$10='Redlands Inputs'!$D$24,-'Redlands Inputs'!$C$36,0)</f>
        <v>0</v>
      </c>
      <c r="BR51" s="39">
        <f>IF(BR$10='Redlands Inputs'!$D$24,-'Redlands Inputs'!$C$36,0)</f>
        <v>0</v>
      </c>
      <c r="BS51" s="39">
        <f>IF(BS$10='Redlands Inputs'!$D$24,-'Redlands Inputs'!$C$36,0)</f>
        <v>0</v>
      </c>
      <c r="BT51" s="39">
        <f>IF(BT$10='Redlands Inputs'!$D$24,-'Redlands Inputs'!$C$36,0)</f>
        <v>0</v>
      </c>
      <c r="BU51" s="39">
        <f>IF(BU$10='Redlands Inputs'!$D$24,-'Redlands Inputs'!$C$36,0)</f>
        <v>0</v>
      </c>
      <c r="BV51" s="39">
        <f>IF(BV$10='Redlands Inputs'!$D$24,-'Redlands Inputs'!$C$36,0)</f>
        <v>0</v>
      </c>
      <c r="BW51" s="39">
        <f>IF(BW$10='Redlands Inputs'!$D$24,-'Redlands Inputs'!$C$36,0)</f>
        <v>0</v>
      </c>
      <c r="BX51" s="39">
        <f>IF(BX$10='Redlands Inputs'!$D$24,-'Redlands Inputs'!$C$36,0)</f>
        <v>0</v>
      </c>
      <c r="BY51" s="39">
        <f>IF(BY$10='Redlands Inputs'!$D$24,-'Redlands Inputs'!$C$36,0)</f>
        <v>0</v>
      </c>
      <c r="BZ51" s="39">
        <f>IF(BZ$10='Redlands Inputs'!$D$24,-'Redlands Inputs'!$C$36,0)</f>
        <v>0</v>
      </c>
      <c r="CA51" s="39">
        <f>IF(CA$10='Redlands Inputs'!$D$24,-'Redlands Inputs'!$C$36,0)</f>
        <v>0</v>
      </c>
      <c r="CB51" s="39">
        <f>IF(CB$10='Redlands Inputs'!$D$24,-'Redlands Inputs'!$C$36,0)</f>
        <v>0</v>
      </c>
      <c r="CC51" s="39">
        <f>IF(CC$10='Redlands Inputs'!$D$24,-'Redlands Inputs'!$C$36,0)</f>
        <v>0</v>
      </c>
      <c r="CD51" s="39">
        <f>IF(CD$10='Redlands Inputs'!$D$24,-'Redlands Inputs'!$C$36,0)</f>
        <v>0</v>
      </c>
      <c r="CE51" s="39">
        <f>IF(CE$10='Redlands Inputs'!$D$24,-'Redlands Inputs'!$C$36,0)</f>
        <v>0</v>
      </c>
      <c r="CF51" s="39">
        <f>IF(CF$10='Redlands Inputs'!$D$24,-'Redlands Inputs'!$C$36,0)</f>
        <v>0</v>
      </c>
      <c r="CG51" s="39">
        <f>IF(CG$10='Redlands Inputs'!$D$24,-'Redlands Inputs'!$C$36,0)</f>
        <v>0</v>
      </c>
      <c r="CH51" s="39">
        <f>IF(CH$10='Redlands Inputs'!$D$24,-'Redlands Inputs'!$C$36,0)</f>
        <v>0</v>
      </c>
      <c r="CI51" s="39">
        <f>IF(CI$10='Redlands Inputs'!$D$24,-'Redlands Inputs'!$C$36,0)</f>
        <v>0</v>
      </c>
      <c r="CJ51" s="39">
        <f>IF(CJ$10='Redlands Inputs'!$D$24,-'Redlands Inputs'!$C$36,0)</f>
        <v>-1800000</v>
      </c>
      <c r="CK51" s="39">
        <f>IF(CK$10='Redlands Inputs'!$D$24,-'Redlands Inputs'!$C$36,0)</f>
        <v>0</v>
      </c>
      <c r="CL51" s="39">
        <f>IF(CL$10='Redlands Inputs'!$D$24,-'Redlands Inputs'!$C$36,0)</f>
        <v>0</v>
      </c>
      <c r="CM51" s="39">
        <f>IF(CM$10='Redlands Inputs'!$D$24,-'Redlands Inputs'!$C$36,0)</f>
        <v>0</v>
      </c>
      <c r="CN51" s="39">
        <f>IF(CN$10='Redlands Inputs'!$D$24,-'Redlands Inputs'!$C$36,0)</f>
        <v>0</v>
      </c>
      <c r="CO51" s="39">
        <f>IF(CO$10='Redlands Inputs'!$D$24,-'Redlands Inputs'!$C$36,0)</f>
        <v>0</v>
      </c>
      <c r="CP51" s="39">
        <f>IF(CP$10='Redlands Inputs'!$D$24,-'Redlands Inputs'!$C$36,0)</f>
        <v>0</v>
      </c>
      <c r="CQ51" s="39">
        <f>IF(CQ$10='Redlands Inputs'!$D$24,-'Redlands Inputs'!$C$36,0)</f>
        <v>0</v>
      </c>
      <c r="CR51" s="39">
        <f>IF(CR$10='Redlands Inputs'!$D$24,-'Redlands Inputs'!$C$36,0)</f>
        <v>0</v>
      </c>
      <c r="CS51" s="39">
        <f>IF(CS$10='Redlands Inputs'!$D$24,-'Redlands Inputs'!$C$36,0)</f>
        <v>0</v>
      </c>
      <c r="CT51" s="39">
        <f>IF(CT$10='Redlands Inputs'!$D$24,-'Redlands Inputs'!$C$36,0)</f>
        <v>0</v>
      </c>
      <c r="CU51" s="39">
        <f>IF(CU$10='Redlands Inputs'!$D$24,-'Redlands Inputs'!$C$36,0)</f>
        <v>0</v>
      </c>
      <c r="CV51" s="39">
        <f>IF(CV$10='Redlands Inputs'!$D$24,-'Redlands Inputs'!$C$36,0)</f>
        <v>0</v>
      </c>
      <c r="CW51" s="39">
        <f>IF(CW$10='Redlands Inputs'!$D$24,-'Redlands Inputs'!$C$36,0)</f>
        <v>0</v>
      </c>
      <c r="CX51" s="39">
        <f>IF(CX$10='Redlands Inputs'!$D$24,-'Redlands Inputs'!$C$36,0)</f>
        <v>0</v>
      </c>
      <c r="CY51" s="39">
        <f>IF(CY$10='Redlands Inputs'!$D$24,-'Redlands Inputs'!$C$36,0)</f>
        <v>0</v>
      </c>
      <c r="CZ51" s="39">
        <f>IF(CZ$10='Redlands Inputs'!$D$24,-'Redlands Inputs'!$C$36,0)</f>
        <v>0</v>
      </c>
      <c r="DA51" s="39">
        <f>IF(DA$10='Redlands Inputs'!$D$24,-'Redlands Inputs'!$C$36,0)</f>
        <v>0</v>
      </c>
      <c r="DB51" s="39">
        <f>IF(DB$10='Redlands Inputs'!$D$24,-'Redlands Inputs'!$C$36,0)</f>
        <v>0</v>
      </c>
      <c r="DC51" s="39">
        <f>IF(DC$10='Redlands Inputs'!$D$24,-'Redlands Inputs'!$C$36,0)</f>
        <v>0</v>
      </c>
      <c r="DD51" s="39">
        <f>IF(DD$10='Redlands Inputs'!$D$24,-'Redlands Inputs'!$C$36,0)</f>
        <v>0</v>
      </c>
      <c r="DE51" s="39">
        <f>IF(DE$10='Redlands Inputs'!$D$24,-'Redlands Inputs'!$C$36,0)</f>
        <v>0</v>
      </c>
      <c r="DF51" s="39">
        <f>IF(DF$10='Redlands Inputs'!$D$24,-'Redlands Inputs'!$C$36,0)</f>
        <v>0</v>
      </c>
      <c r="DG51" s="39">
        <f>IF(DG$10='Redlands Inputs'!$D$24,-'Redlands Inputs'!$C$36,0)</f>
        <v>0</v>
      </c>
      <c r="DH51" s="39">
        <f>IF(DH$10='Redlands Inputs'!$D$24,-'Redlands Inputs'!$C$36,0)</f>
        <v>0</v>
      </c>
      <c r="DI51" s="39">
        <f>IF(DI$10='Redlands Inputs'!$D$24,-'Redlands Inputs'!$C$36,0)</f>
        <v>0</v>
      </c>
      <c r="DJ51" s="39">
        <f>IF(DJ$10='Redlands Inputs'!$D$24,-'Redlands Inputs'!$C$36,0)</f>
        <v>0</v>
      </c>
      <c r="DK51" s="39">
        <f>IF(DK$10='Redlands Inputs'!$D$24,-'Redlands Inputs'!$C$36,0)</f>
        <v>0</v>
      </c>
      <c r="DL51" s="39">
        <f>IF(DL$10='Redlands Inputs'!$D$24,-'Redlands Inputs'!$C$36,0)</f>
        <v>0</v>
      </c>
      <c r="DM51" s="39">
        <f>IF(DM$10='Redlands Inputs'!$D$24,-'Redlands Inputs'!$C$36,0)</f>
        <v>0</v>
      </c>
      <c r="DN51" s="39">
        <f>IF(DN$10='Redlands Inputs'!$D$24,-'Redlands Inputs'!$C$36,0)</f>
        <v>0</v>
      </c>
      <c r="DO51" s="39">
        <f>IF(DO$10='Redlands Inputs'!$D$24,-'Redlands Inputs'!$C$36,0)</f>
        <v>0</v>
      </c>
      <c r="DP51" s="39">
        <f>IF(DP$10='Redlands Inputs'!$D$24,-'Redlands Inputs'!$C$36,0)</f>
        <v>0</v>
      </c>
      <c r="DQ51" s="39">
        <f>IF(DQ$10='Redlands Inputs'!$D$24,-'Redlands Inputs'!$C$36,0)</f>
        <v>0</v>
      </c>
      <c r="DR51" s="39">
        <f>IF(DR$10='Redlands Inputs'!$D$24,-'Redlands Inputs'!$C$36,0)</f>
        <v>0</v>
      </c>
      <c r="DS51" s="39">
        <f>IF(DS$10='Redlands Inputs'!$D$24,-'Redlands Inputs'!$C$36,0)</f>
        <v>0</v>
      </c>
      <c r="DT51" s="39">
        <f>IF(DT$10='Redlands Inputs'!$D$24,-'Redlands Inputs'!$C$36,0)</f>
        <v>0</v>
      </c>
      <c r="DU51" s="39">
        <f>IF(DU$10='Redlands Inputs'!$D$24,-'Redlands Inputs'!$C$36,0)</f>
        <v>0</v>
      </c>
      <c r="DV51" s="39">
        <f>IF(DV$10='Redlands Inputs'!$D$24,-'Redlands Inputs'!$C$36,0)</f>
        <v>0</v>
      </c>
      <c r="DW51" s="39">
        <f>IF(DW$10='Redlands Inputs'!$D$24,-'Redlands Inputs'!$C$36,0)</f>
        <v>0</v>
      </c>
      <c r="DX51" s="39">
        <f>IF(DX$10='Redlands Inputs'!$D$24,-'Redlands Inputs'!$C$36,0)</f>
        <v>0</v>
      </c>
      <c r="DY51" s="39">
        <f>IF(DY$10='Redlands Inputs'!$D$24,-'Redlands Inputs'!$C$36,0)</f>
        <v>0</v>
      </c>
      <c r="DZ51" s="39">
        <f>IF(DZ$10='Redlands Inputs'!$D$24,-'Redlands Inputs'!$C$36,0)</f>
        <v>0</v>
      </c>
      <c r="EA51" s="39">
        <f>IF(EA$10='Redlands Inputs'!$D$24,-'Redlands Inputs'!$C$36,0)</f>
        <v>0</v>
      </c>
      <c r="EB51" s="39">
        <f>IF(EB$10='Redlands Inputs'!$D$24,-'Redlands Inputs'!$C$36,0)</f>
        <v>0</v>
      </c>
      <c r="EC51" s="39">
        <f>IF(EC$10='Redlands Inputs'!$D$24,-'Redlands Inputs'!$C$36,0)</f>
        <v>0</v>
      </c>
      <c r="ED51" s="39">
        <f>IF(ED$10='Redlands Inputs'!$D$24,-'Redlands Inputs'!$C$36,0)</f>
        <v>0</v>
      </c>
    </row>
    <row r="52" spans="1:134" ht="19.149999999999999" customHeight="1" x14ac:dyDescent="0.4">
      <c r="A52" s="6" t="s">
        <v>39</v>
      </c>
      <c r="B52" s="6"/>
      <c r="C52" s="80">
        <f>SUM(C49:C51)</f>
        <v>0</v>
      </c>
      <c r="D52" s="80">
        <f t="shared" ref="D52:BO52" si="38">SUM(D49:D51)</f>
        <v>0</v>
      </c>
      <c r="E52" s="80">
        <f t="shared" si="38"/>
        <v>0</v>
      </c>
      <c r="F52" s="80">
        <f t="shared" si="38"/>
        <v>0</v>
      </c>
      <c r="G52" s="80">
        <f t="shared" si="38"/>
        <v>0</v>
      </c>
      <c r="H52" s="80">
        <f t="shared" si="38"/>
        <v>0</v>
      </c>
      <c r="I52" s="80">
        <f t="shared" si="38"/>
        <v>0</v>
      </c>
      <c r="J52" s="80">
        <f t="shared" si="38"/>
        <v>0</v>
      </c>
      <c r="K52" s="80">
        <f t="shared" si="38"/>
        <v>0</v>
      </c>
      <c r="L52" s="80">
        <f t="shared" si="38"/>
        <v>0</v>
      </c>
      <c r="M52" s="80">
        <f t="shared" si="38"/>
        <v>0</v>
      </c>
      <c r="N52" s="80">
        <f t="shared" si="38"/>
        <v>0</v>
      </c>
      <c r="O52" s="80">
        <f t="shared" si="38"/>
        <v>0</v>
      </c>
      <c r="P52" s="80">
        <f t="shared" si="38"/>
        <v>0</v>
      </c>
      <c r="Q52" s="80">
        <f t="shared" si="38"/>
        <v>0</v>
      </c>
      <c r="R52" s="80">
        <f t="shared" si="38"/>
        <v>0</v>
      </c>
      <c r="S52" s="80">
        <f t="shared" si="38"/>
        <v>0</v>
      </c>
      <c r="T52" s="80">
        <f t="shared" si="38"/>
        <v>0</v>
      </c>
      <c r="U52" s="80">
        <f t="shared" si="38"/>
        <v>0</v>
      </c>
      <c r="V52" s="80">
        <f t="shared" si="38"/>
        <v>0</v>
      </c>
      <c r="W52" s="80">
        <f t="shared" si="38"/>
        <v>0</v>
      </c>
      <c r="X52" s="80">
        <f t="shared" si="38"/>
        <v>0</v>
      </c>
      <c r="Y52" s="80">
        <f t="shared" si="38"/>
        <v>0</v>
      </c>
      <c r="Z52" s="80">
        <f t="shared" si="38"/>
        <v>0</v>
      </c>
      <c r="AA52" s="80">
        <f t="shared" si="38"/>
        <v>0</v>
      </c>
      <c r="AB52" s="80">
        <f t="shared" si="38"/>
        <v>0</v>
      </c>
      <c r="AC52" s="80">
        <f t="shared" si="38"/>
        <v>0</v>
      </c>
      <c r="AD52" s="80">
        <f t="shared" si="38"/>
        <v>0</v>
      </c>
      <c r="AE52" s="80">
        <f t="shared" si="38"/>
        <v>0</v>
      </c>
      <c r="AF52" s="80">
        <f t="shared" si="38"/>
        <v>0</v>
      </c>
      <c r="AG52" s="80">
        <f t="shared" si="38"/>
        <v>0</v>
      </c>
      <c r="AH52" s="80">
        <f t="shared" si="38"/>
        <v>0</v>
      </c>
      <c r="AI52" s="80">
        <f t="shared" si="38"/>
        <v>0</v>
      </c>
      <c r="AJ52" s="80">
        <f t="shared" si="38"/>
        <v>0</v>
      </c>
      <c r="AK52" s="80">
        <f t="shared" si="38"/>
        <v>0</v>
      </c>
      <c r="AL52" s="80">
        <f t="shared" si="38"/>
        <v>0</v>
      </c>
      <c r="AM52" s="80">
        <f t="shared" si="38"/>
        <v>0</v>
      </c>
      <c r="AN52" s="80">
        <f t="shared" si="38"/>
        <v>0</v>
      </c>
      <c r="AO52" s="80">
        <f t="shared" si="38"/>
        <v>0</v>
      </c>
      <c r="AP52" s="80">
        <f t="shared" si="38"/>
        <v>0</v>
      </c>
      <c r="AQ52" s="80">
        <f t="shared" si="38"/>
        <v>0</v>
      </c>
      <c r="AR52" s="80">
        <f t="shared" si="38"/>
        <v>0</v>
      </c>
      <c r="AS52" s="80">
        <f t="shared" si="38"/>
        <v>0</v>
      </c>
      <c r="AT52" s="80">
        <f t="shared" si="38"/>
        <v>0</v>
      </c>
      <c r="AU52" s="80">
        <f t="shared" si="38"/>
        <v>0</v>
      </c>
      <c r="AV52" s="80">
        <f t="shared" si="38"/>
        <v>0</v>
      </c>
      <c r="AW52" s="80">
        <f t="shared" si="38"/>
        <v>0</v>
      </c>
      <c r="AX52" s="80">
        <f t="shared" si="38"/>
        <v>0</v>
      </c>
      <c r="AY52" s="80">
        <f t="shared" si="38"/>
        <v>0</v>
      </c>
      <c r="AZ52" s="80">
        <f t="shared" si="38"/>
        <v>0</v>
      </c>
      <c r="BA52" s="80">
        <f t="shared" si="38"/>
        <v>0</v>
      </c>
      <c r="BB52" s="80">
        <f t="shared" si="38"/>
        <v>0</v>
      </c>
      <c r="BC52" s="80">
        <f t="shared" si="38"/>
        <v>0</v>
      </c>
      <c r="BD52" s="80">
        <f t="shared" si="38"/>
        <v>0</v>
      </c>
      <c r="BE52" s="80">
        <f t="shared" si="38"/>
        <v>0</v>
      </c>
      <c r="BF52" s="80">
        <f t="shared" si="38"/>
        <v>0</v>
      </c>
      <c r="BG52" s="80">
        <f t="shared" si="38"/>
        <v>0</v>
      </c>
      <c r="BH52" s="80">
        <f t="shared" si="38"/>
        <v>0</v>
      </c>
      <c r="BI52" s="80">
        <f t="shared" si="38"/>
        <v>0</v>
      </c>
      <c r="BJ52" s="80">
        <f t="shared" si="38"/>
        <v>0</v>
      </c>
      <c r="BK52" s="80">
        <f t="shared" si="38"/>
        <v>0</v>
      </c>
      <c r="BL52" s="80">
        <f t="shared" si="38"/>
        <v>0</v>
      </c>
      <c r="BM52" s="80">
        <f t="shared" si="38"/>
        <v>0</v>
      </c>
      <c r="BN52" s="80">
        <f t="shared" si="38"/>
        <v>0</v>
      </c>
      <c r="BO52" s="80">
        <f t="shared" si="38"/>
        <v>0</v>
      </c>
      <c r="BP52" s="80">
        <f t="shared" ref="BP52:EA52" si="39">SUM(BP49:BP51)</f>
        <v>0</v>
      </c>
      <c r="BQ52" s="80">
        <f t="shared" si="39"/>
        <v>0</v>
      </c>
      <c r="BR52" s="80">
        <f t="shared" si="39"/>
        <v>0</v>
      </c>
      <c r="BS52" s="80">
        <f t="shared" si="39"/>
        <v>0</v>
      </c>
      <c r="BT52" s="80">
        <f t="shared" si="39"/>
        <v>0</v>
      </c>
      <c r="BU52" s="80">
        <f t="shared" si="39"/>
        <v>0</v>
      </c>
      <c r="BV52" s="80">
        <f t="shared" si="39"/>
        <v>0</v>
      </c>
      <c r="BW52" s="80">
        <f t="shared" si="39"/>
        <v>0</v>
      </c>
      <c r="BX52" s="80">
        <f t="shared" si="39"/>
        <v>0</v>
      </c>
      <c r="BY52" s="80">
        <f t="shared" si="39"/>
        <v>0</v>
      </c>
      <c r="BZ52" s="80">
        <f t="shared" si="39"/>
        <v>0</v>
      </c>
      <c r="CA52" s="80">
        <f t="shared" si="39"/>
        <v>0</v>
      </c>
      <c r="CB52" s="80">
        <f t="shared" si="39"/>
        <v>0</v>
      </c>
      <c r="CC52" s="80">
        <f t="shared" si="39"/>
        <v>0</v>
      </c>
      <c r="CD52" s="80">
        <f t="shared" si="39"/>
        <v>0</v>
      </c>
      <c r="CE52" s="80">
        <f t="shared" si="39"/>
        <v>0</v>
      </c>
      <c r="CF52" s="80">
        <f t="shared" si="39"/>
        <v>0</v>
      </c>
      <c r="CG52" s="80">
        <f t="shared" si="39"/>
        <v>0</v>
      </c>
      <c r="CH52" s="80">
        <f t="shared" si="39"/>
        <v>0</v>
      </c>
      <c r="CI52" s="80">
        <f t="shared" si="39"/>
        <v>0</v>
      </c>
      <c r="CJ52" s="80">
        <f t="shared" si="39"/>
        <v>1734000</v>
      </c>
      <c r="CK52" s="80">
        <f t="shared" si="39"/>
        <v>0</v>
      </c>
      <c r="CL52" s="80">
        <f t="shared" si="39"/>
        <v>0</v>
      </c>
      <c r="CM52" s="80">
        <f t="shared" si="39"/>
        <v>0</v>
      </c>
      <c r="CN52" s="80">
        <f t="shared" si="39"/>
        <v>0</v>
      </c>
      <c r="CO52" s="80">
        <f t="shared" si="39"/>
        <v>0</v>
      </c>
      <c r="CP52" s="80">
        <f t="shared" si="39"/>
        <v>0</v>
      </c>
      <c r="CQ52" s="80">
        <f t="shared" si="39"/>
        <v>0</v>
      </c>
      <c r="CR52" s="80">
        <f t="shared" si="39"/>
        <v>0</v>
      </c>
      <c r="CS52" s="80">
        <f t="shared" si="39"/>
        <v>0</v>
      </c>
      <c r="CT52" s="80">
        <f t="shared" si="39"/>
        <v>0</v>
      </c>
      <c r="CU52" s="80">
        <f t="shared" si="39"/>
        <v>0</v>
      </c>
      <c r="CV52" s="80">
        <f t="shared" si="39"/>
        <v>0</v>
      </c>
      <c r="CW52" s="80">
        <f t="shared" si="39"/>
        <v>0</v>
      </c>
      <c r="CX52" s="80">
        <f t="shared" si="39"/>
        <v>0</v>
      </c>
      <c r="CY52" s="80">
        <f t="shared" si="39"/>
        <v>0</v>
      </c>
      <c r="CZ52" s="80">
        <f t="shared" si="39"/>
        <v>0</v>
      </c>
      <c r="DA52" s="80">
        <f t="shared" si="39"/>
        <v>0</v>
      </c>
      <c r="DB52" s="80">
        <f t="shared" si="39"/>
        <v>0</v>
      </c>
      <c r="DC52" s="80">
        <f t="shared" si="39"/>
        <v>0</v>
      </c>
      <c r="DD52" s="80">
        <f t="shared" si="39"/>
        <v>0</v>
      </c>
      <c r="DE52" s="80">
        <f t="shared" si="39"/>
        <v>0</v>
      </c>
      <c r="DF52" s="80">
        <f t="shared" si="39"/>
        <v>0</v>
      </c>
      <c r="DG52" s="80">
        <f t="shared" si="39"/>
        <v>0</v>
      </c>
      <c r="DH52" s="80">
        <f t="shared" si="39"/>
        <v>0</v>
      </c>
      <c r="DI52" s="80">
        <f t="shared" si="39"/>
        <v>0</v>
      </c>
      <c r="DJ52" s="80">
        <f t="shared" si="39"/>
        <v>0</v>
      </c>
      <c r="DK52" s="80">
        <f t="shared" si="39"/>
        <v>0</v>
      </c>
      <c r="DL52" s="80">
        <f t="shared" si="39"/>
        <v>0</v>
      </c>
      <c r="DM52" s="80">
        <f t="shared" si="39"/>
        <v>0</v>
      </c>
      <c r="DN52" s="80">
        <f t="shared" si="39"/>
        <v>0</v>
      </c>
      <c r="DO52" s="80">
        <f t="shared" si="39"/>
        <v>0</v>
      </c>
      <c r="DP52" s="80">
        <f t="shared" si="39"/>
        <v>0</v>
      </c>
      <c r="DQ52" s="80">
        <f t="shared" si="39"/>
        <v>0</v>
      </c>
      <c r="DR52" s="80">
        <f t="shared" si="39"/>
        <v>0</v>
      </c>
      <c r="DS52" s="80">
        <f t="shared" si="39"/>
        <v>0</v>
      </c>
      <c r="DT52" s="80">
        <f t="shared" si="39"/>
        <v>0</v>
      </c>
      <c r="DU52" s="80">
        <f t="shared" si="39"/>
        <v>0</v>
      </c>
      <c r="DV52" s="80">
        <f t="shared" si="39"/>
        <v>0</v>
      </c>
      <c r="DW52" s="80">
        <f t="shared" si="39"/>
        <v>0</v>
      </c>
      <c r="DX52" s="80">
        <f t="shared" si="39"/>
        <v>0</v>
      </c>
      <c r="DY52" s="80">
        <f t="shared" si="39"/>
        <v>0</v>
      </c>
      <c r="DZ52" s="80">
        <f t="shared" si="39"/>
        <v>0</v>
      </c>
      <c r="EA52" s="80">
        <f t="shared" si="39"/>
        <v>0</v>
      </c>
      <c r="EB52" s="80">
        <f t="shared" ref="EB52:ED52" si="40">SUM(EB49:EB51)</f>
        <v>0</v>
      </c>
      <c r="EC52" s="80">
        <f t="shared" si="40"/>
        <v>0</v>
      </c>
      <c r="ED52" s="80">
        <f t="shared" si="40"/>
        <v>0</v>
      </c>
    </row>
    <row r="53" spans="1:134" ht="19.149999999999999" customHeight="1" x14ac:dyDescent="0.4">
      <c r="A53" s="5" t="s">
        <v>17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</row>
    <row r="54" spans="1:134" ht="19.149999999999999" customHeight="1" x14ac:dyDescent="0.4">
      <c r="A54" s="2" t="s">
        <v>40</v>
      </c>
      <c r="B54" s="2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</row>
    <row r="55" spans="1:134" ht="19.149999999999999" customHeight="1" x14ac:dyDescent="0.4">
      <c r="A55" s="11" t="s">
        <v>41</v>
      </c>
      <c r="B55" s="11"/>
      <c r="C55" s="80">
        <f>'Redlands Inputs'!$H$10*(1+'Redlands Inputs'!$L$10)^(C$8-1)</f>
        <v>50000</v>
      </c>
      <c r="D55" s="80">
        <f>'Redlands Inputs'!$H$10*(1+'Redlands Inputs'!$L$10)^(D$8-1)</f>
        <v>50000</v>
      </c>
      <c r="E55" s="80">
        <f>'Redlands Inputs'!$H$10*(1+'Redlands Inputs'!$L$10)^(E$8-1)</f>
        <v>50000</v>
      </c>
      <c r="F55" s="80">
        <f>'Redlands Inputs'!$H$10*(1+'Redlands Inputs'!$L$10)^(F$8-1)</f>
        <v>50000</v>
      </c>
      <c r="G55" s="80">
        <f>'Redlands Inputs'!$H$10*(1+'Redlands Inputs'!$L$10)^(G$8-1)</f>
        <v>50000</v>
      </c>
      <c r="H55" s="80">
        <f>'Redlands Inputs'!$H$10*(1+'Redlands Inputs'!$L$10)^(H$8-1)</f>
        <v>50000</v>
      </c>
      <c r="I55" s="80">
        <f>'Redlands Inputs'!$H$10*(1+'Redlands Inputs'!$L$10)^(I$8-1)</f>
        <v>50000</v>
      </c>
      <c r="J55" s="80">
        <f>'Redlands Inputs'!$H$10*(1+'Redlands Inputs'!$L$10)^(J$8-1)</f>
        <v>50000</v>
      </c>
      <c r="K55" s="80">
        <f>'Redlands Inputs'!$H$10*(1+'Redlands Inputs'!$L$10)^(K$8-1)</f>
        <v>50000</v>
      </c>
      <c r="L55" s="80">
        <f>'Redlands Inputs'!$H$10*(1+'Redlands Inputs'!$L$10)^(L$8-1)</f>
        <v>50000</v>
      </c>
      <c r="M55" s="80">
        <f>'Redlands Inputs'!$H$10*(1+'Redlands Inputs'!$L$10)^(M$8-1)</f>
        <v>50000</v>
      </c>
      <c r="N55" s="80">
        <f>'Redlands Inputs'!$H$10*(1+'Redlands Inputs'!$L$10)^(N$8-1)</f>
        <v>50000</v>
      </c>
      <c r="O55" s="80">
        <f>'Redlands Inputs'!$H$10*(1+'Redlands Inputs'!$L$10)^(O$8-1)</f>
        <v>51000</v>
      </c>
      <c r="P55" s="80">
        <f>'Redlands Inputs'!$H$10*(1+'Redlands Inputs'!$L$10)^(P$8-1)</f>
        <v>51000</v>
      </c>
      <c r="Q55" s="80">
        <f>'Redlands Inputs'!$H$10*(1+'Redlands Inputs'!$L$10)^(Q$8-1)</f>
        <v>51000</v>
      </c>
      <c r="R55" s="80">
        <f>'Redlands Inputs'!$H$10*(1+'Redlands Inputs'!$L$10)^(R$8-1)</f>
        <v>51000</v>
      </c>
      <c r="S55" s="80">
        <f>'Redlands Inputs'!$H$10*(1+'Redlands Inputs'!$L$10)^(S$8-1)</f>
        <v>51000</v>
      </c>
      <c r="T55" s="80">
        <f>'Redlands Inputs'!$H$10*(1+'Redlands Inputs'!$L$10)^(T$8-1)</f>
        <v>51000</v>
      </c>
      <c r="U55" s="80">
        <f>'Redlands Inputs'!$H$10*(1+'Redlands Inputs'!$L$10)^(U$8-1)</f>
        <v>51000</v>
      </c>
      <c r="V55" s="80">
        <f>'Redlands Inputs'!$H$10*(1+'Redlands Inputs'!$L$10)^(V$8-1)</f>
        <v>51000</v>
      </c>
      <c r="W55" s="80">
        <f>'Redlands Inputs'!$H$10*(1+'Redlands Inputs'!$L$10)^(W$8-1)</f>
        <v>51000</v>
      </c>
      <c r="X55" s="80">
        <f>'Redlands Inputs'!$H$10*(1+'Redlands Inputs'!$L$10)^(X$8-1)</f>
        <v>51000</v>
      </c>
      <c r="Y55" s="80">
        <f>'Redlands Inputs'!$H$10*(1+'Redlands Inputs'!$L$10)^(Y$8-1)</f>
        <v>51000</v>
      </c>
      <c r="Z55" s="80">
        <f>'Redlands Inputs'!$H$10*(1+'Redlands Inputs'!$L$10)^(Z$8-1)</f>
        <v>51000</v>
      </c>
      <c r="AA55" s="80">
        <f>'Redlands Inputs'!$H$10*(1+'Redlands Inputs'!$L$10)^(AA$8-1)</f>
        <v>52020</v>
      </c>
      <c r="AB55" s="80">
        <f>'Redlands Inputs'!$H$10*(1+'Redlands Inputs'!$L$10)^(AB$8-1)</f>
        <v>52020</v>
      </c>
      <c r="AC55" s="80">
        <f>'Redlands Inputs'!$H$10*(1+'Redlands Inputs'!$L$10)^(AC$8-1)</f>
        <v>52020</v>
      </c>
      <c r="AD55" s="80">
        <f>'Redlands Inputs'!$H$10*(1+'Redlands Inputs'!$L$10)^(AD$8-1)</f>
        <v>52020</v>
      </c>
      <c r="AE55" s="80">
        <f>'Redlands Inputs'!$H$10*(1+'Redlands Inputs'!$L$10)^(AE$8-1)</f>
        <v>52020</v>
      </c>
      <c r="AF55" s="80">
        <f>'Redlands Inputs'!$H$10*(1+'Redlands Inputs'!$L$10)^(AF$8-1)</f>
        <v>52020</v>
      </c>
      <c r="AG55" s="80">
        <f>'Redlands Inputs'!$H$10*(1+'Redlands Inputs'!$L$10)^(AG$8-1)</f>
        <v>52020</v>
      </c>
      <c r="AH55" s="80">
        <f>'Redlands Inputs'!$H$10*(1+'Redlands Inputs'!$L$10)^(AH$8-1)</f>
        <v>52020</v>
      </c>
      <c r="AI55" s="80">
        <f>'Redlands Inputs'!$H$10*(1+'Redlands Inputs'!$L$10)^(AI$8-1)</f>
        <v>52020</v>
      </c>
      <c r="AJ55" s="80">
        <f>'Redlands Inputs'!$H$10*(1+'Redlands Inputs'!$L$10)^(AJ$8-1)</f>
        <v>52020</v>
      </c>
      <c r="AK55" s="80">
        <f>'Redlands Inputs'!$H$10*(1+'Redlands Inputs'!$L$10)^(AK$8-1)</f>
        <v>52020</v>
      </c>
      <c r="AL55" s="80">
        <f>'Redlands Inputs'!$H$10*(1+'Redlands Inputs'!$L$10)^(AL$8-1)</f>
        <v>52020</v>
      </c>
      <c r="AM55" s="80">
        <f>'Redlands Inputs'!$H$10*(1+'Redlands Inputs'!$L$10)^(AM$8-1)</f>
        <v>53060.399999999994</v>
      </c>
      <c r="AN55" s="80">
        <f>'Redlands Inputs'!$H$10*(1+'Redlands Inputs'!$L$10)^(AN$8-1)</f>
        <v>53060.399999999994</v>
      </c>
      <c r="AO55" s="80">
        <f>'Redlands Inputs'!$H$10*(1+'Redlands Inputs'!$L$10)^(AO$8-1)</f>
        <v>53060.399999999994</v>
      </c>
      <c r="AP55" s="80">
        <f>'Redlands Inputs'!$H$10*(1+'Redlands Inputs'!$L$10)^(AP$8-1)</f>
        <v>53060.399999999994</v>
      </c>
      <c r="AQ55" s="80">
        <f>'Redlands Inputs'!$H$10*(1+'Redlands Inputs'!$L$10)^(AQ$8-1)</f>
        <v>53060.399999999994</v>
      </c>
      <c r="AR55" s="80">
        <f>'Redlands Inputs'!$H$10*(1+'Redlands Inputs'!$L$10)^(AR$8-1)</f>
        <v>53060.399999999994</v>
      </c>
      <c r="AS55" s="80">
        <f>'Redlands Inputs'!$H$10*(1+'Redlands Inputs'!$L$10)^(AS$8-1)</f>
        <v>53060.399999999994</v>
      </c>
      <c r="AT55" s="80">
        <f>'Redlands Inputs'!$H$10*(1+'Redlands Inputs'!$L$10)^(AT$8-1)</f>
        <v>53060.399999999994</v>
      </c>
      <c r="AU55" s="80">
        <f>'Redlands Inputs'!$H$10*(1+'Redlands Inputs'!$L$10)^(AU$8-1)</f>
        <v>53060.399999999994</v>
      </c>
      <c r="AV55" s="80">
        <f>'Redlands Inputs'!$H$10*(1+'Redlands Inputs'!$L$10)^(AV$8-1)</f>
        <v>53060.399999999994</v>
      </c>
      <c r="AW55" s="80">
        <f>'Redlands Inputs'!$H$10*(1+'Redlands Inputs'!$L$10)^(AW$8-1)</f>
        <v>53060.399999999994</v>
      </c>
      <c r="AX55" s="80">
        <f>'Redlands Inputs'!$H$10*(1+'Redlands Inputs'!$L$10)^(AX$8-1)</f>
        <v>53060.399999999994</v>
      </c>
      <c r="AY55" s="80">
        <f>'Redlands Inputs'!$H$10*(1+'Redlands Inputs'!$L$10)^(AY$8-1)</f>
        <v>54121.608</v>
      </c>
      <c r="AZ55" s="80">
        <f>'Redlands Inputs'!$H$10*(1+'Redlands Inputs'!$L$10)^(AZ$8-1)</f>
        <v>54121.608</v>
      </c>
      <c r="BA55" s="80">
        <f>'Redlands Inputs'!$H$10*(1+'Redlands Inputs'!$L$10)^(BA$8-1)</f>
        <v>54121.608</v>
      </c>
      <c r="BB55" s="80">
        <f>'Redlands Inputs'!$H$10*(1+'Redlands Inputs'!$L$10)^(BB$8-1)</f>
        <v>54121.608</v>
      </c>
      <c r="BC55" s="80">
        <f>'Redlands Inputs'!$H$10*(1+'Redlands Inputs'!$L$10)^(BC$8-1)</f>
        <v>54121.608</v>
      </c>
      <c r="BD55" s="80">
        <f>'Redlands Inputs'!$H$10*(1+'Redlands Inputs'!$L$10)^(BD$8-1)</f>
        <v>54121.608</v>
      </c>
      <c r="BE55" s="80">
        <f>'Redlands Inputs'!$H$10*(1+'Redlands Inputs'!$L$10)^(BE$8-1)</f>
        <v>54121.608</v>
      </c>
      <c r="BF55" s="80">
        <f>'Redlands Inputs'!$H$10*(1+'Redlands Inputs'!$L$10)^(BF$8-1)</f>
        <v>54121.608</v>
      </c>
      <c r="BG55" s="80">
        <f>'Redlands Inputs'!$H$10*(1+'Redlands Inputs'!$L$10)^(BG$8-1)</f>
        <v>54121.608</v>
      </c>
      <c r="BH55" s="80">
        <f>'Redlands Inputs'!$H$10*(1+'Redlands Inputs'!$L$10)^(BH$8-1)</f>
        <v>54121.608</v>
      </c>
      <c r="BI55" s="80">
        <f>'Redlands Inputs'!$H$10*(1+'Redlands Inputs'!$L$10)^(BI$8-1)</f>
        <v>54121.608</v>
      </c>
      <c r="BJ55" s="80">
        <f>'Redlands Inputs'!$H$10*(1+'Redlands Inputs'!$L$10)^(BJ$8-1)</f>
        <v>54121.608</v>
      </c>
      <c r="BK55" s="80">
        <f>'Redlands Inputs'!$H$10*(1+'Redlands Inputs'!$L$10)^(BK$8-1)</f>
        <v>55204.040160000004</v>
      </c>
      <c r="BL55" s="80">
        <f>'Redlands Inputs'!$H$10*(1+'Redlands Inputs'!$L$10)^(BL$8-1)</f>
        <v>55204.040160000004</v>
      </c>
      <c r="BM55" s="80">
        <f>'Redlands Inputs'!$H$10*(1+'Redlands Inputs'!$L$10)^(BM$8-1)</f>
        <v>55204.040160000004</v>
      </c>
      <c r="BN55" s="80">
        <f>'Redlands Inputs'!$H$10*(1+'Redlands Inputs'!$L$10)^(BN$8-1)</f>
        <v>55204.040160000004</v>
      </c>
      <c r="BO55" s="80">
        <f>'Redlands Inputs'!$H$10*(1+'Redlands Inputs'!$L$10)^(BO$8-1)</f>
        <v>55204.040160000004</v>
      </c>
      <c r="BP55" s="80">
        <f>'Redlands Inputs'!$H$10*(1+'Redlands Inputs'!$L$10)^(BP$8-1)</f>
        <v>55204.040160000004</v>
      </c>
      <c r="BQ55" s="80">
        <f>'Redlands Inputs'!$H$10*(1+'Redlands Inputs'!$L$10)^(BQ$8-1)</f>
        <v>55204.040160000004</v>
      </c>
      <c r="BR55" s="80">
        <f>'Redlands Inputs'!$H$10*(1+'Redlands Inputs'!$L$10)^(BR$8-1)</f>
        <v>55204.040160000004</v>
      </c>
      <c r="BS55" s="80">
        <f>'Redlands Inputs'!$H$10*(1+'Redlands Inputs'!$L$10)^(BS$8-1)</f>
        <v>55204.040160000004</v>
      </c>
      <c r="BT55" s="80">
        <f>'Redlands Inputs'!$H$10*(1+'Redlands Inputs'!$L$10)^(BT$8-1)</f>
        <v>55204.040160000004</v>
      </c>
      <c r="BU55" s="80">
        <f>'Redlands Inputs'!$H$10*(1+'Redlands Inputs'!$L$10)^(BU$8-1)</f>
        <v>55204.040160000004</v>
      </c>
      <c r="BV55" s="80">
        <f>'Redlands Inputs'!$H$10*(1+'Redlands Inputs'!$L$10)^(BV$8-1)</f>
        <v>55204.040160000004</v>
      </c>
      <c r="BW55" s="80">
        <f>'Redlands Inputs'!$H$10*(1+'Redlands Inputs'!$L$10)^(BW$8-1)</f>
        <v>56308.120963200003</v>
      </c>
      <c r="BX55" s="80">
        <f>'Redlands Inputs'!$H$10*(1+'Redlands Inputs'!$L$10)^(BX$8-1)</f>
        <v>56308.120963200003</v>
      </c>
      <c r="BY55" s="80">
        <f>'Redlands Inputs'!$H$10*(1+'Redlands Inputs'!$L$10)^(BY$8-1)</f>
        <v>56308.120963200003</v>
      </c>
      <c r="BZ55" s="80">
        <f>'Redlands Inputs'!$H$10*(1+'Redlands Inputs'!$L$10)^(BZ$8-1)</f>
        <v>56308.120963200003</v>
      </c>
      <c r="CA55" s="80">
        <f>'Redlands Inputs'!$H$10*(1+'Redlands Inputs'!$L$10)^(CA$8-1)</f>
        <v>56308.120963200003</v>
      </c>
      <c r="CB55" s="80">
        <f>'Redlands Inputs'!$H$10*(1+'Redlands Inputs'!$L$10)^(CB$8-1)</f>
        <v>56308.120963200003</v>
      </c>
      <c r="CC55" s="80">
        <f>'Redlands Inputs'!$H$10*(1+'Redlands Inputs'!$L$10)^(CC$8-1)</f>
        <v>56308.120963200003</v>
      </c>
      <c r="CD55" s="80">
        <f>'Redlands Inputs'!$H$10*(1+'Redlands Inputs'!$L$10)^(CD$8-1)</f>
        <v>56308.120963200003</v>
      </c>
      <c r="CE55" s="80">
        <f>'Redlands Inputs'!$H$10*(1+'Redlands Inputs'!$L$10)^(CE$8-1)</f>
        <v>56308.120963200003</v>
      </c>
      <c r="CF55" s="80">
        <f>'Redlands Inputs'!$H$10*(1+'Redlands Inputs'!$L$10)^(CF$8-1)</f>
        <v>56308.120963200003</v>
      </c>
      <c r="CG55" s="80">
        <f>'Redlands Inputs'!$H$10*(1+'Redlands Inputs'!$L$10)^(CG$8-1)</f>
        <v>56308.120963200003</v>
      </c>
      <c r="CH55" s="80">
        <f>'Redlands Inputs'!$H$10*(1+'Redlands Inputs'!$L$10)^(CH$8-1)</f>
        <v>56308.120963200003</v>
      </c>
      <c r="CI55" s="80">
        <f>'Redlands Inputs'!$H$10*(1+'Redlands Inputs'!$L$10)^(CI$8-1)</f>
        <v>57434.283382463989</v>
      </c>
      <c r="CJ55" s="80">
        <f>'Redlands Inputs'!$H$10*(1+'Redlands Inputs'!$L$10)^(CJ$8-1)</f>
        <v>57434.283382463989</v>
      </c>
      <c r="CK55" s="80">
        <f>'Redlands Inputs'!$H$10*(1+'Redlands Inputs'!$L$10)^(CK$8-1)</f>
        <v>57434.283382463989</v>
      </c>
      <c r="CL55" s="80">
        <f>'Redlands Inputs'!$H$10*(1+'Redlands Inputs'!$L$10)^(CL$8-1)</f>
        <v>57434.283382463989</v>
      </c>
      <c r="CM55" s="80">
        <f>'Redlands Inputs'!$H$10*(1+'Redlands Inputs'!$L$10)^(CM$8-1)</f>
        <v>57434.283382463989</v>
      </c>
      <c r="CN55" s="80">
        <f>'Redlands Inputs'!$H$10*(1+'Redlands Inputs'!$L$10)^(CN$8-1)</f>
        <v>57434.283382463989</v>
      </c>
      <c r="CO55" s="80">
        <f>'Redlands Inputs'!$H$10*(1+'Redlands Inputs'!$L$10)^(CO$8-1)</f>
        <v>57434.283382463989</v>
      </c>
      <c r="CP55" s="80">
        <f>'Redlands Inputs'!$H$10*(1+'Redlands Inputs'!$L$10)^(CP$8-1)</f>
        <v>57434.283382463989</v>
      </c>
      <c r="CQ55" s="80">
        <f>'Redlands Inputs'!$H$10*(1+'Redlands Inputs'!$L$10)^(CQ$8-1)</f>
        <v>57434.283382463989</v>
      </c>
      <c r="CR55" s="80">
        <f>'Redlands Inputs'!$H$10*(1+'Redlands Inputs'!$L$10)^(CR$8-1)</f>
        <v>57434.283382463989</v>
      </c>
      <c r="CS55" s="80">
        <f>'Redlands Inputs'!$H$10*(1+'Redlands Inputs'!$L$10)^(CS$8-1)</f>
        <v>57434.283382463989</v>
      </c>
      <c r="CT55" s="80">
        <f>'Redlands Inputs'!$H$10*(1+'Redlands Inputs'!$L$10)^(CT$8-1)</f>
        <v>57434.283382463989</v>
      </c>
      <c r="CU55" s="80">
        <f>'Redlands Inputs'!$H$10*(1+'Redlands Inputs'!$L$10)^(CU$8-1)</f>
        <v>58582.969050113279</v>
      </c>
      <c r="CV55" s="80">
        <f>'Redlands Inputs'!$H$10*(1+'Redlands Inputs'!$L$10)^(CV$8-1)</f>
        <v>58582.969050113279</v>
      </c>
      <c r="CW55" s="80">
        <f>'Redlands Inputs'!$H$10*(1+'Redlands Inputs'!$L$10)^(CW$8-1)</f>
        <v>58582.969050113279</v>
      </c>
      <c r="CX55" s="80">
        <f>'Redlands Inputs'!$H$10*(1+'Redlands Inputs'!$L$10)^(CX$8-1)</f>
        <v>58582.969050113279</v>
      </c>
      <c r="CY55" s="80">
        <f>'Redlands Inputs'!$H$10*(1+'Redlands Inputs'!$L$10)^(CY$8-1)</f>
        <v>58582.969050113279</v>
      </c>
      <c r="CZ55" s="80">
        <f>'Redlands Inputs'!$H$10*(1+'Redlands Inputs'!$L$10)^(CZ$8-1)</f>
        <v>58582.969050113279</v>
      </c>
      <c r="DA55" s="80">
        <f>'Redlands Inputs'!$H$10*(1+'Redlands Inputs'!$L$10)^(DA$8-1)</f>
        <v>58582.969050113279</v>
      </c>
      <c r="DB55" s="80">
        <f>'Redlands Inputs'!$H$10*(1+'Redlands Inputs'!$L$10)^(DB$8-1)</f>
        <v>58582.969050113279</v>
      </c>
      <c r="DC55" s="80">
        <f>'Redlands Inputs'!$H$10*(1+'Redlands Inputs'!$L$10)^(DC$8-1)</f>
        <v>58582.969050113279</v>
      </c>
      <c r="DD55" s="80">
        <f>'Redlands Inputs'!$H$10*(1+'Redlands Inputs'!$L$10)^(DD$8-1)</f>
        <v>58582.969050113279</v>
      </c>
      <c r="DE55" s="80">
        <f>'Redlands Inputs'!$H$10*(1+'Redlands Inputs'!$L$10)^(DE$8-1)</f>
        <v>58582.969050113279</v>
      </c>
      <c r="DF55" s="80">
        <f>'Redlands Inputs'!$H$10*(1+'Redlands Inputs'!$L$10)^(DF$8-1)</f>
        <v>58582.969050113279</v>
      </c>
      <c r="DG55" s="80">
        <f>'Redlands Inputs'!$H$10*(1+'Redlands Inputs'!$L$10)^(DG$8-1)</f>
        <v>59754.62843111554</v>
      </c>
      <c r="DH55" s="80">
        <f>'Redlands Inputs'!$H$10*(1+'Redlands Inputs'!$L$10)^(DH$8-1)</f>
        <v>59754.62843111554</v>
      </c>
      <c r="DI55" s="80">
        <f>'Redlands Inputs'!$H$10*(1+'Redlands Inputs'!$L$10)^(DI$8-1)</f>
        <v>59754.62843111554</v>
      </c>
      <c r="DJ55" s="80">
        <f>'Redlands Inputs'!$H$10*(1+'Redlands Inputs'!$L$10)^(DJ$8-1)</f>
        <v>59754.62843111554</v>
      </c>
      <c r="DK55" s="80">
        <f>'Redlands Inputs'!$H$10*(1+'Redlands Inputs'!$L$10)^(DK$8-1)</f>
        <v>59754.62843111554</v>
      </c>
      <c r="DL55" s="80">
        <f>'Redlands Inputs'!$H$10*(1+'Redlands Inputs'!$L$10)^(DL$8-1)</f>
        <v>59754.62843111554</v>
      </c>
      <c r="DM55" s="80">
        <f>'Redlands Inputs'!$H$10*(1+'Redlands Inputs'!$L$10)^(DM$8-1)</f>
        <v>59754.62843111554</v>
      </c>
      <c r="DN55" s="80">
        <f>'Redlands Inputs'!$H$10*(1+'Redlands Inputs'!$L$10)^(DN$8-1)</f>
        <v>59754.62843111554</v>
      </c>
      <c r="DO55" s="80">
        <f>'Redlands Inputs'!$H$10*(1+'Redlands Inputs'!$L$10)^(DO$8-1)</f>
        <v>59754.62843111554</v>
      </c>
      <c r="DP55" s="80">
        <f>'Redlands Inputs'!$H$10*(1+'Redlands Inputs'!$L$10)^(DP$8-1)</f>
        <v>59754.62843111554</v>
      </c>
      <c r="DQ55" s="80">
        <f>'Redlands Inputs'!$H$10*(1+'Redlands Inputs'!$L$10)^(DQ$8-1)</f>
        <v>59754.62843111554</v>
      </c>
      <c r="DR55" s="80">
        <f>'Redlands Inputs'!$H$10*(1+'Redlands Inputs'!$L$10)^(DR$8-1)</f>
        <v>59754.62843111554</v>
      </c>
      <c r="DS55" s="80">
        <f>'Redlands Inputs'!$H$10*(1+'Redlands Inputs'!$L$10)^(DS$8-1)</f>
        <v>60949.720999737852</v>
      </c>
      <c r="DT55" s="80">
        <f>'Redlands Inputs'!$H$10*(1+'Redlands Inputs'!$L$10)^(DT$8-1)</f>
        <v>60949.720999737852</v>
      </c>
      <c r="DU55" s="80">
        <f>'Redlands Inputs'!$H$10*(1+'Redlands Inputs'!$L$10)^(DU$8-1)</f>
        <v>60949.720999737852</v>
      </c>
      <c r="DV55" s="80">
        <f>'Redlands Inputs'!$H$10*(1+'Redlands Inputs'!$L$10)^(DV$8-1)</f>
        <v>60949.720999737852</v>
      </c>
      <c r="DW55" s="80">
        <f>'Redlands Inputs'!$H$10*(1+'Redlands Inputs'!$L$10)^(DW$8-1)</f>
        <v>60949.720999737852</v>
      </c>
      <c r="DX55" s="80">
        <f>'Redlands Inputs'!$H$10*(1+'Redlands Inputs'!$L$10)^(DX$8-1)</f>
        <v>60949.720999737852</v>
      </c>
      <c r="DY55" s="80">
        <f>'Redlands Inputs'!$H$10*(1+'Redlands Inputs'!$L$10)^(DY$8-1)</f>
        <v>60949.720999737852</v>
      </c>
      <c r="DZ55" s="80">
        <f>'Redlands Inputs'!$H$10*(1+'Redlands Inputs'!$L$10)^(DZ$8-1)</f>
        <v>60949.720999737852</v>
      </c>
      <c r="EA55" s="80">
        <f>'Redlands Inputs'!$H$10*(1+'Redlands Inputs'!$L$10)^(EA$8-1)</f>
        <v>60949.720999737852</v>
      </c>
      <c r="EB55" s="80">
        <f>'Redlands Inputs'!$H$10*(1+'Redlands Inputs'!$L$10)^(EB$8-1)</f>
        <v>60949.720999737852</v>
      </c>
      <c r="EC55" s="80">
        <f>'Redlands Inputs'!$H$10*(1+'Redlands Inputs'!$L$10)^(EC$8-1)</f>
        <v>60949.720999737852</v>
      </c>
      <c r="ED55" s="80">
        <f>'Redlands Inputs'!$H$10*(1+'Redlands Inputs'!$L$10)^(ED$8-1)</f>
        <v>60949.720999737852</v>
      </c>
    </row>
    <row r="56" spans="1:134" ht="19.149999999999999" customHeight="1" x14ac:dyDescent="0.4">
      <c r="A56" s="6" t="s">
        <v>42</v>
      </c>
      <c r="B56" s="6"/>
      <c r="C56" s="80">
        <f>C55</f>
        <v>50000</v>
      </c>
      <c r="D56" s="80">
        <f t="shared" ref="D56:BO56" si="41">D55</f>
        <v>50000</v>
      </c>
      <c r="E56" s="80">
        <f t="shared" si="41"/>
        <v>50000</v>
      </c>
      <c r="F56" s="80">
        <f t="shared" si="41"/>
        <v>50000</v>
      </c>
      <c r="G56" s="80">
        <f t="shared" si="41"/>
        <v>50000</v>
      </c>
      <c r="H56" s="80">
        <f t="shared" si="41"/>
        <v>50000</v>
      </c>
      <c r="I56" s="80">
        <f t="shared" si="41"/>
        <v>50000</v>
      </c>
      <c r="J56" s="80">
        <f t="shared" si="41"/>
        <v>50000</v>
      </c>
      <c r="K56" s="80">
        <f t="shared" si="41"/>
        <v>50000</v>
      </c>
      <c r="L56" s="80">
        <f t="shared" si="41"/>
        <v>50000</v>
      </c>
      <c r="M56" s="80">
        <f t="shared" si="41"/>
        <v>50000</v>
      </c>
      <c r="N56" s="80">
        <f t="shared" si="41"/>
        <v>50000</v>
      </c>
      <c r="O56" s="80">
        <f t="shared" si="41"/>
        <v>51000</v>
      </c>
      <c r="P56" s="80">
        <f t="shared" si="41"/>
        <v>51000</v>
      </c>
      <c r="Q56" s="80">
        <f t="shared" si="41"/>
        <v>51000</v>
      </c>
      <c r="R56" s="80">
        <f t="shared" si="41"/>
        <v>51000</v>
      </c>
      <c r="S56" s="80">
        <f t="shared" si="41"/>
        <v>51000</v>
      </c>
      <c r="T56" s="80">
        <f t="shared" si="41"/>
        <v>51000</v>
      </c>
      <c r="U56" s="80">
        <f t="shared" si="41"/>
        <v>51000</v>
      </c>
      <c r="V56" s="80">
        <f t="shared" si="41"/>
        <v>51000</v>
      </c>
      <c r="W56" s="80">
        <f t="shared" si="41"/>
        <v>51000</v>
      </c>
      <c r="X56" s="80">
        <f t="shared" si="41"/>
        <v>51000</v>
      </c>
      <c r="Y56" s="80">
        <f t="shared" si="41"/>
        <v>51000</v>
      </c>
      <c r="Z56" s="80">
        <f t="shared" si="41"/>
        <v>51000</v>
      </c>
      <c r="AA56" s="80">
        <f t="shared" si="41"/>
        <v>52020</v>
      </c>
      <c r="AB56" s="80">
        <f t="shared" si="41"/>
        <v>52020</v>
      </c>
      <c r="AC56" s="80">
        <f t="shared" si="41"/>
        <v>52020</v>
      </c>
      <c r="AD56" s="80">
        <f t="shared" si="41"/>
        <v>52020</v>
      </c>
      <c r="AE56" s="80">
        <f t="shared" si="41"/>
        <v>52020</v>
      </c>
      <c r="AF56" s="80">
        <f t="shared" si="41"/>
        <v>52020</v>
      </c>
      <c r="AG56" s="80">
        <f t="shared" si="41"/>
        <v>52020</v>
      </c>
      <c r="AH56" s="80">
        <f t="shared" si="41"/>
        <v>52020</v>
      </c>
      <c r="AI56" s="80">
        <f t="shared" si="41"/>
        <v>52020</v>
      </c>
      <c r="AJ56" s="80">
        <f t="shared" si="41"/>
        <v>52020</v>
      </c>
      <c r="AK56" s="80">
        <f t="shared" si="41"/>
        <v>52020</v>
      </c>
      <c r="AL56" s="80">
        <f t="shared" si="41"/>
        <v>52020</v>
      </c>
      <c r="AM56" s="80">
        <f t="shared" si="41"/>
        <v>53060.399999999994</v>
      </c>
      <c r="AN56" s="80">
        <f t="shared" si="41"/>
        <v>53060.399999999994</v>
      </c>
      <c r="AO56" s="80">
        <f t="shared" si="41"/>
        <v>53060.399999999994</v>
      </c>
      <c r="AP56" s="80">
        <f t="shared" si="41"/>
        <v>53060.399999999994</v>
      </c>
      <c r="AQ56" s="80">
        <f t="shared" si="41"/>
        <v>53060.399999999994</v>
      </c>
      <c r="AR56" s="80">
        <f t="shared" si="41"/>
        <v>53060.399999999994</v>
      </c>
      <c r="AS56" s="80">
        <f t="shared" si="41"/>
        <v>53060.399999999994</v>
      </c>
      <c r="AT56" s="80">
        <f t="shared" si="41"/>
        <v>53060.399999999994</v>
      </c>
      <c r="AU56" s="80">
        <f t="shared" si="41"/>
        <v>53060.399999999994</v>
      </c>
      <c r="AV56" s="80">
        <f t="shared" si="41"/>
        <v>53060.399999999994</v>
      </c>
      <c r="AW56" s="80">
        <f t="shared" si="41"/>
        <v>53060.399999999994</v>
      </c>
      <c r="AX56" s="80">
        <f t="shared" si="41"/>
        <v>53060.399999999994</v>
      </c>
      <c r="AY56" s="80">
        <f t="shared" si="41"/>
        <v>54121.608</v>
      </c>
      <c r="AZ56" s="80">
        <f t="shared" si="41"/>
        <v>54121.608</v>
      </c>
      <c r="BA56" s="80">
        <f t="shared" si="41"/>
        <v>54121.608</v>
      </c>
      <c r="BB56" s="80">
        <f t="shared" si="41"/>
        <v>54121.608</v>
      </c>
      <c r="BC56" s="80">
        <f t="shared" si="41"/>
        <v>54121.608</v>
      </c>
      <c r="BD56" s="80">
        <f t="shared" si="41"/>
        <v>54121.608</v>
      </c>
      <c r="BE56" s="80">
        <f t="shared" si="41"/>
        <v>54121.608</v>
      </c>
      <c r="BF56" s="80">
        <f t="shared" si="41"/>
        <v>54121.608</v>
      </c>
      <c r="BG56" s="80">
        <f t="shared" si="41"/>
        <v>54121.608</v>
      </c>
      <c r="BH56" s="80">
        <f t="shared" si="41"/>
        <v>54121.608</v>
      </c>
      <c r="BI56" s="80">
        <f t="shared" si="41"/>
        <v>54121.608</v>
      </c>
      <c r="BJ56" s="80">
        <f t="shared" si="41"/>
        <v>54121.608</v>
      </c>
      <c r="BK56" s="80">
        <f t="shared" si="41"/>
        <v>55204.040160000004</v>
      </c>
      <c r="BL56" s="80">
        <f t="shared" si="41"/>
        <v>55204.040160000004</v>
      </c>
      <c r="BM56" s="80">
        <f t="shared" si="41"/>
        <v>55204.040160000004</v>
      </c>
      <c r="BN56" s="80">
        <f t="shared" si="41"/>
        <v>55204.040160000004</v>
      </c>
      <c r="BO56" s="80">
        <f t="shared" si="41"/>
        <v>55204.040160000004</v>
      </c>
      <c r="BP56" s="80">
        <f t="shared" ref="BP56:EA56" si="42">BP55</f>
        <v>55204.040160000004</v>
      </c>
      <c r="BQ56" s="80">
        <f t="shared" si="42"/>
        <v>55204.040160000004</v>
      </c>
      <c r="BR56" s="80">
        <f t="shared" si="42"/>
        <v>55204.040160000004</v>
      </c>
      <c r="BS56" s="80">
        <f t="shared" si="42"/>
        <v>55204.040160000004</v>
      </c>
      <c r="BT56" s="80">
        <f t="shared" si="42"/>
        <v>55204.040160000004</v>
      </c>
      <c r="BU56" s="80">
        <f t="shared" si="42"/>
        <v>55204.040160000004</v>
      </c>
      <c r="BV56" s="80">
        <f t="shared" si="42"/>
        <v>55204.040160000004</v>
      </c>
      <c r="BW56" s="80">
        <f t="shared" si="42"/>
        <v>56308.120963200003</v>
      </c>
      <c r="BX56" s="80">
        <f t="shared" si="42"/>
        <v>56308.120963200003</v>
      </c>
      <c r="BY56" s="80">
        <f t="shared" si="42"/>
        <v>56308.120963200003</v>
      </c>
      <c r="BZ56" s="80">
        <f t="shared" si="42"/>
        <v>56308.120963200003</v>
      </c>
      <c r="CA56" s="80">
        <f t="shared" si="42"/>
        <v>56308.120963200003</v>
      </c>
      <c r="CB56" s="80">
        <f t="shared" si="42"/>
        <v>56308.120963200003</v>
      </c>
      <c r="CC56" s="80">
        <f t="shared" si="42"/>
        <v>56308.120963200003</v>
      </c>
      <c r="CD56" s="80">
        <f t="shared" si="42"/>
        <v>56308.120963200003</v>
      </c>
      <c r="CE56" s="80">
        <f t="shared" si="42"/>
        <v>56308.120963200003</v>
      </c>
      <c r="CF56" s="80">
        <f t="shared" si="42"/>
        <v>56308.120963200003</v>
      </c>
      <c r="CG56" s="80">
        <f t="shared" si="42"/>
        <v>56308.120963200003</v>
      </c>
      <c r="CH56" s="80">
        <f t="shared" si="42"/>
        <v>56308.120963200003</v>
      </c>
      <c r="CI56" s="80">
        <f t="shared" si="42"/>
        <v>57434.283382463989</v>
      </c>
      <c r="CJ56" s="80">
        <f t="shared" si="42"/>
        <v>57434.283382463989</v>
      </c>
      <c r="CK56" s="80">
        <f t="shared" si="42"/>
        <v>57434.283382463989</v>
      </c>
      <c r="CL56" s="80">
        <f t="shared" si="42"/>
        <v>57434.283382463989</v>
      </c>
      <c r="CM56" s="80">
        <f t="shared" si="42"/>
        <v>57434.283382463989</v>
      </c>
      <c r="CN56" s="80">
        <f t="shared" si="42"/>
        <v>57434.283382463989</v>
      </c>
      <c r="CO56" s="80">
        <f t="shared" si="42"/>
        <v>57434.283382463989</v>
      </c>
      <c r="CP56" s="80">
        <f t="shared" si="42"/>
        <v>57434.283382463989</v>
      </c>
      <c r="CQ56" s="80">
        <f t="shared" si="42"/>
        <v>57434.283382463989</v>
      </c>
      <c r="CR56" s="80">
        <f t="shared" si="42"/>
        <v>57434.283382463989</v>
      </c>
      <c r="CS56" s="80">
        <f t="shared" si="42"/>
        <v>57434.283382463989</v>
      </c>
      <c r="CT56" s="80">
        <f t="shared" si="42"/>
        <v>57434.283382463989</v>
      </c>
      <c r="CU56" s="80">
        <f t="shared" si="42"/>
        <v>58582.969050113279</v>
      </c>
      <c r="CV56" s="80">
        <f t="shared" si="42"/>
        <v>58582.969050113279</v>
      </c>
      <c r="CW56" s="80">
        <f t="shared" si="42"/>
        <v>58582.969050113279</v>
      </c>
      <c r="CX56" s="80">
        <f t="shared" si="42"/>
        <v>58582.969050113279</v>
      </c>
      <c r="CY56" s="80">
        <f t="shared" si="42"/>
        <v>58582.969050113279</v>
      </c>
      <c r="CZ56" s="80">
        <f t="shared" si="42"/>
        <v>58582.969050113279</v>
      </c>
      <c r="DA56" s="80">
        <f t="shared" si="42"/>
        <v>58582.969050113279</v>
      </c>
      <c r="DB56" s="80">
        <f t="shared" si="42"/>
        <v>58582.969050113279</v>
      </c>
      <c r="DC56" s="80">
        <f t="shared" si="42"/>
        <v>58582.969050113279</v>
      </c>
      <c r="DD56" s="80">
        <f t="shared" si="42"/>
        <v>58582.969050113279</v>
      </c>
      <c r="DE56" s="80">
        <f t="shared" si="42"/>
        <v>58582.969050113279</v>
      </c>
      <c r="DF56" s="80">
        <f t="shared" si="42"/>
        <v>58582.969050113279</v>
      </c>
      <c r="DG56" s="80">
        <f t="shared" si="42"/>
        <v>59754.62843111554</v>
      </c>
      <c r="DH56" s="80">
        <f t="shared" si="42"/>
        <v>59754.62843111554</v>
      </c>
      <c r="DI56" s="80">
        <f t="shared" si="42"/>
        <v>59754.62843111554</v>
      </c>
      <c r="DJ56" s="80">
        <f t="shared" si="42"/>
        <v>59754.62843111554</v>
      </c>
      <c r="DK56" s="80">
        <f t="shared" si="42"/>
        <v>59754.62843111554</v>
      </c>
      <c r="DL56" s="80">
        <f t="shared" si="42"/>
        <v>59754.62843111554</v>
      </c>
      <c r="DM56" s="80">
        <f t="shared" si="42"/>
        <v>59754.62843111554</v>
      </c>
      <c r="DN56" s="80">
        <f t="shared" si="42"/>
        <v>59754.62843111554</v>
      </c>
      <c r="DO56" s="80">
        <f t="shared" si="42"/>
        <v>59754.62843111554</v>
      </c>
      <c r="DP56" s="80">
        <f t="shared" si="42"/>
        <v>59754.62843111554</v>
      </c>
      <c r="DQ56" s="80">
        <f t="shared" si="42"/>
        <v>59754.62843111554</v>
      </c>
      <c r="DR56" s="80">
        <f t="shared" si="42"/>
        <v>59754.62843111554</v>
      </c>
      <c r="DS56" s="80">
        <f t="shared" si="42"/>
        <v>60949.720999737852</v>
      </c>
      <c r="DT56" s="80">
        <f t="shared" si="42"/>
        <v>60949.720999737852</v>
      </c>
      <c r="DU56" s="80">
        <f t="shared" si="42"/>
        <v>60949.720999737852</v>
      </c>
      <c r="DV56" s="80">
        <f t="shared" si="42"/>
        <v>60949.720999737852</v>
      </c>
      <c r="DW56" s="80">
        <f t="shared" si="42"/>
        <v>60949.720999737852</v>
      </c>
      <c r="DX56" s="80">
        <f t="shared" si="42"/>
        <v>60949.720999737852</v>
      </c>
      <c r="DY56" s="80">
        <f t="shared" si="42"/>
        <v>60949.720999737852</v>
      </c>
      <c r="DZ56" s="80">
        <f t="shared" si="42"/>
        <v>60949.720999737852</v>
      </c>
      <c r="EA56" s="80">
        <f t="shared" si="42"/>
        <v>60949.720999737852</v>
      </c>
      <c r="EB56" s="80">
        <f t="shared" ref="EB56:ED56" si="43">EB55</f>
        <v>60949.720999737852</v>
      </c>
      <c r="EC56" s="80">
        <f t="shared" si="43"/>
        <v>60949.720999737852</v>
      </c>
      <c r="ED56" s="80">
        <f t="shared" si="43"/>
        <v>60949.720999737852</v>
      </c>
    </row>
    <row r="57" spans="1:134" ht="19.149999999999999" customHeight="1" x14ac:dyDescent="0.4">
      <c r="A57" s="5" t="s">
        <v>17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</row>
    <row r="58" spans="1:134" ht="19.149999999999999" customHeight="1" x14ac:dyDescent="0.4">
      <c r="A58" s="6" t="s">
        <v>43</v>
      </c>
      <c r="B58" s="6"/>
      <c r="C58" s="80">
        <f>C56+C52</f>
        <v>50000</v>
      </c>
      <c r="D58" s="80">
        <f t="shared" ref="D58:BO58" si="44">D56+D52</f>
        <v>50000</v>
      </c>
      <c r="E58" s="80">
        <f t="shared" si="44"/>
        <v>50000</v>
      </c>
      <c r="F58" s="80">
        <f t="shared" si="44"/>
        <v>50000</v>
      </c>
      <c r="G58" s="80">
        <f t="shared" si="44"/>
        <v>50000</v>
      </c>
      <c r="H58" s="80">
        <f t="shared" si="44"/>
        <v>50000</v>
      </c>
      <c r="I58" s="80">
        <f t="shared" si="44"/>
        <v>50000</v>
      </c>
      <c r="J58" s="80">
        <f t="shared" si="44"/>
        <v>50000</v>
      </c>
      <c r="K58" s="80">
        <f t="shared" si="44"/>
        <v>50000</v>
      </c>
      <c r="L58" s="80">
        <f t="shared" si="44"/>
        <v>50000</v>
      </c>
      <c r="M58" s="80">
        <f t="shared" si="44"/>
        <v>50000</v>
      </c>
      <c r="N58" s="80">
        <f t="shared" si="44"/>
        <v>50000</v>
      </c>
      <c r="O58" s="80">
        <f t="shared" si="44"/>
        <v>51000</v>
      </c>
      <c r="P58" s="80">
        <f t="shared" si="44"/>
        <v>51000</v>
      </c>
      <c r="Q58" s="80">
        <f t="shared" si="44"/>
        <v>51000</v>
      </c>
      <c r="R58" s="80">
        <f t="shared" si="44"/>
        <v>51000</v>
      </c>
      <c r="S58" s="80">
        <f t="shared" si="44"/>
        <v>51000</v>
      </c>
      <c r="T58" s="80">
        <f t="shared" si="44"/>
        <v>51000</v>
      </c>
      <c r="U58" s="80">
        <f t="shared" si="44"/>
        <v>51000</v>
      </c>
      <c r="V58" s="80">
        <f t="shared" si="44"/>
        <v>51000</v>
      </c>
      <c r="W58" s="80">
        <f t="shared" si="44"/>
        <v>51000</v>
      </c>
      <c r="X58" s="80">
        <f t="shared" si="44"/>
        <v>51000</v>
      </c>
      <c r="Y58" s="80">
        <f t="shared" si="44"/>
        <v>51000</v>
      </c>
      <c r="Z58" s="80">
        <f t="shared" si="44"/>
        <v>51000</v>
      </c>
      <c r="AA58" s="80">
        <f t="shared" si="44"/>
        <v>52020</v>
      </c>
      <c r="AB58" s="80">
        <f t="shared" si="44"/>
        <v>52020</v>
      </c>
      <c r="AC58" s="80">
        <f t="shared" si="44"/>
        <v>52020</v>
      </c>
      <c r="AD58" s="80">
        <f t="shared" si="44"/>
        <v>52020</v>
      </c>
      <c r="AE58" s="80">
        <f t="shared" si="44"/>
        <v>52020</v>
      </c>
      <c r="AF58" s="80">
        <f t="shared" si="44"/>
        <v>52020</v>
      </c>
      <c r="AG58" s="80">
        <f t="shared" si="44"/>
        <v>52020</v>
      </c>
      <c r="AH58" s="80">
        <f t="shared" si="44"/>
        <v>52020</v>
      </c>
      <c r="AI58" s="80">
        <f t="shared" si="44"/>
        <v>52020</v>
      </c>
      <c r="AJ58" s="80">
        <f t="shared" si="44"/>
        <v>52020</v>
      </c>
      <c r="AK58" s="80">
        <f t="shared" si="44"/>
        <v>52020</v>
      </c>
      <c r="AL58" s="80">
        <f t="shared" si="44"/>
        <v>52020</v>
      </c>
      <c r="AM58" s="80">
        <f t="shared" si="44"/>
        <v>53060.399999999994</v>
      </c>
      <c r="AN58" s="80">
        <f t="shared" si="44"/>
        <v>53060.399999999994</v>
      </c>
      <c r="AO58" s="80">
        <f t="shared" si="44"/>
        <v>53060.399999999994</v>
      </c>
      <c r="AP58" s="80">
        <f t="shared" si="44"/>
        <v>53060.399999999994</v>
      </c>
      <c r="AQ58" s="80">
        <f t="shared" si="44"/>
        <v>53060.399999999994</v>
      </c>
      <c r="AR58" s="80">
        <f t="shared" si="44"/>
        <v>53060.399999999994</v>
      </c>
      <c r="AS58" s="80">
        <f t="shared" si="44"/>
        <v>53060.399999999994</v>
      </c>
      <c r="AT58" s="80">
        <f t="shared" si="44"/>
        <v>53060.399999999994</v>
      </c>
      <c r="AU58" s="80">
        <f t="shared" si="44"/>
        <v>53060.399999999994</v>
      </c>
      <c r="AV58" s="80">
        <f t="shared" si="44"/>
        <v>53060.399999999994</v>
      </c>
      <c r="AW58" s="80">
        <f t="shared" si="44"/>
        <v>53060.399999999994</v>
      </c>
      <c r="AX58" s="80">
        <f t="shared" si="44"/>
        <v>53060.399999999994</v>
      </c>
      <c r="AY58" s="80">
        <f t="shared" si="44"/>
        <v>54121.608</v>
      </c>
      <c r="AZ58" s="80">
        <f t="shared" si="44"/>
        <v>54121.608</v>
      </c>
      <c r="BA58" s="80">
        <f t="shared" si="44"/>
        <v>54121.608</v>
      </c>
      <c r="BB58" s="80">
        <f t="shared" si="44"/>
        <v>54121.608</v>
      </c>
      <c r="BC58" s="80">
        <f t="shared" si="44"/>
        <v>54121.608</v>
      </c>
      <c r="BD58" s="80">
        <f t="shared" si="44"/>
        <v>54121.608</v>
      </c>
      <c r="BE58" s="80">
        <f t="shared" si="44"/>
        <v>54121.608</v>
      </c>
      <c r="BF58" s="80">
        <f t="shared" si="44"/>
        <v>54121.608</v>
      </c>
      <c r="BG58" s="80">
        <f t="shared" si="44"/>
        <v>54121.608</v>
      </c>
      <c r="BH58" s="80">
        <f t="shared" si="44"/>
        <v>54121.608</v>
      </c>
      <c r="BI58" s="80">
        <f t="shared" si="44"/>
        <v>54121.608</v>
      </c>
      <c r="BJ58" s="80">
        <f t="shared" si="44"/>
        <v>54121.608</v>
      </c>
      <c r="BK58" s="80">
        <f t="shared" si="44"/>
        <v>55204.040160000004</v>
      </c>
      <c r="BL58" s="80">
        <f t="shared" si="44"/>
        <v>55204.040160000004</v>
      </c>
      <c r="BM58" s="80">
        <f t="shared" si="44"/>
        <v>55204.040160000004</v>
      </c>
      <c r="BN58" s="80">
        <f t="shared" si="44"/>
        <v>55204.040160000004</v>
      </c>
      <c r="BO58" s="80">
        <f t="shared" si="44"/>
        <v>55204.040160000004</v>
      </c>
      <c r="BP58" s="80">
        <f t="shared" ref="BP58:EA58" si="45">BP56+BP52</f>
        <v>55204.040160000004</v>
      </c>
      <c r="BQ58" s="80">
        <f t="shared" si="45"/>
        <v>55204.040160000004</v>
      </c>
      <c r="BR58" s="80">
        <f t="shared" si="45"/>
        <v>55204.040160000004</v>
      </c>
      <c r="BS58" s="80">
        <f t="shared" si="45"/>
        <v>55204.040160000004</v>
      </c>
      <c r="BT58" s="80">
        <f t="shared" si="45"/>
        <v>55204.040160000004</v>
      </c>
      <c r="BU58" s="80">
        <f t="shared" si="45"/>
        <v>55204.040160000004</v>
      </c>
      <c r="BV58" s="80">
        <f t="shared" si="45"/>
        <v>55204.040160000004</v>
      </c>
      <c r="BW58" s="80">
        <f t="shared" si="45"/>
        <v>56308.120963200003</v>
      </c>
      <c r="BX58" s="80">
        <f t="shared" si="45"/>
        <v>56308.120963200003</v>
      </c>
      <c r="BY58" s="80">
        <f t="shared" si="45"/>
        <v>56308.120963200003</v>
      </c>
      <c r="BZ58" s="80">
        <f t="shared" si="45"/>
        <v>56308.120963200003</v>
      </c>
      <c r="CA58" s="80">
        <f t="shared" si="45"/>
        <v>56308.120963200003</v>
      </c>
      <c r="CB58" s="80">
        <f t="shared" si="45"/>
        <v>56308.120963200003</v>
      </c>
      <c r="CC58" s="80">
        <f t="shared" si="45"/>
        <v>56308.120963200003</v>
      </c>
      <c r="CD58" s="80">
        <f t="shared" si="45"/>
        <v>56308.120963200003</v>
      </c>
      <c r="CE58" s="80">
        <f t="shared" si="45"/>
        <v>56308.120963200003</v>
      </c>
      <c r="CF58" s="80">
        <f t="shared" si="45"/>
        <v>56308.120963200003</v>
      </c>
      <c r="CG58" s="80">
        <f t="shared" si="45"/>
        <v>56308.120963200003</v>
      </c>
      <c r="CH58" s="80">
        <f t="shared" si="45"/>
        <v>56308.120963200003</v>
      </c>
      <c r="CI58" s="80">
        <f t="shared" si="45"/>
        <v>57434.283382463989</v>
      </c>
      <c r="CJ58" s="80">
        <f t="shared" si="45"/>
        <v>1791434.283382464</v>
      </c>
      <c r="CK58" s="80">
        <f t="shared" si="45"/>
        <v>57434.283382463989</v>
      </c>
      <c r="CL58" s="80">
        <f t="shared" si="45"/>
        <v>57434.283382463989</v>
      </c>
      <c r="CM58" s="80">
        <f t="shared" si="45"/>
        <v>57434.283382463989</v>
      </c>
      <c r="CN58" s="80">
        <f t="shared" si="45"/>
        <v>57434.283382463989</v>
      </c>
      <c r="CO58" s="80">
        <f t="shared" si="45"/>
        <v>57434.283382463989</v>
      </c>
      <c r="CP58" s="80">
        <f t="shared" si="45"/>
        <v>57434.283382463989</v>
      </c>
      <c r="CQ58" s="80">
        <f t="shared" si="45"/>
        <v>57434.283382463989</v>
      </c>
      <c r="CR58" s="80">
        <f t="shared" si="45"/>
        <v>57434.283382463989</v>
      </c>
      <c r="CS58" s="80">
        <f t="shared" si="45"/>
        <v>57434.283382463989</v>
      </c>
      <c r="CT58" s="80">
        <f t="shared" si="45"/>
        <v>57434.283382463989</v>
      </c>
      <c r="CU58" s="80">
        <f t="shared" si="45"/>
        <v>58582.969050113279</v>
      </c>
      <c r="CV58" s="80">
        <f t="shared" si="45"/>
        <v>58582.969050113279</v>
      </c>
      <c r="CW58" s="80">
        <f t="shared" si="45"/>
        <v>58582.969050113279</v>
      </c>
      <c r="CX58" s="80">
        <f t="shared" si="45"/>
        <v>58582.969050113279</v>
      </c>
      <c r="CY58" s="80">
        <f t="shared" si="45"/>
        <v>58582.969050113279</v>
      </c>
      <c r="CZ58" s="80">
        <f t="shared" si="45"/>
        <v>58582.969050113279</v>
      </c>
      <c r="DA58" s="80">
        <f t="shared" si="45"/>
        <v>58582.969050113279</v>
      </c>
      <c r="DB58" s="80">
        <f t="shared" si="45"/>
        <v>58582.969050113279</v>
      </c>
      <c r="DC58" s="80">
        <f t="shared" si="45"/>
        <v>58582.969050113279</v>
      </c>
      <c r="DD58" s="80">
        <f t="shared" si="45"/>
        <v>58582.969050113279</v>
      </c>
      <c r="DE58" s="80">
        <f t="shared" si="45"/>
        <v>58582.969050113279</v>
      </c>
      <c r="DF58" s="80">
        <f t="shared" si="45"/>
        <v>58582.969050113279</v>
      </c>
      <c r="DG58" s="80">
        <f t="shared" si="45"/>
        <v>59754.62843111554</v>
      </c>
      <c r="DH58" s="80">
        <f t="shared" si="45"/>
        <v>59754.62843111554</v>
      </c>
      <c r="DI58" s="80">
        <f t="shared" si="45"/>
        <v>59754.62843111554</v>
      </c>
      <c r="DJ58" s="80">
        <f t="shared" si="45"/>
        <v>59754.62843111554</v>
      </c>
      <c r="DK58" s="80">
        <f t="shared" si="45"/>
        <v>59754.62843111554</v>
      </c>
      <c r="DL58" s="80">
        <f t="shared" si="45"/>
        <v>59754.62843111554</v>
      </c>
      <c r="DM58" s="80">
        <f t="shared" si="45"/>
        <v>59754.62843111554</v>
      </c>
      <c r="DN58" s="80">
        <f t="shared" si="45"/>
        <v>59754.62843111554</v>
      </c>
      <c r="DO58" s="80">
        <f t="shared" si="45"/>
        <v>59754.62843111554</v>
      </c>
      <c r="DP58" s="80">
        <f t="shared" si="45"/>
        <v>59754.62843111554</v>
      </c>
      <c r="DQ58" s="80">
        <f t="shared" si="45"/>
        <v>59754.62843111554</v>
      </c>
      <c r="DR58" s="80">
        <f t="shared" si="45"/>
        <v>59754.62843111554</v>
      </c>
      <c r="DS58" s="80">
        <f t="shared" si="45"/>
        <v>60949.720999737852</v>
      </c>
      <c r="DT58" s="80">
        <f t="shared" si="45"/>
        <v>60949.720999737852</v>
      </c>
      <c r="DU58" s="80">
        <f t="shared" si="45"/>
        <v>60949.720999737852</v>
      </c>
      <c r="DV58" s="80">
        <f t="shared" si="45"/>
        <v>60949.720999737852</v>
      </c>
      <c r="DW58" s="80">
        <f t="shared" si="45"/>
        <v>60949.720999737852</v>
      </c>
      <c r="DX58" s="80">
        <f t="shared" si="45"/>
        <v>60949.720999737852</v>
      </c>
      <c r="DY58" s="80">
        <f t="shared" si="45"/>
        <v>60949.720999737852</v>
      </c>
      <c r="DZ58" s="80">
        <f t="shared" si="45"/>
        <v>60949.720999737852</v>
      </c>
      <c r="EA58" s="80">
        <f t="shared" si="45"/>
        <v>60949.720999737852</v>
      </c>
      <c r="EB58" s="80">
        <f t="shared" ref="EB58:ED58" si="46">EB56+EB52</f>
        <v>60949.720999737852</v>
      </c>
      <c r="EC58" s="80">
        <f t="shared" si="46"/>
        <v>60949.720999737852</v>
      </c>
      <c r="ED58" s="80">
        <f t="shared" si="46"/>
        <v>60949.720999737852</v>
      </c>
    </row>
    <row r="59" spans="1:134" ht="19.149999999999999" customHeight="1" x14ac:dyDescent="0.4">
      <c r="A59" s="5" t="s">
        <v>17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</row>
    <row r="60" spans="1:134" ht="19.149999999999999" customHeight="1" x14ac:dyDescent="0.4">
      <c r="A60" s="6" t="s">
        <v>44</v>
      </c>
      <c r="B60" s="6"/>
      <c r="C60" s="80">
        <f>C46-C58</f>
        <v>196690</v>
      </c>
      <c r="D60" s="80">
        <f t="shared" ref="D60:BO60" si="47">D46-D58</f>
        <v>196690</v>
      </c>
      <c r="E60" s="80">
        <f t="shared" si="47"/>
        <v>196690</v>
      </c>
      <c r="F60" s="80">
        <f t="shared" si="47"/>
        <v>196690</v>
      </c>
      <c r="G60" s="80">
        <f t="shared" si="47"/>
        <v>196690</v>
      </c>
      <c r="H60" s="80">
        <f t="shared" si="47"/>
        <v>196690</v>
      </c>
      <c r="I60" s="80">
        <f t="shared" si="47"/>
        <v>196690</v>
      </c>
      <c r="J60" s="80">
        <f t="shared" si="47"/>
        <v>196690</v>
      </c>
      <c r="K60" s="80">
        <f t="shared" si="47"/>
        <v>196690</v>
      </c>
      <c r="L60" s="80">
        <f t="shared" si="47"/>
        <v>196690</v>
      </c>
      <c r="M60" s="80">
        <f t="shared" si="47"/>
        <v>196690</v>
      </c>
      <c r="N60" s="80">
        <f t="shared" si="47"/>
        <v>195945</v>
      </c>
      <c r="O60" s="80">
        <f t="shared" si="47"/>
        <v>202043</v>
      </c>
      <c r="P60" s="80">
        <f t="shared" si="47"/>
        <v>202043</v>
      </c>
      <c r="Q60" s="80">
        <f t="shared" si="47"/>
        <v>202043</v>
      </c>
      <c r="R60" s="80">
        <f t="shared" si="47"/>
        <v>202043</v>
      </c>
      <c r="S60" s="80">
        <f t="shared" si="47"/>
        <v>202043</v>
      </c>
      <c r="T60" s="80">
        <f t="shared" si="47"/>
        <v>202043</v>
      </c>
      <c r="U60" s="80">
        <f t="shared" si="47"/>
        <v>202043</v>
      </c>
      <c r="V60" s="80">
        <f t="shared" si="47"/>
        <v>202043</v>
      </c>
      <c r="W60" s="80">
        <f t="shared" si="47"/>
        <v>202043</v>
      </c>
      <c r="X60" s="80">
        <f t="shared" si="47"/>
        <v>202043</v>
      </c>
      <c r="Y60" s="80">
        <f t="shared" si="47"/>
        <v>202043</v>
      </c>
      <c r="Z60" s="80">
        <f t="shared" si="47"/>
        <v>201283</v>
      </c>
      <c r="AA60" s="80">
        <f t="shared" si="47"/>
        <v>207539</v>
      </c>
      <c r="AB60" s="80">
        <f t="shared" si="47"/>
        <v>207539</v>
      </c>
      <c r="AC60" s="80">
        <f t="shared" si="47"/>
        <v>207539</v>
      </c>
      <c r="AD60" s="80">
        <f t="shared" si="47"/>
        <v>207539</v>
      </c>
      <c r="AE60" s="80">
        <f t="shared" si="47"/>
        <v>207539</v>
      </c>
      <c r="AF60" s="80">
        <f t="shared" si="47"/>
        <v>207539</v>
      </c>
      <c r="AG60" s="80">
        <f t="shared" si="47"/>
        <v>207539</v>
      </c>
      <c r="AH60" s="80">
        <f t="shared" si="47"/>
        <v>207539</v>
      </c>
      <c r="AI60" s="80">
        <f t="shared" si="47"/>
        <v>207539</v>
      </c>
      <c r="AJ60" s="80">
        <f t="shared" si="47"/>
        <v>207539</v>
      </c>
      <c r="AK60" s="80">
        <f t="shared" si="47"/>
        <v>207539</v>
      </c>
      <c r="AL60" s="80">
        <f t="shared" si="47"/>
        <v>206764</v>
      </c>
      <c r="AM60" s="80">
        <f t="shared" si="47"/>
        <v>213181.6</v>
      </c>
      <c r="AN60" s="80">
        <f t="shared" si="47"/>
        <v>213181.6</v>
      </c>
      <c r="AO60" s="80">
        <f t="shared" si="47"/>
        <v>213181.6</v>
      </c>
      <c r="AP60" s="80">
        <f t="shared" si="47"/>
        <v>213181.6</v>
      </c>
      <c r="AQ60" s="80">
        <f t="shared" si="47"/>
        <v>213181.6</v>
      </c>
      <c r="AR60" s="80">
        <f t="shared" si="47"/>
        <v>213181.6</v>
      </c>
      <c r="AS60" s="80">
        <f t="shared" si="47"/>
        <v>213181.6</v>
      </c>
      <c r="AT60" s="80">
        <f t="shared" si="47"/>
        <v>213181.6</v>
      </c>
      <c r="AU60" s="80">
        <f t="shared" si="47"/>
        <v>213181.6</v>
      </c>
      <c r="AV60" s="80">
        <f t="shared" si="47"/>
        <v>213181.6</v>
      </c>
      <c r="AW60" s="80">
        <f t="shared" si="47"/>
        <v>213181.6</v>
      </c>
      <c r="AX60" s="80">
        <f t="shared" si="47"/>
        <v>212390.6</v>
      </c>
      <c r="AY60" s="80">
        <f t="shared" si="47"/>
        <v>218973.39199999999</v>
      </c>
      <c r="AZ60" s="80">
        <f t="shared" si="47"/>
        <v>218973.39199999999</v>
      </c>
      <c r="BA60" s="80">
        <f t="shared" si="47"/>
        <v>218973.39199999999</v>
      </c>
      <c r="BB60" s="80">
        <f t="shared" si="47"/>
        <v>218973.39199999999</v>
      </c>
      <c r="BC60" s="80">
        <f t="shared" si="47"/>
        <v>218973.39199999999</v>
      </c>
      <c r="BD60" s="80">
        <f t="shared" si="47"/>
        <v>218973.39199999999</v>
      </c>
      <c r="BE60" s="80">
        <f t="shared" si="47"/>
        <v>218973.39199999999</v>
      </c>
      <c r="BF60" s="80">
        <f t="shared" si="47"/>
        <v>218973.39199999999</v>
      </c>
      <c r="BG60" s="80">
        <f t="shared" si="47"/>
        <v>218973.39199999999</v>
      </c>
      <c r="BH60" s="80">
        <f t="shared" si="47"/>
        <v>218973.39199999999</v>
      </c>
      <c r="BI60" s="80">
        <f t="shared" si="47"/>
        <v>218973.39199999999</v>
      </c>
      <c r="BJ60" s="80">
        <f t="shared" si="47"/>
        <v>218167.39199999999</v>
      </c>
      <c r="BK60" s="80">
        <f t="shared" si="47"/>
        <v>224919.95984</v>
      </c>
      <c r="BL60" s="80">
        <f t="shared" si="47"/>
        <v>224919.95984</v>
      </c>
      <c r="BM60" s="80">
        <f t="shared" si="47"/>
        <v>224919.95984</v>
      </c>
      <c r="BN60" s="80">
        <f t="shared" si="47"/>
        <v>224919.95984</v>
      </c>
      <c r="BO60" s="80">
        <f t="shared" si="47"/>
        <v>224919.95984</v>
      </c>
      <c r="BP60" s="80">
        <f t="shared" ref="BP60:EA60" si="48">BP46-BP58</f>
        <v>224919.95984</v>
      </c>
      <c r="BQ60" s="80">
        <f t="shared" si="48"/>
        <v>224919.95984</v>
      </c>
      <c r="BR60" s="80">
        <f t="shared" si="48"/>
        <v>224919.95984</v>
      </c>
      <c r="BS60" s="80">
        <f t="shared" si="48"/>
        <v>224919.95984</v>
      </c>
      <c r="BT60" s="80">
        <f t="shared" si="48"/>
        <v>224919.95984</v>
      </c>
      <c r="BU60" s="80">
        <f t="shared" si="48"/>
        <v>224919.95984</v>
      </c>
      <c r="BV60" s="80">
        <f t="shared" si="48"/>
        <v>224097.95984</v>
      </c>
      <c r="BW60" s="80">
        <f t="shared" si="48"/>
        <v>231024.8790368</v>
      </c>
      <c r="BX60" s="80">
        <f t="shared" si="48"/>
        <v>231024.8790368</v>
      </c>
      <c r="BY60" s="80">
        <f t="shared" si="48"/>
        <v>231024.8790368</v>
      </c>
      <c r="BZ60" s="80">
        <f t="shared" si="48"/>
        <v>231024.8790368</v>
      </c>
      <c r="CA60" s="80">
        <f t="shared" si="48"/>
        <v>231024.8790368</v>
      </c>
      <c r="CB60" s="80">
        <f t="shared" si="48"/>
        <v>231024.8790368</v>
      </c>
      <c r="CC60" s="80">
        <f t="shared" si="48"/>
        <v>231024.8790368</v>
      </c>
      <c r="CD60" s="80">
        <f t="shared" si="48"/>
        <v>231024.8790368</v>
      </c>
      <c r="CE60" s="80">
        <f t="shared" si="48"/>
        <v>231024.8790368</v>
      </c>
      <c r="CF60" s="80">
        <f t="shared" si="48"/>
        <v>231024.8790368</v>
      </c>
      <c r="CG60" s="80">
        <f t="shared" si="48"/>
        <v>231024.8790368</v>
      </c>
      <c r="CH60" s="80">
        <f t="shared" si="48"/>
        <v>229245.8790368</v>
      </c>
      <c r="CI60" s="80">
        <f t="shared" si="48"/>
        <v>-115464.283382464</v>
      </c>
      <c r="CJ60" s="80">
        <f t="shared" si="48"/>
        <v>-1849464.283382464</v>
      </c>
      <c r="CK60" s="80">
        <f t="shared" si="48"/>
        <v>125245.716617536</v>
      </c>
      <c r="CL60" s="80">
        <f t="shared" si="48"/>
        <v>464820.71661753603</v>
      </c>
      <c r="CM60" s="80">
        <f t="shared" si="48"/>
        <v>464820.71661753603</v>
      </c>
      <c r="CN60" s="80">
        <f t="shared" si="48"/>
        <v>464820.71661753603</v>
      </c>
      <c r="CO60" s="80">
        <f t="shared" si="48"/>
        <v>464820.71661753603</v>
      </c>
      <c r="CP60" s="80">
        <f t="shared" si="48"/>
        <v>464820.71661753603</v>
      </c>
      <c r="CQ60" s="80">
        <f t="shared" si="48"/>
        <v>464820.71661753603</v>
      </c>
      <c r="CR60" s="80">
        <f t="shared" si="48"/>
        <v>464820.71661753603</v>
      </c>
      <c r="CS60" s="80">
        <f t="shared" si="48"/>
        <v>464820.71661753603</v>
      </c>
      <c r="CT60" s="80">
        <f t="shared" si="48"/>
        <v>464904.71661753603</v>
      </c>
      <c r="CU60" s="80">
        <f t="shared" si="48"/>
        <v>463756.03094988671</v>
      </c>
      <c r="CV60" s="80">
        <f t="shared" si="48"/>
        <v>463756.03094988671</v>
      </c>
      <c r="CW60" s="80">
        <f t="shared" si="48"/>
        <v>477905.03094988671</v>
      </c>
      <c r="CX60" s="80">
        <f t="shared" si="48"/>
        <v>477905.03094988671</v>
      </c>
      <c r="CY60" s="80">
        <f t="shared" si="48"/>
        <v>477905.03094988671</v>
      </c>
      <c r="CZ60" s="80">
        <f t="shared" si="48"/>
        <v>477905.03094988671</v>
      </c>
      <c r="DA60" s="80">
        <f t="shared" si="48"/>
        <v>477905.03094988671</v>
      </c>
      <c r="DB60" s="80">
        <f t="shared" si="48"/>
        <v>477905.03094988671</v>
      </c>
      <c r="DC60" s="80">
        <f t="shared" si="48"/>
        <v>477905.03094988671</v>
      </c>
      <c r="DD60" s="80">
        <f t="shared" si="48"/>
        <v>477905.03094988671</v>
      </c>
      <c r="DE60" s="80">
        <f t="shared" si="48"/>
        <v>477905.03094988671</v>
      </c>
      <c r="DF60" s="80">
        <f t="shared" si="48"/>
        <v>477033.03094988671</v>
      </c>
      <c r="DG60" s="80">
        <f t="shared" si="48"/>
        <v>475861.37156888447</v>
      </c>
      <c r="DH60" s="80">
        <f t="shared" si="48"/>
        <v>475861.37156888447</v>
      </c>
      <c r="DI60" s="80">
        <f t="shared" si="48"/>
        <v>490364.37156888447</v>
      </c>
      <c r="DJ60" s="80">
        <f t="shared" si="48"/>
        <v>490364.37156888447</v>
      </c>
      <c r="DK60" s="80">
        <f t="shared" si="48"/>
        <v>490364.37156888447</v>
      </c>
      <c r="DL60" s="80">
        <f t="shared" si="48"/>
        <v>490364.37156888447</v>
      </c>
      <c r="DM60" s="80">
        <f t="shared" si="48"/>
        <v>490364.37156888447</v>
      </c>
      <c r="DN60" s="80">
        <f t="shared" si="48"/>
        <v>490364.37156888447</v>
      </c>
      <c r="DO60" s="80">
        <f t="shared" si="48"/>
        <v>490364.37156888447</v>
      </c>
      <c r="DP60" s="80">
        <f t="shared" si="48"/>
        <v>490364.37156888447</v>
      </c>
      <c r="DQ60" s="80">
        <f t="shared" si="48"/>
        <v>490364.37156888447</v>
      </c>
      <c r="DR60" s="80">
        <f t="shared" si="48"/>
        <v>489474.37156888447</v>
      </c>
      <c r="DS60" s="80">
        <f t="shared" si="48"/>
        <v>437908.27900026215</v>
      </c>
      <c r="DT60" s="80">
        <f t="shared" si="48"/>
        <v>437908.27900026215</v>
      </c>
      <c r="DU60" s="80">
        <f t="shared" si="48"/>
        <v>452774.27900026215</v>
      </c>
      <c r="DV60" s="80">
        <f t="shared" si="48"/>
        <v>452774.27900026215</v>
      </c>
      <c r="DW60" s="80">
        <f t="shared" si="48"/>
        <v>452774.27900026215</v>
      </c>
      <c r="DX60" s="80">
        <f t="shared" si="48"/>
        <v>452774.27900026215</v>
      </c>
      <c r="DY60" s="80">
        <f t="shared" si="48"/>
        <v>452774.27900026215</v>
      </c>
      <c r="DZ60" s="80">
        <f t="shared" si="48"/>
        <v>452774.27900026215</v>
      </c>
      <c r="EA60" s="80">
        <f t="shared" si="48"/>
        <v>452774.27900026215</v>
      </c>
      <c r="EB60" s="80">
        <f t="shared" ref="EB60:ED60" si="49">EB46-EB58</f>
        <v>452774.27900026215</v>
      </c>
      <c r="EC60" s="80">
        <f t="shared" si="49"/>
        <v>452774.27900026215</v>
      </c>
      <c r="ED60" s="80">
        <f t="shared" si="49"/>
        <v>453011.27900026215</v>
      </c>
    </row>
    <row r="61" spans="1:134" ht="19.149999999999999" customHeight="1" x14ac:dyDescent="0.4">
      <c r="A61" s="5" t="s">
        <v>17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</row>
    <row r="62" spans="1:134" ht="19.149999999999999" customHeight="1" x14ac:dyDescent="0.4">
      <c r="A62" s="2" t="s">
        <v>45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</row>
    <row r="63" spans="1:134" ht="19.149999999999999" customHeight="1" x14ac:dyDescent="0.4">
      <c r="A63" s="10" t="s">
        <v>46</v>
      </c>
      <c r="B63" s="39">
        <f>-'Redlands Inputs'!$D$8</f>
        <v>-67280000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</row>
    <row r="64" spans="1:134" ht="19.149999999999999" customHeight="1" x14ac:dyDescent="0.4">
      <c r="A64" s="10" t="s">
        <v>47</v>
      </c>
      <c r="B64" s="80">
        <f>B63*'Redlands Inputs'!$D$9</f>
        <v>-1345600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</row>
    <row r="65" spans="1:134" ht="19.149999999999999" customHeight="1" x14ac:dyDescent="0.4">
      <c r="A65" s="6" t="s">
        <v>48</v>
      </c>
      <c r="B65" s="80">
        <f>SUM(B63:B64)</f>
        <v>-68625600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</row>
    <row r="66" spans="1:134" ht="19.149999999999999" customHeight="1" x14ac:dyDescent="0.4"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</row>
    <row r="67" spans="1:134" ht="19.149999999999999" customHeight="1" x14ac:dyDescent="0.4">
      <c r="A67" s="2" t="s">
        <v>49</v>
      </c>
      <c r="B67" s="2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</row>
    <row r="68" spans="1:134" ht="19.149999999999999" customHeight="1" x14ac:dyDescent="0.4">
      <c r="A68" s="10" t="s">
        <v>50</v>
      </c>
      <c r="B68" s="39"/>
      <c r="C68" s="39">
        <f>IF(C$9='Redlands Inputs'!$D$15*12,SUMIF(_xlfn.ANCHORARRAY('Redlands Pro Forma'!$C$9),"&gt;120",'Redlands Pro Forma'!$C$46:$ED$46)/'Redlands Inputs'!$D$12,0)</f>
        <v>0</v>
      </c>
      <c r="D68" s="39">
        <f>IF(D$9='Redlands Inputs'!$D$15*12,SUMIF(_xlfn.ANCHORARRAY('Redlands Pro Forma'!$C$9),"&gt;120",'Redlands Pro Forma'!$C$46:$ED$46)/'Redlands Inputs'!$D$12,0)</f>
        <v>0</v>
      </c>
      <c r="E68" s="39">
        <f>IF(E$9='Redlands Inputs'!$D$15*12,SUMIF(_xlfn.ANCHORARRAY('Redlands Pro Forma'!$C$9),"&gt;120",'Redlands Pro Forma'!$C$46:$ED$46)/'Redlands Inputs'!$D$12,0)</f>
        <v>0</v>
      </c>
      <c r="F68" s="39">
        <f>IF(F$9='Redlands Inputs'!$D$15*12,SUMIF(_xlfn.ANCHORARRAY('Redlands Pro Forma'!$C$9),"&gt;120",'Redlands Pro Forma'!$C$46:$ED$46)/'Redlands Inputs'!$D$12,0)</f>
        <v>0</v>
      </c>
      <c r="G68" s="39">
        <f>IF(G$9='Redlands Inputs'!$D$15*12,SUMIF(_xlfn.ANCHORARRAY('Redlands Pro Forma'!$C$9),"&gt;120",'Redlands Pro Forma'!$C$46:$ED$46)/'Redlands Inputs'!$D$12,0)</f>
        <v>0</v>
      </c>
      <c r="H68" s="39">
        <f>IF(H$9='Redlands Inputs'!$D$15*12,SUMIF(_xlfn.ANCHORARRAY('Redlands Pro Forma'!$C$9),"&gt;120",'Redlands Pro Forma'!$C$46:$ED$46)/'Redlands Inputs'!$D$12,0)</f>
        <v>0</v>
      </c>
      <c r="I68" s="39">
        <f>IF(I$9='Redlands Inputs'!$D$15*12,SUMIF(_xlfn.ANCHORARRAY('Redlands Pro Forma'!$C$9),"&gt;120",'Redlands Pro Forma'!$C$46:$ED$46)/'Redlands Inputs'!$D$12,0)</f>
        <v>0</v>
      </c>
      <c r="J68" s="39">
        <f>IF(J$9='Redlands Inputs'!$D$15*12,SUMIF(_xlfn.ANCHORARRAY('Redlands Pro Forma'!$C$9),"&gt;120",'Redlands Pro Forma'!$C$46:$ED$46)/'Redlands Inputs'!$D$12,0)</f>
        <v>0</v>
      </c>
      <c r="K68" s="39">
        <f>IF(K$9='Redlands Inputs'!$D$15*12,SUMIF(_xlfn.ANCHORARRAY('Redlands Pro Forma'!$C$9),"&gt;120",'Redlands Pro Forma'!$C$46:$ED$46)/'Redlands Inputs'!$D$12,0)</f>
        <v>0</v>
      </c>
      <c r="L68" s="39">
        <f>IF(L$9='Redlands Inputs'!$D$15*12,SUMIF(_xlfn.ANCHORARRAY('Redlands Pro Forma'!$C$9),"&gt;120",'Redlands Pro Forma'!$C$46:$ED$46)/'Redlands Inputs'!$D$12,0)</f>
        <v>0</v>
      </c>
      <c r="M68" s="39">
        <f>IF(M$9='Redlands Inputs'!$D$15*12,SUMIF(_xlfn.ANCHORARRAY('Redlands Pro Forma'!$C$9),"&gt;120",'Redlands Pro Forma'!$C$46:$ED$46)/'Redlands Inputs'!$D$12,0)</f>
        <v>0</v>
      </c>
      <c r="N68" s="39">
        <f>IF(N$9='Redlands Inputs'!$D$15*12,SUMIF(_xlfn.ANCHORARRAY('Redlands Pro Forma'!$C$9),"&gt;120",'Redlands Pro Forma'!$C$46:$ED$46)/'Redlands Inputs'!$D$12,0)</f>
        <v>0</v>
      </c>
      <c r="O68" s="39">
        <f>IF(O$9='Redlands Inputs'!$D$15*12,SUMIF(_xlfn.ANCHORARRAY('Redlands Pro Forma'!$C$9),"&gt;120",'Redlands Pro Forma'!$C$46:$ED$46)/'Redlands Inputs'!$D$12,0)</f>
        <v>0</v>
      </c>
      <c r="P68" s="39">
        <f>IF(P$9='Redlands Inputs'!$D$15*12,SUMIF(_xlfn.ANCHORARRAY('Redlands Pro Forma'!$C$9),"&gt;120",'Redlands Pro Forma'!$C$46:$ED$46)/'Redlands Inputs'!$D$12,0)</f>
        <v>0</v>
      </c>
      <c r="Q68" s="39">
        <f>IF(Q$9='Redlands Inputs'!$D$15*12,SUMIF(_xlfn.ANCHORARRAY('Redlands Pro Forma'!$C$9),"&gt;120",'Redlands Pro Forma'!$C$46:$ED$46)/'Redlands Inputs'!$D$12,0)</f>
        <v>0</v>
      </c>
      <c r="R68" s="39">
        <f>IF(R$9='Redlands Inputs'!$D$15*12,SUMIF(_xlfn.ANCHORARRAY('Redlands Pro Forma'!$C$9),"&gt;120",'Redlands Pro Forma'!$C$46:$ED$46)/'Redlands Inputs'!$D$12,0)</f>
        <v>0</v>
      </c>
      <c r="S68" s="39">
        <f>IF(S$9='Redlands Inputs'!$D$15*12,SUMIF(_xlfn.ANCHORARRAY('Redlands Pro Forma'!$C$9),"&gt;120",'Redlands Pro Forma'!$C$46:$ED$46)/'Redlands Inputs'!$D$12,0)</f>
        <v>0</v>
      </c>
      <c r="T68" s="39">
        <f>IF(T$9='Redlands Inputs'!$D$15*12,SUMIF(_xlfn.ANCHORARRAY('Redlands Pro Forma'!$C$9),"&gt;120",'Redlands Pro Forma'!$C$46:$ED$46)/'Redlands Inputs'!$D$12,0)</f>
        <v>0</v>
      </c>
      <c r="U68" s="39">
        <f>IF(U$9='Redlands Inputs'!$D$15*12,SUMIF(_xlfn.ANCHORARRAY('Redlands Pro Forma'!$C$9),"&gt;120",'Redlands Pro Forma'!$C$46:$ED$46)/'Redlands Inputs'!$D$12,0)</f>
        <v>0</v>
      </c>
      <c r="V68" s="39">
        <f>IF(V$9='Redlands Inputs'!$D$15*12,SUMIF(_xlfn.ANCHORARRAY('Redlands Pro Forma'!$C$9),"&gt;120",'Redlands Pro Forma'!$C$46:$ED$46)/'Redlands Inputs'!$D$12,0)</f>
        <v>0</v>
      </c>
      <c r="W68" s="39">
        <f>IF(W$9='Redlands Inputs'!$D$15*12,SUMIF(_xlfn.ANCHORARRAY('Redlands Pro Forma'!$C$9),"&gt;120",'Redlands Pro Forma'!$C$46:$ED$46)/'Redlands Inputs'!$D$12,0)</f>
        <v>0</v>
      </c>
      <c r="X68" s="39">
        <f>IF(X$9='Redlands Inputs'!$D$15*12,SUMIF(_xlfn.ANCHORARRAY('Redlands Pro Forma'!$C$9),"&gt;120",'Redlands Pro Forma'!$C$46:$ED$46)/'Redlands Inputs'!$D$12,0)</f>
        <v>0</v>
      </c>
      <c r="Y68" s="39">
        <f>IF(Y$9='Redlands Inputs'!$D$15*12,SUMIF(_xlfn.ANCHORARRAY('Redlands Pro Forma'!$C$9),"&gt;120",'Redlands Pro Forma'!$C$46:$ED$46)/'Redlands Inputs'!$D$12,0)</f>
        <v>0</v>
      </c>
      <c r="Z68" s="39">
        <f>IF(Z$9='Redlands Inputs'!$D$15*12,SUMIF(_xlfn.ANCHORARRAY('Redlands Pro Forma'!$C$9),"&gt;120",'Redlands Pro Forma'!$C$46:$ED$46)/'Redlands Inputs'!$D$12,0)</f>
        <v>0</v>
      </c>
      <c r="AA68" s="39">
        <f>IF(AA$9='Redlands Inputs'!$D$15*12,SUMIF(_xlfn.ANCHORARRAY('Redlands Pro Forma'!$C$9),"&gt;120",'Redlands Pro Forma'!$C$46:$ED$46)/'Redlands Inputs'!$D$12,0)</f>
        <v>0</v>
      </c>
      <c r="AB68" s="39">
        <f>IF(AB$9='Redlands Inputs'!$D$15*12,SUMIF(_xlfn.ANCHORARRAY('Redlands Pro Forma'!$C$9),"&gt;120",'Redlands Pro Forma'!$C$46:$ED$46)/'Redlands Inputs'!$D$12,0)</f>
        <v>0</v>
      </c>
      <c r="AC68" s="39">
        <f>IF(AC$9='Redlands Inputs'!$D$15*12,SUMIF(_xlfn.ANCHORARRAY('Redlands Pro Forma'!$C$9),"&gt;120",'Redlands Pro Forma'!$C$46:$ED$46)/'Redlands Inputs'!$D$12,0)</f>
        <v>0</v>
      </c>
      <c r="AD68" s="39">
        <f>IF(AD$9='Redlands Inputs'!$D$15*12,SUMIF(_xlfn.ANCHORARRAY('Redlands Pro Forma'!$C$9),"&gt;120",'Redlands Pro Forma'!$C$46:$ED$46)/'Redlands Inputs'!$D$12,0)</f>
        <v>0</v>
      </c>
      <c r="AE68" s="39">
        <f>IF(AE$9='Redlands Inputs'!$D$15*12,SUMIF(_xlfn.ANCHORARRAY('Redlands Pro Forma'!$C$9),"&gt;120",'Redlands Pro Forma'!$C$46:$ED$46)/'Redlands Inputs'!$D$12,0)</f>
        <v>0</v>
      </c>
      <c r="AF68" s="39">
        <f>IF(AF$9='Redlands Inputs'!$D$15*12,SUMIF(_xlfn.ANCHORARRAY('Redlands Pro Forma'!$C$9),"&gt;120",'Redlands Pro Forma'!$C$46:$ED$46)/'Redlands Inputs'!$D$12,0)</f>
        <v>0</v>
      </c>
      <c r="AG68" s="39">
        <f>IF(AG$9='Redlands Inputs'!$D$15*12,SUMIF(_xlfn.ANCHORARRAY('Redlands Pro Forma'!$C$9),"&gt;120",'Redlands Pro Forma'!$C$46:$ED$46)/'Redlands Inputs'!$D$12,0)</f>
        <v>0</v>
      </c>
      <c r="AH68" s="39">
        <f>IF(AH$9='Redlands Inputs'!$D$15*12,SUMIF(_xlfn.ANCHORARRAY('Redlands Pro Forma'!$C$9),"&gt;120",'Redlands Pro Forma'!$C$46:$ED$46)/'Redlands Inputs'!$D$12,0)</f>
        <v>0</v>
      </c>
      <c r="AI68" s="39">
        <f>IF(AI$9='Redlands Inputs'!$D$15*12,SUMIF(_xlfn.ANCHORARRAY('Redlands Pro Forma'!$C$9),"&gt;120",'Redlands Pro Forma'!$C$46:$ED$46)/'Redlands Inputs'!$D$12,0)</f>
        <v>0</v>
      </c>
      <c r="AJ68" s="39">
        <f>IF(AJ$9='Redlands Inputs'!$D$15*12,SUMIF(_xlfn.ANCHORARRAY('Redlands Pro Forma'!$C$9),"&gt;120",'Redlands Pro Forma'!$C$46:$ED$46)/'Redlands Inputs'!$D$12,0)</f>
        <v>0</v>
      </c>
      <c r="AK68" s="39">
        <f>IF(AK$9='Redlands Inputs'!$D$15*12,SUMIF(_xlfn.ANCHORARRAY('Redlands Pro Forma'!$C$9),"&gt;120",'Redlands Pro Forma'!$C$46:$ED$46)/'Redlands Inputs'!$D$12,0)</f>
        <v>0</v>
      </c>
      <c r="AL68" s="39">
        <f>IF(AL$9='Redlands Inputs'!$D$15*12,SUMIF(_xlfn.ANCHORARRAY('Redlands Pro Forma'!$C$9),"&gt;120",'Redlands Pro Forma'!$C$46:$ED$46)/'Redlands Inputs'!$D$12,0)</f>
        <v>0</v>
      </c>
      <c r="AM68" s="39">
        <f>IF(AM$9='Redlands Inputs'!$D$15*12,SUMIF(_xlfn.ANCHORARRAY('Redlands Pro Forma'!$C$9),"&gt;120",'Redlands Pro Forma'!$C$46:$ED$46)/'Redlands Inputs'!$D$12,0)</f>
        <v>0</v>
      </c>
      <c r="AN68" s="39">
        <f>IF(AN$9='Redlands Inputs'!$D$15*12,SUMIF(_xlfn.ANCHORARRAY('Redlands Pro Forma'!$C$9),"&gt;120",'Redlands Pro Forma'!$C$46:$ED$46)/'Redlands Inputs'!$D$12,0)</f>
        <v>0</v>
      </c>
      <c r="AO68" s="39">
        <f>IF(AO$9='Redlands Inputs'!$D$15*12,SUMIF(_xlfn.ANCHORARRAY('Redlands Pro Forma'!$C$9),"&gt;120",'Redlands Pro Forma'!$C$46:$ED$46)/'Redlands Inputs'!$D$12,0)</f>
        <v>0</v>
      </c>
      <c r="AP68" s="39">
        <f>IF(AP$9='Redlands Inputs'!$D$15*12,SUMIF(_xlfn.ANCHORARRAY('Redlands Pro Forma'!$C$9),"&gt;120",'Redlands Pro Forma'!$C$46:$ED$46)/'Redlands Inputs'!$D$12,0)</f>
        <v>0</v>
      </c>
      <c r="AQ68" s="39">
        <f>IF(AQ$9='Redlands Inputs'!$D$15*12,SUMIF(_xlfn.ANCHORARRAY('Redlands Pro Forma'!$C$9),"&gt;120",'Redlands Pro Forma'!$C$46:$ED$46)/'Redlands Inputs'!$D$12,0)</f>
        <v>0</v>
      </c>
      <c r="AR68" s="39">
        <f>IF(AR$9='Redlands Inputs'!$D$15*12,SUMIF(_xlfn.ANCHORARRAY('Redlands Pro Forma'!$C$9),"&gt;120",'Redlands Pro Forma'!$C$46:$ED$46)/'Redlands Inputs'!$D$12,0)</f>
        <v>0</v>
      </c>
      <c r="AS68" s="39">
        <f>IF(AS$9='Redlands Inputs'!$D$15*12,SUMIF(_xlfn.ANCHORARRAY('Redlands Pro Forma'!$C$9),"&gt;120",'Redlands Pro Forma'!$C$46:$ED$46)/'Redlands Inputs'!$D$12,0)</f>
        <v>0</v>
      </c>
      <c r="AT68" s="39">
        <f>IF(AT$9='Redlands Inputs'!$D$15*12,SUMIF(_xlfn.ANCHORARRAY('Redlands Pro Forma'!$C$9),"&gt;120",'Redlands Pro Forma'!$C$46:$ED$46)/'Redlands Inputs'!$D$12,0)</f>
        <v>0</v>
      </c>
      <c r="AU68" s="39">
        <f>IF(AU$9='Redlands Inputs'!$D$15*12,SUMIF(_xlfn.ANCHORARRAY('Redlands Pro Forma'!$C$9),"&gt;120",'Redlands Pro Forma'!$C$46:$ED$46)/'Redlands Inputs'!$D$12,0)</f>
        <v>0</v>
      </c>
      <c r="AV68" s="39">
        <f>IF(AV$9='Redlands Inputs'!$D$15*12,SUMIF(_xlfn.ANCHORARRAY('Redlands Pro Forma'!$C$9),"&gt;120",'Redlands Pro Forma'!$C$46:$ED$46)/'Redlands Inputs'!$D$12,0)</f>
        <v>0</v>
      </c>
      <c r="AW68" s="39">
        <f>IF(AW$9='Redlands Inputs'!$D$15*12,SUMIF(_xlfn.ANCHORARRAY('Redlands Pro Forma'!$C$9),"&gt;120",'Redlands Pro Forma'!$C$46:$ED$46)/'Redlands Inputs'!$D$12,0)</f>
        <v>0</v>
      </c>
      <c r="AX68" s="39">
        <f>IF(AX$9='Redlands Inputs'!$D$15*12,SUMIF(_xlfn.ANCHORARRAY('Redlands Pro Forma'!$C$9),"&gt;120",'Redlands Pro Forma'!$C$46:$ED$46)/'Redlands Inputs'!$D$12,0)</f>
        <v>0</v>
      </c>
      <c r="AY68" s="39">
        <f>IF(AY$9='Redlands Inputs'!$D$15*12,SUMIF(_xlfn.ANCHORARRAY('Redlands Pro Forma'!$C$9),"&gt;120",'Redlands Pro Forma'!$C$46:$ED$46)/'Redlands Inputs'!$D$12,0)</f>
        <v>0</v>
      </c>
      <c r="AZ68" s="39">
        <f>IF(AZ$9='Redlands Inputs'!$D$15*12,SUMIF(_xlfn.ANCHORARRAY('Redlands Pro Forma'!$C$9),"&gt;120",'Redlands Pro Forma'!$C$46:$ED$46)/'Redlands Inputs'!$D$12,0)</f>
        <v>0</v>
      </c>
      <c r="BA68" s="39">
        <f>IF(BA$9='Redlands Inputs'!$D$15*12,SUMIF(_xlfn.ANCHORARRAY('Redlands Pro Forma'!$C$9),"&gt;120",'Redlands Pro Forma'!$C$46:$ED$46)/'Redlands Inputs'!$D$12,0)</f>
        <v>0</v>
      </c>
      <c r="BB68" s="39">
        <f>IF(BB$9='Redlands Inputs'!$D$15*12,SUMIF(_xlfn.ANCHORARRAY('Redlands Pro Forma'!$C$9),"&gt;120",'Redlands Pro Forma'!$C$46:$ED$46)/'Redlands Inputs'!$D$12,0)</f>
        <v>0</v>
      </c>
      <c r="BC68" s="39">
        <f>IF(BC$9='Redlands Inputs'!$D$15*12,SUMIF(_xlfn.ANCHORARRAY('Redlands Pro Forma'!$C$9),"&gt;120",'Redlands Pro Forma'!$C$46:$ED$46)/'Redlands Inputs'!$D$12,0)</f>
        <v>0</v>
      </c>
      <c r="BD68" s="39">
        <f>IF(BD$9='Redlands Inputs'!$D$15*12,SUMIF(_xlfn.ANCHORARRAY('Redlands Pro Forma'!$C$9),"&gt;120",'Redlands Pro Forma'!$C$46:$ED$46)/'Redlands Inputs'!$D$12,0)</f>
        <v>0</v>
      </c>
      <c r="BE68" s="39">
        <f>IF(BE$9='Redlands Inputs'!$D$15*12,SUMIF(_xlfn.ANCHORARRAY('Redlands Pro Forma'!$C$9),"&gt;120",'Redlands Pro Forma'!$C$46:$ED$46)/'Redlands Inputs'!$D$12,0)</f>
        <v>0</v>
      </c>
      <c r="BF68" s="39">
        <f>IF(BF$9='Redlands Inputs'!$D$15*12,SUMIF(_xlfn.ANCHORARRAY('Redlands Pro Forma'!$C$9),"&gt;120",'Redlands Pro Forma'!$C$46:$ED$46)/'Redlands Inputs'!$D$12,0)</f>
        <v>0</v>
      </c>
      <c r="BG68" s="39">
        <f>IF(BG$9='Redlands Inputs'!$D$15*12,SUMIF(_xlfn.ANCHORARRAY('Redlands Pro Forma'!$C$9),"&gt;120",'Redlands Pro Forma'!$C$46:$ED$46)/'Redlands Inputs'!$D$12,0)</f>
        <v>0</v>
      </c>
      <c r="BH68" s="39">
        <f>IF(BH$9='Redlands Inputs'!$D$15*12,SUMIF(_xlfn.ANCHORARRAY('Redlands Pro Forma'!$C$9),"&gt;120",'Redlands Pro Forma'!$C$46:$ED$46)/'Redlands Inputs'!$D$12,0)</f>
        <v>0</v>
      </c>
      <c r="BI68" s="39">
        <f>IF(BI$9='Redlands Inputs'!$D$15*12,SUMIF(_xlfn.ANCHORARRAY('Redlands Pro Forma'!$C$9),"&gt;120",'Redlands Pro Forma'!$C$46:$ED$46)/'Redlands Inputs'!$D$12,0)</f>
        <v>0</v>
      </c>
      <c r="BJ68" s="39">
        <f>IF(BJ$9='Redlands Inputs'!$D$15*12,SUMIF(_xlfn.ANCHORARRAY('Redlands Pro Forma'!$C$9),"&gt;120",'Redlands Pro Forma'!$C$46:$ED$46)/'Redlands Inputs'!$D$12,0)</f>
        <v>0</v>
      </c>
      <c r="BK68" s="39">
        <f>IF(BK$9='Redlands Inputs'!$D$15*12,SUMIF(_xlfn.ANCHORARRAY('Redlands Pro Forma'!$C$9),"&gt;120",'Redlands Pro Forma'!$C$46:$ED$46)/'Redlands Inputs'!$D$12,0)</f>
        <v>0</v>
      </c>
      <c r="BL68" s="39">
        <f>IF(BL$9='Redlands Inputs'!$D$15*12,SUMIF(_xlfn.ANCHORARRAY('Redlands Pro Forma'!$C$9),"&gt;120",'Redlands Pro Forma'!$C$46:$ED$46)/'Redlands Inputs'!$D$12,0)</f>
        <v>0</v>
      </c>
      <c r="BM68" s="39">
        <f>IF(BM$9='Redlands Inputs'!$D$15*12,SUMIF(_xlfn.ANCHORARRAY('Redlands Pro Forma'!$C$9),"&gt;120",'Redlands Pro Forma'!$C$46:$ED$46)/'Redlands Inputs'!$D$12,0)</f>
        <v>0</v>
      </c>
      <c r="BN68" s="39">
        <f>IF(BN$9='Redlands Inputs'!$D$15*12,SUMIF(_xlfn.ANCHORARRAY('Redlands Pro Forma'!$C$9),"&gt;120",'Redlands Pro Forma'!$C$46:$ED$46)/'Redlands Inputs'!$D$12,0)</f>
        <v>0</v>
      </c>
      <c r="BO68" s="39">
        <f>IF(BO$9='Redlands Inputs'!$D$15*12,SUMIF(_xlfn.ANCHORARRAY('Redlands Pro Forma'!$C$9),"&gt;120",'Redlands Pro Forma'!$C$46:$ED$46)/'Redlands Inputs'!$D$12,0)</f>
        <v>0</v>
      </c>
      <c r="BP68" s="39">
        <f>IF(BP$9='Redlands Inputs'!$D$15*12,SUMIF(_xlfn.ANCHORARRAY('Redlands Pro Forma'!$C$9),"&gt;120",'Redlands Pro Forma'!$C$46:$ED$46)/'Redlands Inputs'!$D$12,0)</f>
        <v>0</v>
      </c>
      <c r="BQ68" s="39">
        <f>IF(BQ$9='Redlands Inputs'!$D$15*12,SUMIF(_xlfn.ANCHORARRAY('Redlands Pro Forma'!$C$9),"&gt;120",'Redlands Pro Forma'!$C$46:$ED$46)/'Redlands Inputs'!$D$12,0)</f>
        <v>0</v>
      </c>
      <c r="BR68" s="39">
        <f>IF(BR$9='Redlands Inputs'!$D$15*12,SUMIF(_xlfn.ANCHORARRAY('Redlands Pro Forma'!$C$9),"&gt;120",'Redlands Pro Forma'!$C$46:$ED$46)/'Redlands Inputs'!$D$12,0)</f>
        <v>0</v>
      </c>
      <c r="BS68" s="39">
        <f>IF(BS$9='Redlands Inputs'!$D$15*12,SUMIF(_xlfn.ANCHORARRAY('Redlands Pro Forma'!$C$9),"&gt;120",'Redlands Pro Forma'!$C$46:$ED$46)/'Redlands Inputs'!$D$12,0)</f>
        <v>0</v>
      </c>
      <c r="BT68" s="39">
        <f>IF(BT$9='Redlands Inputs'!$D$15*12,SUMIF(_xlfn.ANCHORARRAY('Redlands Pro Forma'!$C$9),"&gt;120",'Redlands Pro Forma'!$C$46:$ED$46)/'Redlands Inputs'!$D$12,0)</f>
        <v>0</v>
      </c>
      <c r="BU68" s="39">
        <f>IF(BU$9='Redlands Inputs'!$D$15*12,SUMIF(_xlfn.ANCHORARRAY('Redlands Pro Forma'!$C$9),"&gt;120",'Redlands Pro Forma'!$C$46:$ED$46)/'Redlands Inputs'!$D$12,0)</f>
        <v>0</v>
      </c>
      <c r="BV68" s="39">
        <f>IF(BV$9='Redlands Inputs'!$D$15*12,SUMIF(_xlfn.ANCHORARRAY('Redlands Pro Forma'!$C$9),"&gt;120",'Redlands Pro Forma'!$C$46:$ED$46)/'Redlands Inputs'!$D$12,0)</f>
        <v>0</v>
      </c>
      <c r="BW68" s="39">
        <f>IF(BW$9='Redlands Inputs'!$D$15*12,SUMIF(_xlfn.ANCHORARRAY('Redlands Pro Forma'!$C$9),"&gt;120",'Redlands Pro Forma'!$C$46:$ED$46)/'Redlands Inputs'!$D$12,0)</f>
        <v>0</v>
      </c>
      <c r="BX68" s="39">
        <f>IF(BX$9='Redlands Inputs'!$D$15*12,SUMIF(_xlfn.ANCHORARRAY('Redlands Pro Forma'!$C$9),"&gt;120",'Redlands Pro Forma'!$C$46:$ED$46)/'Redlands Inputs'!$D$12,0)</f>
        <v>0</v>
      </c>
      <c r="BY68" s="39">
        <f>IF(BY$9='Redlands Inputs'!$D$15*12,SUMIF(_xlfn.ANCHORARRAY('Redlands Pro Forma'!$C$9),"&gt;120",'Redlands Pro Forma'!$C$46:$ED$46)/'Redlands Inputs'!$D$12,0)</f>
        <v>0</v>
      </c>
      <c r="BZ68" s="39">
        <f>IF(BZ$9='Redlands Inputs'!$D$15*12,SUMIF(_xlfn.ANCHORARRAY('Redlands Pro Forma'!$C$9),"&gt;120",'Redlands Pro Forma'!$C$46:$ED$46)/'Redlands Inputs'!$D$12,0)</f>
        <v>0</v>
      </c>
      <c r="CA68" s="39">
        <f>IF(CA$9='Redlands Inputs'!$D$15*12,SUMIF(_xlfn.ANCHORARRAY('Redlands Pro Forma'!$C$9),"&gt;120",'Redlands Pro Forma'!$C$46:$ED$46)/'Redlands Inputs'!$D$12,0)</f>
        <v>0</v>
      </c>
      <c r="CB68" s="39">
        <f>IF(CB$9='Redlands Inputs'!$D$15*12,SUMIF(_xlfn.ANCHORARRAY('Redlands Pro Forma'!$C$9),"&gt;120",'Redlands Pro Forma'!$C$46:$ED$46)/'Redlands Inputs'!$D$12,0)</f>
        <v>0</v>
      </c>
      <c r="CC68" s="39">
        <f>IF(CC$9='Redlands Inputs'!$D$15*12,SUMIF(_xlfn.ANCHORARRAY('Redlands Pro Forma'!$C$9),"&gt;120",'Redlands Pro Forma'!$C$46:$ED$46)/'Redlands Inputs'!$D$12,0)</f>
        <v>0</v>
      </c>
      <c r="CD68" s="39">
        <f>IF(CD$9='Redlands Inputs'!$D$15*12,SUMIF(_xlfn.ANCHORARRAY('Redlands Pro Forma'!$C$9),"&gt;120",'Redlands Pro Forma'!$C$46:$ED$46)/'Redlands Inputs'!$D$12,0)</f>
        <v>0</v>
      </c>
      <c r="CE68" s="39">
        <f>IF(CE$9='Redlands Inputs'!$D$15*12,SUMIF(_xlfn.ANCHORARRAY('Redlands Pro Forma'!$C$9),"&gt;120",'Redlands Pro Forma'!$C$46:$ED$46)/'Redlands Inputs'!$D$12,0)</f>
        <v>0</v>
      </c>
      <c r="CF68" s="39">
        <f>IF(CF$9='Redlands Inputs'!$D$15*12,SUMIF(_xlfn.ANCHORARRAY('Redlands Pro Forma'!$C$9),"&gt;120",'Redlands Pro Forma'!$C$46:$ED$46)/'Redlands Inputs'!$D$12,0)</f>
        <v>0</v>
      </c>
      <c r="CG68" s="39">
        <f>IF(CG$9='Redlands Inputs'!$D$15*12,SUMIF(_xlfn.ANCHORARRAY('Redlands Pro Forma'!$C$9),"&gt;120",'Redlands Pro Forma'!$C$46:$ED$46)/'Redlands Inputs'!$D$12,0)</f>
        <v>0</v>
      </c>
      <c r="CH68" s="39">
        <f>IF(CH$9='Redlands Inputs'!$D$15*12,SUMIF(_xlfn.ANCHORARRAY('Redlands Pro Forma'!$C$9),"&gt;120",'Redlands Pro Forma'!$C$46:$ED$46)/'Redlands Inputs'!$D$12,0)</f>
        <v>0</v>
      </c>
      <c r="CI68" s="39">
        <f>IF(CI$9='Redlands Inputs'!$D$15*12,SUMIF(_xlfn.ANCHORARRAY('Redlands Pro Forma'!$C$9),"&gt;120",'Redlands Pro Forma'!$C$46:$ED$46)/'Redlands Inputs'!$D$12,0)</f>
        <v>0</v>
      </c>
      <c r="CJ68" s="39">
        <f>IF(CJ$9='Redlands Inputs'!$D$15*12,SUMIF(_xlfn.ANCHORARRAY('Redlands Pro Forma'!$C$9),"&gt;120",'Redlands Pro Forma'!$C$46:$ED$46)/'Redlands Inputs'!$D$12,0)</f>
        <v>0</v>
      </c>
      <c r="CK68" s="39">
        <f>IF(CK$9='Redlands Inputs'!$D$15*12,SUMIF(_xlfn.ANCHORARRAY('Redlands Pro Forma'!$C$9),"&gt;120",'Redlands Pro Forma'!$C$46:$ED$46)/'Redlands Inputs'!$D$12,0)</f>
        <v>0</v>
      </c>
      <c r="CL68" s="39">
        <f>IF(CL$9='Redlands Inputs'!$D$15*12,SUMIF(_xlfn.ANCHORARRAY('Redlands Pro Forma'!$C$9),"&gt;120",'Redlands Pro Forma'!$C$46:$ED$46)/'Redlands Inputs'!$D$12,0)</f>
        <v>0</v>
      </c>
      <c r="CM68" s="39">
        <f>IF(CM$9='Redlands Inputs'!$D$15*12,SUMIF(_xlfn.ANCHORARRAY('Redlands Pro Forma'!$C$9),"&gt;120",'Redlands Pro Forma'!$C$46:$ED$46)/'Redlands Inputs'!$D$12,0)</f>
        <v>0</v>
      </c>
      <c r="CN68" s="39">
        <f>IF(CN$9='Redlands Inputs'!$D$15*12,SUMIF(_xlfn.ANCHORARRAY('Redlands Pro Forma'!$C$9),"&gt;120",'Redlands Pro Forma'!$C$46:$ED$46)/'Redlands Inputs'!$D$12,0)</f>
        <v>0</v>
      </c>
      <c r="CO68" s="39">
        <f>IF(CO$9='Redlands Inputs'!$D$15*12,SUMIF(_xlfn.ANCHORARRAY('Redlands Pro Forma'!$C$9),"&gt;120",'Redlands Pro Forma'!$C$46:$ED$46)/'Redlands Inputs'!$D$12,0)</f>
        <v>0</v>
      </c>
      <c r="CP68" s="39">
        <f>IF(CP$9='Redlands Inputs'!$D$15*12,SUMIF(_xlfn.ANCHORARRAY('Redlands Pro Forma'!$C$9),"&gt;120",'Redlands Pro Forma'!$C$46:$ED$46)/'Redlands Inputs'!$D$12,0)</f>
        <v>0</v>
      </c>
      <c r="CQ68" s="39">
        <f>IF(CQ$9='Redlands Inputs'!$D$15*12,SUMIF(_xlfn.ANCHORARRAY('Redlands Pro Forma'!$C$9),"&gt;120",'Redlands Pro Forma'!$C$46:$ED$46)/'Redlands Inputs'!$D$12,0)</f>
        <v>0</v>
      </c>
      <c r="CR68" s="39">
        <f>IF(CR$9='Redlands Inputs'!$D$15*12,SUMIF(_xlfn.ANCHORARRAY('Redlands Pro Forma'!$C$9),"&gt;120",'Redlands Pro Forma'!$C$46:$ED$46)/'Redlands Inputs'!$D$12,0)</f>
        <v>0</v>
      </c>
      <c r="CS68" s="39">
        <f>IF(CS$9='Redlands Inputs'!$D$15*12,SUMIF(_xlfn.ANCHORARRAY('Redlands Pro Forma'!$C$9),"&gt;120",'Redlands Pro Forma'!$C$46:$ED$46)/'Redlands Inputs'!$D$12,0)</f>
        <v>0</v>
      </c>
      <c r="CT68" s="39">
        <f>IF(CT$9='Redlands Inputs'!$D$15*12,SUMIF(_xlfn.ANCHORARRAY('Redlands Pro Forma'!$C$9),"&gt;120",'Redlands Pro Forma'!$C$46:$ED$46)/'Redlands Inputs'!$D$12,0)</f>
        <v>0</v>
      </c>
      <c r="CU68" s="39">
        <f>IF(CU$9='Redlands Inputs'!$D$15*12,SUMIF(_xlfn.ANCHORARRAY('Redlands Pro Forma'!$C$9),"&gt;120",'Redlands Pro Forma'!$C$46:$ED$46)/'Redlands Inputs'!$D$12,0)</f>
        <v>0</v>
      </c>
      <c r="CV68" s="39">
        <f>IF(CV$9='Redlands Inputs'!$D$15*12,SUMIF(_xlfn.ANCHORARRAY('Redlands Pro Forma'!$C$9),"&gt;120",'Redlands Pro Forma'!$C$46:$ED$46)/'Redlands Inputs'!$D$12,0)</f>
        <v>0</v>
      </c>
      <c r="CW68" s="39">
        <f>IF(CW$9='Redlands Inputs'!$D$15*12,SUMIF(_xlfn.ANCHORARRAY('Redlands Pro Forma'!$C$9),"&gt;120",'Redlands Pro Forma'!$C$46:$ED$46)/'Redlands Inputs'!$D$12,0)</f>
        <v>0</v>
      </c>
      <c r="CX68" s="39">
        <f>IF(CX$9='Redlands Inputs'!$D$15*12,SUMIF(_xlfn.ANCHORARRAY('Redlands Pro Forma'!$C$9),"&gt;120",'Redlands Pro Forma'!$C$46:$ED$46)/'Redlands Inputs'!$D$12,0)</f>
        <v>0</v>
      </c>
      <c r="CY68" s="39">
        <f>IF(CY$9='Redlands Inputs'!$D$15*12,SUMIF(_xlfn.ANCHORARRAY('Redlands Pro Forma'!$C$9),"&gt;120",'Redlands Pro Forma'!$C$46:$ED$46)/'Redlands Inputs'!$D$12,0)</f>
        <v>0</v>
      </c>
      <c r="CZ68" s="39">
        <f>IF(CZ$9='Redlands Inputs'!$D$15*12,SUMIF(_xlfn.ANCHORARRAY('Redlands Pro Forma'!$C$9),"&gt;120",'Redlands Pro Forma'!$C$46:$ED$46)/'Redlands Inputs'!$D$12,0)</f>
        <v>0</v>
      </c>
      <c r="DA68" s="39">
        <f>IF(DA$9='Redlands Inputs'!$D$15*12,SUMIF(_xlfn.ANCHORARRAY('Redlands Pro Forma'!$C$9),"&gt;120",'Redlands Pro Forma'!$C$46:$ED$46)/'Redlands Inputs'!$D$12,0)</f>
        <v>0</v>
      </c>
      <c r="DB68" s="39">
        <f>IF(DB$9='Redlands Inputs'!$D$15*12,SUMIF(_xlfn.ANCHORARRAY('Redlands Pro Forma'!$C$9),"&gt;120",'Redlands Pro Forma'!$C$46:$ED$46)/'Redlands Inputs'!$D$12,0)</f>
        <v>0</v>
      </c>
      <c r="DC68" s="39">
        <f>IF(DC$9='Redlands Inputs'!$D$15*12,SUMIF(_xlfn.ANCHORARRAY('Redlands Pro Forma'!$C$9),"&gt;120",'Redlands Pro Forma'!$C$46:$ED$46)/'Redlands Inputs'!$D$12,0)</f>
        <v>0</v>
      </c>
      <c r="DD68" s="39">
        <f>IF(DD$9='Redlands Inputs'!$D$15*12,SUMIF(_xlfn.ANCHORARRAY('Redlands Pro Forma'!$C$9),"&gt;120",'Redlands Pro Forma'!$C$46:$ED$46)/'Redlands Inputs'!$D$12,0)</f>
        <v>0</v>
      </c>
      <c r="DE68" s="39">
        <f>IF(DE$9='Redlands Inputs'!$D$15*12,SUMIF(_xlfn.ANCHORARRAY('Redlands Pro Forma'!$C$9),"&gt;120",'Redlands Pro Forma'!$C$46:$ED$46)/'Redlands Inputs'!$D$12,0)</f>
        <v>0</v>
      </c>
      <c r="DF68" s="39">
        <f>IF(DF$9='Redlands Inputs'!$D$15*12,SUMIF(_xlfn.ANCHORARRAY('Redlands Pro Forma'!$C$9),"&gt;120",'Redlands Pro Forma'!$C$46:$ED$46)/'Redlands Inputs'!$D$12,0)</f>
        <v>0</v>
      </c>
      <c r="DG68" s="39">
        <f>IF(DG$9='Redlands Inputs'!$D$15*12,SUMIF(_xlfn.ANCHORARRAY('Redlands Pro Forma'!$C$9),"&gt;120",'Redlands Pro Forma'!$C$46:$ED$46)/'Redlands Inputs'!$D$12,0)</f>
        <v>0</v>
      </c>
      <c r="DH68" s="39">
        <f>IF(DH$9='Redlands Inputs'!$D$15*12,SUMIF(_xlfn.ANCHORARRAY('Redlands Pro Forma'!$C$9),"&gt;120",'Redlands Pro Forma'!$C$46:$ED$46)/'Redlands Inputs'!$D$12,0)</f>
        <v>0</v>
      </c>
      <c r="DI68" s="39">
        <f>IF(DI$9='Redlands Inputs'!$D$15*12,SUMIF(_xlfn.ANCHORARRAY('Redlands Pro Forma'!$C$9),"&gt;120",'Redlands Pro Forma'!$C$46:$ED$46)/'Redlands Inputs'!$D$12,0)</f>
        <v>0</v>
      </c>
      <c r="DJ68" s="39">
        <f>IF(DJ$9='Redlands Inputs'!$D$15*12,SUMIF(_xlfn.ANCHORARRAY('Redlands Pro Forma'!$C$9),"&gt;120",'Redlands Pro Forma'!$C$46:$ED$46)/'Redlands Inputs'!$D$12,0)</f>
        <v>0</v>
      </c>
      <c r="DK68" s="39">
        <f>IF(DK$9='Redlands Inputs'!$D$15*12,SUMIF(_xlfn.ANCHORARRAY('Redlands Pro Forma'!$C$9),"&gt;120",'Redlands Pro Forma'!$C$46:$ED$46)/'Redlands Inputs'!$D$12,0)</f>
        <v>0</v>
      </c>
      <c r="DL68" s="39">
        <f>IF(DL$9='Redlands Inputs'!$D$15*12,SUMIF(_xlfn.ANCHORARRAY('Redlands Pro Forma'!$C$9),"&gt;120",'Redlands Pro Forma'!$C$46:$ED$46)/'Redlands Inputs'!$D$12,0)</f>
        <v>0</v>
      </c>
      <c r="DM68" s="39">
        <f>IF(DM$9='Redlands Inputs'!$D$15*12,SUMIF(_xlfn.ANCHORARRAY('Redlands Pro Forma'!$C$9),"&gt;120",'Redlands Pro Forma'!$C$46:$ED$46)/'Redlands Inputs'!$D$12,0)</f>
        <v>0</v>
      </c>
      <c r="DN68" s="39">
        <f>IF(DN$9='Redlands Inputs'!$D$15*12,SUMIF(_xlfn.ANCHORARRAY('Redlands Pro Forma'!$C$9),"&gt;120",'Redlands Pro Forma'!$C$46:$ED$46)/'Redlands Inputs'!$D$12,0)</f>
        <v>0</v>
      </c>
      <c r="DO68" s="39">
        <f>IF(DO$9='Redlands Inputs'!$D$15*12,SUMIF(_xlfn.ANCHORARRAY('Redlands Pro Forma'!$C$9),"&gt;120",'Redlands Pro Forma'!$C$46:$ED$46)/'Redlands Inputs'!$D$12,0)</f>
        <v>0</v>
      </c>
      <c r="DP68" s="39">
        <f>IF(DP$9='Redlands Inputs'!$D$15*12,SUMIF(_xlfn.ANCHORARRAY('Redlands Pro Forma'!$C$9),"&gt;120",'Redlands Pro Forma'!$C$46:$ED$46)/'Redlands Inputs'!$D$12,0)</f>
        <v>0</v>
      </c>
      <c r="DQ68" s="39">
        <f>IF(DQ$9='Redlands Inputs'!$D$15*12,SUMIF(_xlfn.ANCHORARRAY('Redlands Pro Forma'!$C$9),"&gt;120",'Redlands Pro Forma'!$C$46:$ED$46)/'Redlands Inputs'!$D$12,0)</f>
        <v>0</v>
      </c>
      <c r="DR68" s="39">
        <f>IF(DR$9='Redlands Inputs'!$D$15*12,SUMIF(_xlfn.ANCHORARRAY('Redlands Pro Forma'!$C$9),"&gt;120",'Redlands Pro Forma'!$C$46:$ED$46)/'Redlands Inputs'!$D$12,0)</f>
        <v>110345197.84172663</v>
      </c>
      <c r="DS68" s="39">
        <f>IF(DS$9='Redlands Inputs'!$D$15*12,SUMIF(_xlfn.ANCHORARRAY('Redlands Pro Forma'!$C$9),"&gt;120",'Redlands Pro Forma'!$C$46:$ED$46)/'Redlands Inputs'!$D$12,0)</f>
        <v>0</v>
      </c>
      <c r="DT68" s="39">
        <f>IF(DT$9='Redlands Inputs'!$D$15*12,SUMIF(_xlfn.ANCHORARRAY('Redlands Pro Forma'!$C$9),"&gt;120",'Redlands Pro Forma'!$C$46:$ED$46)/'Redlands Inputs'!$D$12,0)</f>
        <v>0</v>
      </c>
      <c r="DU68" s="39">
        <f>IF(DU$9='Redlands Inputs'!$D$15*12,SUMIF(_xlfn.ANCHORARRAY('Redlands Pro Forma'!$C$9),"&gt;120",'Redlands Pro Forma'!$C$46:$ED$46)/'Redlands Inputs'!$D$12,0)</f>
        <v>0</v>
      </c>
      <c r="DV68" s="39">
        <f>IF(DV$9='Redlands Inputs'!$D$15*12,SUMIF(_xlfn.ANCHORARRAY('Redlands Pro Forma'!$C$9),"&gt;120",'Redlands Pro Forma'!$C$46:$ED$46)/'Redlands Inputs'!$D$12,0)</f>
        <v>0</v>
      </c>
      <c r="DW68" s="39">
        <f>IF(DW$9='Redlands Inputs'!$D$15*12,SUMIF(_xlfn.ANCHORARRAY('Redlands Pro Forma'!$C$9),"&gt;120",'Redlands Pro Forma'!$C$46:$ED$46)/'Redlands Inputs'!$D$12,0)</f>
        <v>0</v>
      </c>
      <c r="DX68" s="39">
        <f>IF(DX$9='Redlands Inputs'!$D$15*12,SUMIF(_xlfn.ANCHORARRAY('Redlands Pro Forma'!$C$9),"&gt;120",'Redlands Pro Forma'!$C$46:$ED$46)/'Redlands Inputs'!$D$12,0)</f>
        <v>0</v>
      </c>
      <c r="DY68" s="39">
        <f>IF(DY$9='Redlands Inputs'!$D$15*12,SUMIF(_xlfn.ANCHORARRAY('Redlands Pro Forma'!$C$9),"&gt;120",'Redlands Pro Forma'!$C$46:$ED$46)/'Redlands Inputs'!$D$12,0)</f>
        <v>0</v>
      </c>
      <c r="DZ68" s="39">
        <f>IF(DZ$9='Redlands Inputs'!$D$15*12,SUMIF(_xlfn.ANCHORARRAY('Redlands Pro Forma'!$C$9),"&gt;120",'Redlands Pro Forma'!$C$46:$ED$46)/'Redlands Inputs'!$D$12,0)</f>
        <v>0</v>
      </c>
      <c r="EA68" s="39">
        <f>IF(EA$9='Redlands Inputs'!$D$15*12,SUMIF(_xlfn.ANCHORARRAY('Redlands Pro Forma'!$C$9),"&gt;120",'Redlands Pro Forma'!$C$46:$ED$46)/'Redlands Inputs'!$D$12,0)</f>
        <v>0</v>
      </c>
      <c r="EB68" s="39">
        <f>IF(EB$9='Redlands Inputs'!$D$15*12,SUMIF(_xlfn.ANCHORARRAY('Redlands Pro Forma'!$C$9),"&gt;120",'Redlands Pro Forma'!$C$46:$ED$46)/'Redlands Inputs'!$D$12,0)</f>
        <v>0</v>
      </c>
      <c r="EC68" s="39">
        <f>IF(EC$9='Redlands Inputs'!$D$15*12,SUMIF(_xlfn.ANCHORARRAY('Redlands Pro Forma'!$C$9),"&gt;120",'Redlands Pro Forma'!$C$46:$ED$46)/'Redlands Inputs'!$D$12,0)</f>
        <v>0</v>
      </c>
      <c r="ED68" s="39">
        <f>IF(ED$9='Redlands Inputs'!$D$15*12,SUMIF(_xlfn.ANCHORARRAY('Redlands Pro Forma'!$C$9),"&gt;120",'Redlands Pro Forma'!$C$46:$ED$46)/'Redlands Inputs'!$D$12,0)</f>
        <v>0</v>
      </c>
    </row>
    <row r="69" spans="1:134" ht="19.149999999999999" customHeight="1" x14ac:dyDescent="0.4">
      <c r="A69" s="10" t="s">
        <v>47</v>
      </c>
      <c r="B69" s="80"/>
      <c r="C69" s="80">
        <f>-C$68*'Redlands Inputs'!$D$13</f>
        <v>0</v>
      </c>
      <c r="D69" s="80">
        <f>-D$68*'Redlands Inputs'!$D$13</f>
        <v>0</v>
      </c>
      <c r="E69" s="80">
        <f>-E$68*'Redlands Inputs'!$D$13</f>
        <v>0</v>
      </c>
      <c r="F69" s="80">
        <f>-F$68*'Redlands Inputs'!$D$13</f>
        <v>0</v>
      </c>
      <c r="G69" s="80">
        <f>-G$68*'Redlands Inputs'!$D$13</f>
        <v>0</v>
      </c>
      <c r="H69" s="80">
        <f>-H$68*'Redlands Inputs'!$D$13</f>
        <v>0</v>
      </c>
      <c r="I69" s="80">
        <f>-I$68*'Redlands Inputs'!$D$13</f>
        <v>0</v>
      </c>
      <c r="J69" s="80">
        <f>-J$68*'Redlands Inputs'!$D$13</f>
        <v>0</v>
      </c>
      <c r="K69" s="80">
        <f>-K$68*'Redlands Inputs'!$D$13</f>
        <v>0</v>
      </c>
      <c r="L69" s="80">
        <f>-L$68*'Redlands Inputs'!$D$13</f>
        <v>0</v>
      </c>
      <c r="M69" s="80">
        <f>-M$68*'Redlands Inputs'!$D$13</f>
        <v>0</v>
      </c>
      <c r="N69" s="80">
        <f>-N$68*'Redlands Inputs'!$D$13</f>
        <v>0</v>
      </c>
      <c r="O69" s="80">
        <f>-O$68*'Redlands Inputs'!$D$13</f>
        <v>0</v>
      </c>
      <c r="P69" s="80">
        <f>-P$68*'Redlands Inputs'!$D$13</f>
        <v>0</v>
      </c>
      <c r="Q69" s="80">
        <f>-Q$68*'Redlands Inputs'!$D$13</f>
        <v>0</v>
      </c>
      <c r="R69" s="80">
        <f>-R$68*'Redlands Inputs'!$D$13</f>
        <v>0</v>
      </c>
      <c r="S69" s="80">
        <f>-S$68*'Redlands Inputs'!$D$13</f>
        <v>0</v>
      </c>
      <c r="T69" s="80">
        <f>-T$68*'Redlands Inputs'!$D$13</f>
        <v>0</v>
      </c>
      <c r="U69" s="80">
        <f>-U$68*'Redlands Inputs'!$D$13</f>
        <v>0</v>
      </c>
      <c r="V69" s="80">
        <f>-V$68*'Redlands Inputs'!$D$13</f>
        <v>0</v>
      </c>
      <c r="W69" s="80">
        <f>-W$68*'Redlands Inputs'!$D$13</f>
        <v>0</v>
      </c>
      <c r="X69" s="80">
        <f>-X$68*'Redlands Inputs'!$D$13</f>
        <v>0</v>
      </c>
      <c r="Y69" s="80">
        <f>-Y$68*'Redlands Inputs'!$D$13</f>
        <v>0</v>
      </c>
      <c r="Z69" s="80">
        <f>-Z$68*'Redlands Inputs'!$D$13</f>
        <v>0</v>
      </c>
      <c r="AA69" s="80">
        <f>-AA$68*'Redlands Inputs'!$D$13</f>
        <v>0</v>
      </c>
      <c r="AB69" s="80">
        <f>-AB$68*'Redlands Inputs'!$D$13</f>
        <v>0</v>
      </c>
      <c r="AC69" s="80">
        <f>-AC$68*'Redlands Inputs'!$D$13</f>
        <v>0</v>
      </c>
      <c r="AD69" s="80">
        <f>-AD$68*'Redlands Inputs'!$D$13</f>
        <v>0</v>
      </c>
      <c r="AE69" s="80">
        <f>-AE$68*'Redlands Inputs'!$D$13</f>
        <v>0</v>
      </c>
      <c r="AF69" s="80">
        <f>-AF$68*'Redlands Inputs'!$D$13</f>
        <v>0</v>
      </c>
      <c r="AG69" s="80">
        <f>-AG$68*'Redlands Inputs'!$D$13</f>
        <v>0</v>
      </c>
      <c r="AH69" s="80">
        <f>-AH$68*'Redlands Inputs'!$D$13</f>
        <v>0</v>
      </c>
      <c r="AI69" s="80">
        <f>-AI$68*'Redlands Inputs'!$D$13</f>
        <v>0</v>
      </c>
      <c r="AJ69" s="80">
        <f>-AJ$68*'Redlands Inputs'!$D$13</f>
        <v>0</v>
      </c>
      <c r="AK69" s="80">
        <f>-AK$68*'Redlands Inputs'!$D$13</f>
        <v>0</v>
      </c>
      <c r="AL69" s="80">
        <f>-AL$68*'Redlands Inputs'!$D$13</f>
        <v>0</v>
      </c>
      <c r="AM69" s="80">
        <f>-AM$68*'Redlands Inputs'!$D$13</f>
        <v>0</v>
      </c>
      <c r="AN69" s="80">
        <f>-AN$68*'Redlands Inputs'!$D$13</f>
        <v>0</v>
      </c>
      <c r="AO69" s="80">
        <f>-AO$68*'Redlands Inputs'!$D$13</f>
        <v>0</v>
      </c>
      <c r="AP69" s="80">
        <f>-AP$68*'Redlands Inputs'!$D$13</f>
        <v>0</v>
      </c>
      <c r="AQ69" s="80">
        <f>-AQ$68*'Redlands Inputs'!$D$13</f>
        <v>0</v>
      </c>
      <c r="AR69" s="80">
        <f>-AR$68*'Redlands Inputs'!$D$13</f>
        <v>0</v>
      </c>
      <c r="AS69" s="80">
        <f>-AS$68*'Redlands Inputs'!$D$13</f>
        <v>0</v>
      </c>
      <c r="AT69" s="80">
        <f>-AT$68*'Redlands Inputs'!$D$13</f>
        <v>0</v>
      </c>
      <c r="AU69" s="80">
        <f>-AU$68*'Redlands Inputs'!$D$13</f>
        <v>0</v>
      </c>
      <c r="AV69" s="80">
        <f>-AV$68*'Redlands Inputs'!$D$13</f>
        <v>0</v>
      </c>
      <c r="AW69" s="80">
        <f>-AW$68*'Redlands Inputs'!$D$13</f>
        <v>0</v>
      </c>
      <c r="AX69" s="80">
        <f>-AX$68*'Redlands Inputs'!$D$13</f>
        <v>0</v>
      </c>
      <c r="AY69" s="80">
        <f>-AY$68*'Redlands Inputs'!$D$13</f>
        <v>0</v>
      </c>
      <c r="AZ69" s="80">
        <f>-AZ$68*'Redlands Inputs'!$D$13</f>
        <v>0</v>
      </c>
      <c r="BA69" s="80">
        <f>-BA$68*'Redlands Inputs'!$D$13</f>
        <v>0</v>
      </c>
      <c r="BB69" s="80">
        <f>-BB$68*'Redlands Inputs'!$D$13</f>
        <v>0</v>
      </c>
      <c r="BC69" s="80">
        <f>-BC$68*'Redlands Inputs'!$D$13</f>
        <v>0</v>
      </c>
      <c r="BD69" s="80">
        <f>-BD$68*'Redlands Inputs'!$D$13</f>
        <v>0</v>
      </c>
      <c r="BE69" s="80">
        <f>-BE$68*'Redlands Inputs'!$D$13</f>
        <v>0</v>
      </c>
      <c r="BF69" s="80">
        <f>-BF$68*'Redlands Inputs'!$D$13</f>
        <v>0</v>
      </c>
      <c r="BG69" s="80">
        <f>-BG$68*'Redlands Inputs'!$D$13</f>
        <v>0</v>
      </c>
      <c r="BH69" s="80">
        <f>-BH$68*'Redlands Inputs'!$D$13</f>
        <v>0</v>
      </c>
      <c r="BI69" s="80">
        <f>-BI$68*'Redlands Inputs'!$D$13</f>
        <v>0</v>
      </c>
      <c r="BJ69" s="80">
        <f>-BJ$68*'Redlands Inputs'!$D$13</f>
        <v>0</v>
      </c>
      <c r="BK69" s="80">
        <f>-BK$68*'Redlands Inputs'!$D$13</f>
        <v>0</v>
      </c>
      <c r="BL69" s="80">
        <f>-BL$68*'Redlands Inputs'!$D$13</f>
        <v>0</v>
      </c>
      <c r="BM69" s="80">
        <f>-BM$68*'Redlands Inputs'!$D$13</f>
        <v>0</v>
      </c>
      <c r="BN69" s="80">
        <f>-BN$68*'Redlands Inputs'!$D$13</f>
        <v>0</v>
      </c>
      <c r="BO69" s="80">
        <f>-BO$68*'Redlands Inputs'!$D$13</f>
        <v>0</v>
      </c>
      <c r="BP69" s="80">
        <f>-BP$68*'Redlands Inputs'!$D$13</f>
        <v>0</v>
      </c>
      <c r="BQ69" s="80">
        <f>-BQ$68*'Redlands Inputs'!$D$13</f>
        <v>0</v>
      </c>
      <c r="BR69" s="80">
        <f>-BR$68*'Redlands Inputs'!$D$13</f>
        <v>0</v>
      </c>
      <c r="BS69" s="80">
        <f>-BS$68*'Redlands Inputs'!$D$13</f>
        <v>0</v>
      </c>
      <c r="BT69" s="80">
        <f>-BT$68*'Redlands Inputs'!$D$13</f>
        <v>0</v>
      </c>
      <c r="BU69" s="80">
        <f>-BU$68*'Redlands Inputs'!$D$13</f>
        <v>0</v>
      </c>
      <c r="BV69" s="80">
        <f>-BV$68*'Redlands Inputs'!$D$13</f>
        <v>0</v>
      </c>
      <c r="BW69" s="80">
        <f>-BW$68*'Redlands Inputs'!$D$13</f>
        <v>0</v>
      </c>
      <c r="BX69" s="80">
        <f>-BX$68*'Redlands Inputs'!$D$13</f>
        <v>0</v>
      </c>
      <c r="BY69" s="80">
        <f>-BY$68*'Redlands Inputs'!$D$13</f>
        <v>0</v>
      </c>
      <c r="BZ69" s="80">
        <f>-BZ$68*'Redlands Inputs'!$D$13</f>
        <v>0</v>
      </c>
      <c r="CA69" s="80">
        <f>-CA$68*'Redlands Inputs'!$D$13</f>
        <v>0</v>
      </c>
      <c r="CB69" s="80">
        <f>-CB$68*'Redlands Inputs'!$D$13</f>
        <v>0</v>
      </c>
      <c r="CC69" s="80">
        <f>-CC$68*'Redlands Inputs'!$D$13</f>
        <v>0</v>
      </c>
      <c r="CD69" s="80">
        <f>-CD$68*'Redlands Inputs'!$D$13</f>
        <v>0</v>
      </c>
      <c r="CE69" s="80">
        <f>-CE$68*'Redlands Inputs'!$D$13</f>
        <v>0</v>
      </c>
      <c r="CF69" s="80">
        <f>-CF$68*'Redlands Inputs'!$D$13</f>
        <v>0</v>
      </c>
      <c r="CG69" s="80">
        <f>-CG$68*'Redlands Inputs'!$D$13</f>
        <v>0</v>
      </c>
      <c r="CH69" s="80">
        <f>-CH$68*'Redlands Inputs'!$D$13</f>
        <v>0</v>
      </c>
      <c r="CI69" s="80">
        <f>-CI$68*'Redlands Inputs'!$D$13</f>
        <v>0</v>
      </c>
      <c r="CJ69" s="80">
        <f>-CJ$68*'Redlands Inputs'!$D$13</f>
        <v>0</v>
      </c>
      <c r="CK69" s="80">
        <f>-CK$68*'Redlands Inputs'!$D$13</f>
        <v>0</v>
      </c>
      <c r="CL69" s="80">
        <f>-CL$68*'Redlands Inputs'!$D$13</f>
        <v>0</v>
      </c>
      <c r="CM69" s="80">
        <f>-CM$68*'Redlands Inputs'!$D$13</f>
        <v>0</v>
      </c>
      <c r="CN69" s="80">
        <f>-CN$68*'Redlands Inputs'!$D$13</f>
        <v>0</v>
      </c>
      <c r="CO69" s="80">
        <f>-CO$68*'Redlands Inputs'!$D$13</f>
        <v>0</v>
      </c>
      <c r="CP69" s="80">
        <f>-CP$68*'Redlands Inputs'!$D$13</f>
        <v>0</v>
      </c>
      <c r="CQ69" s="80">
        <f>-CQ$68*'Redlands Inputs'!$D$13</f>
        <v>0</v>
      </c>
      <c r="CR69" s="80">
        <f>-CR$68*'Redlands Inputs'!$D$13</f>
        <v>0</v>
      </c>
      <c r="CS69" s="80">
        <f>-CS$68*'Redlands Inputs'!$D$13</f>
        <v>0</v>
      </c>
      <c r="CT69" s="80">
        <f>-CT$68*'Redlands Inputs'!$D$13</f>
        <v>0</v>
      </c>
      <c r="CU69" s="80">
        <f>-CU$68*'Redlands Inputs'!$D$13</f>
        <v>0</v>
      </c>
      <c r="CV69" s="80">
        <f>-CV$68*'Redlands Inputs'!$D$13</f>
        <v>0</v>
      </c>
      <c r="CW69" s="80">
        <f>-CW$68*'Redlands Inputs'!$D$13</f>
        <v>0</v>
      </c>
      <c r="CX69" s="80">
        <f>-CX$68*'Redlands Inputs'!$D$13</f>
        <v>0</v>
      </c>
      <c r="CY69" s="80">
        <f>-CY$68*'Redlands Inputs'!$D$13</f>
        <v>0</v>
      </c>
      <c r="CZ69" s="80">
        <f>-CZ$68*'Redlands Inputs'!$D$13</f>
        <v>0</v>
      </c>
      <c r="DA69" s="80">
        <f>-DA$68*'Redlands Inputs'!$D$13</f>
        <v>0</v>
      </c>
      <c r="DB69" s="80">
        <f>-DB$68*'Redlands Inputs'!$D$13</f>
        <v>0</v>
      </c>
      <c r="DC69" s="80">
        <f>-DC$68*'Redlands Inputs'!$D$13</f>
        <v>0</v>
      </c>
      <c r="DD69" s="80">
        <f>-DD$68*'Redlands Inputs'!$D$13</f>
        <v>0</v>
      </c>
      <c r="DE69" s="80">
        <f>-DE$68*'Redlands Inputs'!$D$13</f>
        <v>0</v>
      </c>
      <c r="DF69" s="80">
        <f>-DF$68*'Redlands Inputs'!$D$13</f>
        <v>0</v>
      </c>
      <c r="DG69" s="80">
        <f>-DG$68*'Redlands Inputs'!$D$13</f>
        <v>0</v>
      </c>
      <c r="DH69" s="80">
        <f>-DH$68*'Redlands Inputs'!$D$13</f>
        <v>0</v>
      </c>
      <c r="DI69" s="80">
        <f>-DI$68*'Redlands Inputs'!$D$13</f>
        <v>0</v>
      </c>
      <c r="DJ69" s="80">
        <f>-DJ$68*'Redlands Inputs'!$D$13</f>
        <v>0</v>
      </c>
      <c r="DK69" s="80">
        <f>-DK$68*'Redlands Inputs'!$D$13</f>
        <v>0</v>
      </c>
      <c r="DL69" s="80">
        <f>-DL$68*'Redlands Inputs'!$D$13</f>
        <v>0</v>
      </c>
      <c r="DM69" s="80">
        <f>-DM$68*'Redlands Inputs'!$D$13</f>
        <v>0</v>
      </c>
      <c r="DN69" s="80">
        <f>-DN$68*'Redlands Inputs'!$D$13</f>
        <v>0</v>
      </c>
      <c r="DO69" s="80">
        <f>-DO$68*'Redlands Inputs'!$D$13</f>
        <v>0</v>
      </c>
      <c r="DP69" s="80">
        <f>-DP$68*'Redlands Inputs'!$D$13</f>
        <v>0</v>
      </c>
      <c r="DQ69" s="80">
        <f>-DQ$68*'Redlands Inputs'!$D$13</f>
        <v>0</v>
      </c>
      <c r="DR69" s="80">
        <f>-DR$68*'Redlands Inputs'!$D$13</f>
        <v>-2206903.9568345328</v>
      </c>
      <c r="DS69" s="80">
        <f>-DS$68*'Redlands Inputs'!$D$13</f>
        <v>0</v>
      </c>
      <c r="DT69" s="80">
        <f>-DT$68*'Redlands Inputs'!$D$13</f>
        <v>0</v>
      </c>
      <c r="DU69" s="80">
        <f>-DU$68*'Redlands Inputs'!$D$13</f>
        <v>0</v>
      </c>
      <c r="DV69" s="80">
        <f>-DV$68*'Redlands Inputs'!$D$13</f>
        <v>0</v>
      </c>
      <c r="DW69" s="80">
        <f>-DW$68*'Redlands Inputs'!$D$13</f>
        <v>0</v>
      </c>
      <c r="DX69" s="80">
        <f>-DX$68*'Redlands Inputs'!$D$13</f>
        <v>0</v>
      </c>
      <c r="DY69" s="80">
        <f>-DY$68*'Redlands Inputs'!$D$13</f>
        <v>0</v>
      </c>
      <c r="DZ69" s="80">
        <f>-DZ$68*'Redlands Inputs'!$D$13</f>
        <v>0</v>
      </c>
      <c r="EA69" s="80">
        <f>-EA$68*'Redlands Inputs'!$D$13</f>
        <v>0</v>
      </c>
      <c r="EB69" s="80">
        <f>-EB$68*'Redlands Inputs'!$D$13</f>
        <v>0</v>
      </c>
      <c r="EC69" s="80">
        <f>-EC$68*'Redlands Inputs'!$D$13</f>
        <v>0</v>
      </c>
      <c r="ED69" s="80">
        <f>-ED$68*'Redlands Inputs'!$D$13</f>
        <v>0</v>
      </c>
    </row>
    <row r="70" spans="1:134" ht="19.149999999999999" customHeight="1" x14ac:dyDescent="0.4">
      <c r="A70" s="6" t="s">
        <v>51</v>
      </c>
      <c r="B70" s="80"/>
      <c r="C70" s="80">
        <f>SUM(C68:C69)</f>
        <v>0</v>
      </c>
      <c r="D70" s="80">
        <f t="shared" ref="D70:BO70" si="50">SUM(D68:D69)</f>
        <v>0</v>
      </c>
      <c r="E70" s="80">
        <f t="shared" si="50"/>
        <v>0</v>
      </c>
      <c r="F70" s="80">
        <f t="shared" si="50"/>
        <v>0</v>
      </c>
      <c r="G70" s="80">
        <f t="shared" si="50"/>
        <v>0</v>
      </c>
      <c r="H70" s="80">
        <f t="shared" si="50"/>
        <v>0</v>
      </c>
      <c r="I70" s="80">
        <f t="shared" si="50"/>
        <v>0</v>
      </c>
      <c r="J70" s="80">
        <f t="shared" si="50"/>
        <v>0</v>
      </c>
      <c r="K70" s="80">
        <f t="shared" si="50"/>
        <v>0</v>
      </c>
      <c r="L70" s="80">
        <f t="shared" si="50"/>
        <v>0</v>
      </c>
      <c r="M70" s="80">
        <f t="shared" si="50"/>
        <v>0</v>
      </c>
      <c r="N70" s="80">
        <f t="shared" si="50"/>
        <v>0</v>
      </c>
      <c r="O70" s="80">
        <f t="shared" si="50"/>
        <v>0</v>
      </c>
      <c r="P70" s="80">
        <f t="shared" si="50"/>
        <v>0</v>
      </c>
      <c r="Q70" s="80">
        <f t="shared" si="50"/>
        <v>0</v>
      </c>
      <c r="R70" s="80">
        <f t="shared" si="50"/>
        <v>0</v>
      </c>
      <c r="S70" s="80">
        <f t="shared" si="50"/>
        <v>0</v>
      </c>
      <c r="T70" s="80">
        <f t="shared" si="50"/>
        <v>0</v>
      </c>
      <c r="U70" s="80">
        <f t="shared" si="50"/>
        <v>0</v>
      </c>
      <c r="V70" s="80">
        <f t="shared" si="50"/>
        <v>0</v>
      </c>
      <c r="W70" s="80">
        <f t="shared" si="50"/>
        <v>0</v>
      </c>
      <c r="X70" s="80">
        <f t="shared" si="50"/>
        <v>0</v>
      </c>
      <c r="Y70" s="80">
        <f t="shared" si="50"/>
        <v>0</v>
      </c>
      <c r="Z70" s="80">
        <f t="shared" si="50"/>
        <v>0</v>
      </c>
      <c r="AA70" s="80">
        <f t="shared" si="50"/>
        <v>0</v>
      </c>
      <c r="AB70" s="80">
        <f t="shared" si="50"/>
        <v>0</v>
      </c>
      <c r="AC70" s="80">
        <f t="shared" si="50"/>
        <v>0</v>
      </c>
      <c r="AD70" s="80">
        <f t="shared" si="50"/>
        <v>0</v>
      </c>
      <c r="AE70" s="80">
        <f t="shared" si="50"/>
        <v>0</v>
      </c>
      <c r="AF70" s="80">
        <f t="shared" si="50"/>
        <v>0</v>
      </c>
      <c r="AG70" s="80">
        <f t="shared" si="50"/>
        <v>0</v>
      </c>
      <c r="AH70" s="80">
        <f t="shared" si="50"/>
        <v>0</v>
      </c>
      <c r="AI70" s="80">
        <f t="shared" si="50"/>
        <v>0</v>
      </c>
      <c r="AJ70" s="80">
        <f t="shared" si="50"/>
        <v>0</v>
      </c>
      <c r="AK70" s="80">
        <f t="shared" si="50"/>
        <v>0</v>
      </c>
      <c r="AL70" s="80">
        <f t="shared" si="50"/>
        <v>0</v>
      </c>
      <c r="AM70" s="80">
        <f t="shared" si="50"/>
        <v>0</v>
      </c>
      <c r="AN70" s="80">
        <f t="shared" si="50"/>
        <v>0</v>
      </c>
      <c r="AO70" s="80">
        <f t="shared" si="50"/>
        <v>0</v>
      </c>
      <c r="AP70" s="80">
        <f t="shared" si="50"/>
        <v>0</v>
      </c>
      <c r="AQ70" s="80">
        <f t="shared" si="50"/>
        <v>0</v>
      </c>
      <c r="AR70" s="80">
        <f t="shared" si="50"/>
        <v>0</v>
      </c>
      <c r="AS70" s="80">
        <f t="shared" si="50"/>
        <v>0</v>
      </c>
      <c r="AT70" s="80">
        <f t="shared" si="50"/>
        <v>0</v>
      </c>
      <c r="AU70" s="80">
        <f t="shared" si="50"/>
        <v>0</v>
      </c>
      <c r="AV70" s="80">
        <f t="shared" si="50"/>
        <v>0</v>
      </c>
      <c r="AW70" s="80">
        <f t="shared" si="50"/>
        <v>0</v>
      </c>
      <c r="AX70" s="80">
        <f t="shared" si="50"/>
        <v>0</v>
      </c>
      <c r="AY70" s="80">
        <f t="shared" si="50"/>
        <v>0</v>
      </c>
      <c r="AZ70" s="80">
        <f t="shared" si="50"/>
        <v>0</v>
      </c>
      <c r="BA70" s="80">
        <f t="shared" si="50"/>
        <v>0</v>
      </c>
      <c r="BB70" s="80">
        <f t="shared" si="50"/>
        <v>0</v>
      </c>
      <c r="BC70" s="80">
        <f t="shared" si="50"/>
        <v>0</v>
      </c>
      <c r="BD70" s="80">
        <f t="shared" si="50"/>
        <v>0</v>
      </c>
      <c r="BE70" s="80">
        <f t="shared" si="50"/>
        <v>0</v>
      </c>
      <c r="BF70" s="80">
        <f t="shared" si="50"/>
        <v>0</v>
      </c>
      <c r="BG70" s="80">
        <f t="shared" si="50"/>
        <v>0</v>
      </c>
      <c r="BH70" s="80">
        <f t="shared" si="50"/>
        <v>0</v>
      </c>
      <c r="BI70" s="80">
        <f t="shared" si="50"/>
        <v>0</v>
      </c>
      <c r="BJ70" s="80">
        <f t="shared" si="50"/>
        <v>0</v>
      </c>
      <c r="BK70" s="80">
        <f t="shared" si="50"/>
        <v>0</v>
      </c>
      <c r="BL70" s="80">
        <f t="shared" si="50"/>
        <v>0</v>
      </c>
      <c r="BM70" s="80">
        <f t="shared" si="50"/>
        <v>0</v>
      </c>
      <c r="BN70" s="80">
        <f t="shared" si="50"/>
        <v>0</v>
      </c>
      <c r="BO70" s="80">
        <f t="shared" si="50"/>
        <v>0</v>
      </c>
      <c r="BP70" s="80">
        <f t="shared" ref="BP70:EA70" si="51">SUM(BP68:BP69)</f>
        <v>0</v>
      </c>
      <c r="BQ70" s="80">
        <f t="shared" si="51"/>
        <v>0</v>
      </c>
      <c r="BR70" s="80">
        <f t="shared" si="51"/>
        <v>0</v>
      </c>
      <c r="BS70" s="80">
        <f t="shared" si="51"/>
        <v>0</v>
      </c>
      <c r="BT70" s="80">
        <f t="shared" si="51"/>
        <v>0</v>
      </c>
      <c r="BU70" s="80">
        <f t="shared" si="51"/>
        <v>0</v>
      </c>
      <c r="BV70" s="80">
        <f t="shared" si="51"/>
        <v>0</v>
      </c>
      <c r="BW70" s="80">
        <f t="shared" si="51"/>
        <v>0</v>
      </c>
      <c r="BX70" s="80">
        <f t="shared" si="51"/>
        <v>0</v>
      </c>
      <c r="BY70" s="80">
        <f t="shared" si="51"/>
        <v>0</v>
      </c>
      <c r="BZ70" s="80">
        <f t="shared" si="51"/>
        <v>0</v>
      </c>
      <c r="CA70" s="80">
        <f t="shared" si="51"/>
        <v>0</v>
      </c>
      <c r="CB70" s="80">
        <f t="shared" si="51"/>
        <v>0</v>
      </c>
      <c r="CC70" s="80">
        <f t="shared" si="51"/>
        <v>0</v>
      </c>
      <c r="CD70" s="80">
        <f t="shared" si="51"/>
        <v>0</v>
      </c>
      <c r="CE70" s="80">
        <f t="shared" si="51"/>
        <v>0</v>
      </c>
      <c r="CF70" s="80">
        <f t="shared" si="51"/>
        <v>0</v>
      </c>
      <c r="CG70" s="80">
        <f t="shared" si="51"/>
        <v>0</v>
      </c>
      <c r="CH70" s="80">
        <f t="shared" si="51"/>
        <v>0</v>
      </c>
      <c r="CI70" s="80">
        <f t="shared" si="51"/>
        <v>0</v>
      </c>
      <c r="CJ70" s="80">
        <f t="shared" si="51"/>
        <v>0</v>
      </c>
      <c r="CK70" s="80">
        <f t="shared" si="51"/>
        <v>0</v>
      </c>
      <c r="CL70" s="80">
        <f t="shared" si="51"/>
        <v>0</v>
      </c>
      <c r="CM70" s="80">
        <f t="shared" si="51"/>
        <v>0</v>
      </c>
      <c r="CN70" s="80">
        <f t="shared" si="51"/>
        <v>0</v>
      </c>
      <c r="CO70" s="80">
        <f t="shared" si="51"/>
        <v>0</v>
      </c>
      <c r="CP70" s="80">
        <f t="shared" si="51"/>
        <v>0</v>
      </c>
      <c r="CQ70" s="80">
        <f t="shared" si="51"/>
        <v>0</v>
      </c>
      <c r="CR70" s="80">
        <f t="shared" si="51"/>
        <v>0</v>
      </c>
      <c r="CS70" s="80">
        <f t="shared" si="51"/>
        <v>0</v>
      </c>
      <c r="CT70" s="80">
        <f t="shared" si="51"/>
        <v>0</v>
      </c>
      <c r="CU70" s="80">
        <f t="shared" si="51"/>
        <v>0</v>
      </c>
      <c r="CV70" s="80">
        <f t="shared" si="51"/>
        <v>0</v>
      </c>
      <c r="CW70" s="80">
        <f t="shared" si="51"/>
        <v>0</v>
      </c>
      <c r="CX70" s="80">
        <f t="shared" si="51"/>
        <v>0</v>
      </c>
      <c r="CY70" s="80">
        <f t="shared" si="51"/>
        <v>0</v>
      </c>
      <c r="CZ70" s="80">
        <f t="shared" si="51"/>
        <v>0</v>
      </c>
      <c r="DA70" s="80">
        <f t="shared" si="51"/>
        <v>0</v>
      </c>
      <c r="DB70" s="80">
        <f t="shared" si="51"/>
        <v>0</v>
      </c>
      <c r="DC70" s="80">
        <f t="shared" si="51"/>
        <v>0</v>
      </c>
      <c r="DD70" s="80">
        <f t="shared" si="51"/>
        <v>0</v>
      </c>
      <c r="DE70" s="80">
        <f t="shared" si="51"/>
        <v>0</v>
      </c>
      <c r="DF70" s="80">
        <f t="shared" si="51"/>
        <v>0</v>
      </c>
      <c r="DG70" s="80">
        <f t="shared" si="51"/>
        <v>0</v>
      </c>
      <c r="DH70" s="80">
        <f t="shared" si="51"/>
        <v>0</v>
      </c>
      <c r="DI70" s="80">
        <f t="shared" si="51"/>
        <v>0</v>
      </c>
      <c r="DJ70" s="80">
        <f t="shared" si="51"/>
        <v>0</v>
      </c>
      <c r="DK70" s="80">
        <f t="shared" si="51"/>
        <v>0</v>
      </c>
      <c r="DL70" s="80">
        <f t="shared" si="51"/>
        <v>0</v>
      </c>
      <c r="DM70" s="80">
        <f t="shared" si="51"/>
        <v>0</v>
      </c>
      <c r="DN70" s="80">
        <f t="shared" si="51"/>
        <v>0</v>
      </c>
      <c r="DO70" s="80">
        <f t="shared" si="51"/>
        <v>0</v>
      </c>
      <c r="DP70" s="80">
        <f t="shared" si="51"/>
        <v>0</v>
      </c>
      <c r="DQ70" s="80">
        <f t="shared" si="51"/>
        <v>0</v>
      </c>
      <c r="DR70" s="80">
        <f t="shared" si="51"/>
        <v>108138293.88489209</v>
      </c>
      <c r="DS70" s="80">
        <f t="shared" si="51"/>
        <v>0</v>
      </c>
      <c r="DT70" s="80">
        <f t="shared" si="51"/>
        <v>0</v>
      </c>
      <c r="DU70" s="80">
        <f t="shared" si="51"/>
        <v>0</v>
      </c>
      <c r="DV70" s="80">
        <f t="shared" si="51"/>
        <v>0</v>
      </c>
      <c r="DW70" s="80">
        <f t="shared" si="51"/>
        <v>0</v>
      </c>
      <c r="DX70" s="80">
        <f t="shared" si="51"/>
        <v>0</v>
      </c>
      <c r="DY70" s="80">
        <f t="shared" si="51"/>
        <v>0</v>
      </c>
      <c r="DZ70" s="80">
        <f t="shared" si="51"/>
        <v>0</v>
      </c>
      <c r="EA70" s="80">
        <f t="shared" si="51"/>
        <v>0</v>
      </c>
      <c r="EB70" s="80">
        <f t="shared" ref="EB70:ED70" si="52">SUM(EB68:EB69)</f>
        <v>0</v>
      </c>
      <c r="EC70" s="80">
        <f t="shared" si="52"/>
        <v>0</v>
      </c>
      <c r="ED70" s="80">
        <f t="shared" si="52"/>
        <v>0</v>
      </c>
    </row>
    <row r="72" spans="1:134" ht="19.149999999999999" customHeight="1" x14ac:dyDescent="0.4">
      <c r="A72" s="6" t="s">
        <v>52</v>
      </c>
      <c r="B72" s="80">
        <f>IF(B$9&lt;='Redlands Inputs'!$D$15*12,B60+B70+B65,0)</f>
        <v>-68625600</v>
      </c>
      <c r="C72" s="80">
        <f>IF(C$9&lt;='Redlands Inputs'!$D$15*12,C60+C70+C65,0)</f>
        <v>196690</v>
      </c>
      <c r="D72" s="80">
        <f>IF(D$9&lt;='Redlands Inputs'!$D$15*12,D60+D70+D65,0)</f>
        <v>196690</v>
      </c>
      <c r="E72" s="80">
        <f>IF(E$9&lt;='Redlands Inputs'!$D$15*12,E60+E70+E65,0)</f>
        <v>196690</v>
      </c>
      <c r="F72" s="80">
        <f>IF(F$9&lt;='Redlands Inputs'!$D$15*12,F60+F70+F65,0)</f>
        <v>196690</v>
      </c>
      <c r="G72" s="80">
        <f>IF(G$9&lt;='Redlands Inputs'!$D$15*12,G60+G70+G65,0)</f>
        <v>196690</v>
      </c>
      <c r="H72" s="80">
        <f>IF(H$9&lt;='Redlands Inputs'!$D$15*12,H60+H70+H65,0)</f>
        <v>196690</v>
      </c>
      <c r="I72" s="80">
        <f>IF(I$9&lt;='Redlands Inputs'!$D$15*12,I60+I70+I65,0)</f>
        <v>196690</v>
      </c>
      <c r="J72" s="80">
        <f>IF(J$9&lt;='Redlands Inputs'!$D$15*12,J60+J70+J65,0)</f>
        <v>196690</v>
      </c>
      <c r="K72" s="80">
        <f>IF(K$9&lt;='Redlands Inputs'!$D$15*12,K60+K70+K65,0)</f>
        <v>196690</v>
      </c>
      <c r="L72" s="80">
        <f>IF(L$9&lt;='Redlands Inputs'!$D$15*12,L60+L70+L65,0)</f>
        <v>196690</v>
      </c>
      <c r="M72" s="80">
        <f>IF(M$9&lt;='Redlands Inputs'!$D$15*12,M60+M70+M65,0)</f>
        <v>196690</v>
      </c>
      <c r="N72" s="80">
        <f>IF(N$9&lt;='Redlands Inputs'!$D$15*12,N60+N70+N65,0)</f>
        <v>195945</v>
      </c>
      <c r="O72" s="80">
        <f>IF(O$9&lt;='Redlands Inputs'!$D$15*12,O60+O70+O65,0)</f>
        <v>202043</v>
      </c>
      <c r="P72" s="80">
        <f>IF(P$9&lt;='Redlands Inputs'!$D$15*12,P60+P70+P65,0)</f>
        <v>202043</v>
      </c>
      <c r="Q72" s="80">
        <f>IF(Q$9&lt;='Redlands Inputs'!$D$15*12,Q60+Q70+Q65,0)</f>
        <v>202043</v>
      </c>
      <c r="R72" s="80">
        <f>IF(R$9&lt;='Redlands Inputs'!$D$15*12,R60+R70+R65,0)</f>
        <v>202043</v>
      </c>
      <c r="S72" s="80">
        <f>IF(S$9&lt;='Redlands Inputs'!$D$15*12,S60+S70+S65,0)</f>
        <v>202043</v>
      </c>
      <c r="T72" s="80">
        <f>IF(T$9&lt;='Redlands Inputs'!$D$15*12,T60+T70+T65,0)</f>
        <v>202043</v>
      </c>
      <c r="U72" s="80">
        <f>IF(U$9&lt;='Redlands Inputs'!$D$15*12,U60+U70+U65,0)</f>
        <v>202043</v>
      </c>
      <c r="V72" s="80">
        <f>IF(V$9&lt;='Redlands Inputs'!$D$15*12,V60+V70+V65,0)</f>
        <v>202043</v>
      </c>
      <c r="W72" s="80">
        <f>IF(W$9&lt;='Redlands Inputs'!$D$15*12,W60+W70+W65,0)</f>
        <v>202043</v>
      </c>
      <c r="X72" s="80">
        <f>IF(X$9&lt;='Redlands Inputs'!$D$15*12,X60+X70+X65,0)</f>
        <v>202043</v>
      </c>
      <c r="Y72" s="80">
        <f>IF(Y$9&lt;='Redlands Inputs'!$D$15*12,Y60+Y70+Y65,0)</f>
        <v>202043</v>
      </c>
      <c r="Z72" s="80">
        <f>IF(Z$9&lt;='Redlands Inputs'!$D$15*12,Z60+Z70+Z65,0)</f>
        <v>201283</v>
      </c>
      <c r="AA72" s="80">
        <f>IF(AA$9&lt;='Redlands Inputs'!$D$15*12,AA60+AA70+AA65,0)</f>
        <v>207539</v>
      </c>
      <c r="AB72" s="80">
        <f>IF(AB$9&lt;='Redlands Inputs'!$D$15*12,AB60+AB70+AB65,0)</f>
        <v>207539</v>
      </c>
      <c r="AC72" s="80">
        <f>IF(AC$9&lt;='Redlands Inputs'!$D$15*12,AC60+AC70+AC65,0)</f>
        <v>207539</v>
      </c>
      <c r="AD72" s="80">
        <f>IF(AD$9&lt;='Redlands Inputs'!$D$15*12,AD60+AD70+AD65,0)</f>
        <v>207539</v>
      </c>
      <c r="AE72" s="80">
        <f>IF(AE$9&lt;='Redlands Inputs'!$D$15*12,AE60+AE70+AE65,0)</f>
        <v>207539</v>
      </c>
      <c r="AF72" s="80">
        <f>IF(AF$9&lt;='Redlands Inputs'!$D$15*12,AF60+AF70+AF65,0)</f>
        <v>207539</v>
      </c>
      <c r="AG72" s="80">
        <f>IF(AG$9&lt;='Redlands Inputs'!$D$15*12,AG60+AG70+AG65,0)</f>
        <v>207539</v>
      </c>
      <c r="AH72" s="80">
        <f>IF(AH$9&lt;='Redlands Inputs'!$D$15*12,AH60+AH70+AH65,0)</f>
        <v>207539</v>
      </c>
      <c r="AI72" s="80">
        <f>IF(AI$9&lt;='Redlands Inputs'!$D$15*12,AI60+AI70+AI65,0)</f>
        <v>207539</v>
      </c>
      <c r="AJ72" s="80">
        <f>IF(AJ$9&lt;='Redlands Inputs'!$D$15*12,AJ60+AJ70+AJ65,0)</f>
        <v>207539</v>
      </c>
      <c r="AK72" s="80">
        <f>IF(AK$9&lt;='Redlands Inputs'!$D$15*12,AK60+AK70+AK65,0)</f>
        <v>207539</v>
      </c>
      <c r="AL72" s="80">
        <f>IF(AL$9&lt;='Redlands Inputs'!$D$15*12,AL60+AL70+AL65,0)</f>
        <v>206764</v>
      </c>
      <c r="AM72" s="80">
        <f>IF(AM$9&lt;='Redlands Inputs'!$D$15*12,AM60+AM70+AM65,0)</f>
        <v>213181.6</v>
      </c>
      <c r="AN72" s="80">
        <f>IF(AN$9&lt;='Redlands Inputs'!$D$15*12,AN60+AN70+AN65,0)</f>
        <v>213181.6</v>
      </c>
      <c r="AO72" s="80">
        <f>IF(AO$9&lt;='Redlands Inputs'!$D$15*12,AO60+AO70+AO65,0)</f>
        <v>213181.6</v>
      </c>
      <c r="AP72" s="80">
        <f>IF(AP$9&lt;='Redlands Inputs'!$D$15*12,AP60+AP70+AP65,0)</f>
        <v>213181.6</v>
      </c>
      <c r="AQ72" s="80">
        <f>IF(AQ$9&lt;='Redlands Inputs'!$D$15*12,AQ60+AQ70+AQ65,0)</f>
        <v>213181.6</v>
      </c>
      <c r="AR72" s="80">
        <f>IF(AR$9&lt;='Redlands Inputs'!$D$15*12,AR60+AR70+AR65,0)</f>
        <v>213181.6</v>
      </c>
      <c r="AS72" s="80">
        <f>IF(AS$9&lt;='Redlands Inputs'!$D$15*12,AS60+AS70+AS65,0)</f>
        <v>213181.6</v>
      </c>
      <c r="AT72" s="80">
        <f>IF(AT$9&lt;='Redlands Inputs'!$D$15*12,AT60+AT70+AT65,0)</f>
        <v>213181.6</v>
      </c>
      <c r="AU72" s="80">
        <f>IF(AU$9&lt;='Redlands Inputs'!$D$15*12,AU60+AU70+AU65,0)</f>
        <v>213181.6</v>
      </c>
      <c r="AV72" s="80">
        <f>IF(AV$9&lt;='Redlands Inputs'!$D$15*12,AV60+AV70+AV65,0)</f>
        <v>213181.6</v>
      </c>
      <c r="AW72" s="80">
        <f>IF(AW$9&lt;='Redlands Inputs'!$D$15*12,AW60+AW70+AW65,0)</f>
        <v>213181.6</v>
      </c>
      <c r="AX72" s="80">
        <f>IF(AX$9&lt;='Redlands Inputs'!$D$15*12,AX60+AX70+AX65,0)</f>
        <v>212390.6</v>
      </c>
      <c r="AY72" s="80">
        <f>IF(AY$9&lt;='Redlands Inputs'!$D$15*12,AY60+AY70+AY65,0)</f>
        <v>218973.39199999999</v>
      </c>
      <c r="AZ72" s="80">
        <f>IF(AZ$9&lt;='Redlands Inputs'!$D$15*12,AZ60+AZ70+AZ65,0)</f>
        <v>218973.39199999999</v>
      </c>
      <c r="BA72" s="80">
        <f>IF(BA$9&lt;='Redlands Inputs'!$D$15*12,BA60+BA70+BA65,0)</f>
        <v>218973.39199999999</v>
      </c>
      <c r="BB72" s="80">
        <f>IF(BB$9&lt;='Redlands Inputs'!$D$15*12,BB60+BB70+BB65,0)</f>
        <v>218973.39199999999</v>
      </c>
      <c r="BC72" s="80">
        <f>IF(BC$9&lt;='Redlands Inputs'!$D$15*12,BC60+BC70+BC65,0)</f>
        <v>218973.39199999999</v>
      </c>
      <c r="BD72" s="80">
        <f>IF(BD$9&lt;='Redlands Inputs'!$D$15*12,BD60+BD70+BD65,0)</f>
        <v>218973.39199999999</v>
      </c>
      <c r="BE72" s="80">
        <f>IF(BE$9&lt;='Redlands Inputs'!$D$15*12,BE60+BE70+BE65,0)</f>
        <v>218973.39199999999</v>
      </c>
      <c r="BF72" s="80">
        <f>IF(BF$9&lt;='Redlands Inputs'!$D$15*12,BF60+BF70+BF65,0)</f>
        <v>218973.39199999999</v>
      </c>
      <c r="BG72" s="80">
        <f>IF(BG$9&lt;='Redlands Inputs'!$D$15*12,BG60+BG70+BG65,0)</f>
        <v>218973.39199999999</v>
      </c>
      <c r="BH72" s="80">
        <f>IF(BH$9&lt;='Redlands Inputs'!$D$15*12,BH60+BH70+BH65,0)</f>
        <v>218973.39199999999</v>
      </c>
      <c r="BI72" s="80">
        <f>IF(BI$9&lt;='Redlands Inputs'!$D$15*12,BI60+BI70+BI65,0)</f>
        <v>218973.39199999999</v>
      </c>
      <c r="BJ72" s="80">
        <f>IF(BJ$9&lt;='Redlands Inputs'!$D$15*12,BJ60+BJ70+BJ65,0)</f>
        <v>218167.39199999999</v>
      </c>
      <c r="BK72" s="80">
        <f>IF(BK$9&lt;='Redlands Inputs'!$D$15*12,BK60+BK70+BK65,0)</f>
        <v>224919.95984</v>
      </c>
      <c r="BL72" s="80">
        <f>IF(BL$9&lt;='Redlands Inputs'!$D$15*12,BL60+BL70+BL65,0)</f>
        <v>224919.95984</v>
      </c>
      <c r="BM72" s="80">
        <f>IF(BM$9&lt;='Redlands Inputs'!$D$15*12,BM60+BM70+BM65,0)</f>
        <v>224919.95984</v>
      </c>
      <c r="BN72" s="80">
        <f>IF(BN$9&lt;='Redlands Inputs'!$D$15*12,BN60+BN70+BN65,0)</f>
        <v>224919.95984</v>
      </c>
      <c r="BO72" s="80">
        <f>IF(BO$9&lt;='Redlands Inputs'!$D$15*12,BO60+BO70+BO65,0)</f>
        <v>224919.95984</v>
      </c>
      <c r="BP72" s="80">
        <f>IF(BP$9&lt;='Redlands Inputs'!$D$15*12,BP60+BP70+BP65,0)</f>
        <v>224919.95984</v>
      </c>
      <c r="BQ72" s="80">
        <f>IF(BQ$9&lt;='Redlands Inputs'!$D$15*12,BQ60+BQ70+BQ65,0)</f>
        <v>224919.95984</v>
      </c>
      <c r="BR72" s="80">
        <f>IF(BR$9&lt;='Redlands Inputs'!$D$15*12,BR60+BR70+BR65,0)</f>
        <v>224919.95984</v>
      </c>
      <c r="BS72" s="80">
        <f>IF(BS$9&lt;='Redlands Inputs'!$D$15*12,BS60+BS70+BS65,0)</f>
        <v>224919.95984</v>
      </c>
      <c r="BT72" s="80">
        <f>IF(BT$9&lt;='Redlands Inputs'!$D$15*12,BT60+BT70+BT65,0)</f>
        <v>224919.95984</v>
      </c>
      <c r="BU72" s="80">
        <f>IF(BU$9&lt;='Redlands Inputs'!$D$15*12,BU60+BU70+BU65,0)</f>
        <v>224919.95984</v>
      </c>
      <c r="BV72" s="80">
        <f>IF(BV$9&lt;='Redlands Inputs'!$D$15*12,BV60+BV70+BV65,0)</f>
        <v>224097.95984</v>
      </c>
      <c r="BW72" s="80">
        <f>IF(BW$9&lt;='Redlands Inputs'!$D$15*12,BW60+BW70+BW65,0)</f>
        <v>231024.8790368</v>
      </c>
      <c r="BX72" s="80">
        <f>IF(BX$9&lt;='Redlands Inputs'!$D$15*12,BX60+BX70+BX65,0)</f>
        <v>231024.8790368</v>
      </c>
      <c r="BY72" s="80">
        <f>IF(BY$9&lt;='Redlands Inputs'!$D$15*12,BY60+BY70+BY65,0)</f>
        <v>231024.8790368</v>
      </c>
      <c r="BZ72" s="80">
        <f>IF(BZ$9&lt;='Redlands Inputs'!$D$15*12,BZ60+BZ70+BZ65,0)</f>
        <v>231024.8790368</v>
      </c>
      <c r="CA72" s="80">
        <f>IF(CA$9&lt;='Redlands Inputs'!$D$15*12,CA60+CA70+CA65,0)</f>
        <v>231024.8790368</v>
      </c>
      <c r="CB72" s="80">
        <f>IF(CB$9&lt;='Redlands Inputs'!$D$15*12,CB60+CB70+CB65,0)</f>
        <v>231024.8790368</v>
      </c>
      <c r="CC72" s="80">
        <f>IF(CC$9&lt;='Redlands Inputs'!$D$15*12,CC60+CC70+CC65,0)</f>
        <v>231024.8790368</v>
      </c>
      <c r="CD72" s="80">
        <f>IF(CD$9&lt;='Redlands Inputs'!$D$15*12,CD60+CD70+CD65,0)</f>
        <v>231024.8790368</v>
      </c>
      <c r="CE72" s="80">
        <f>IF(CE$9&lt;='Redlands Inputs'!$D$15*12,CE60+CE70+CE65,0)</f>
        <v>231024.8790368</v>
      </c>
      <c r="CF72" s="80">
        <f>IF(CF$9&lt;='Redlands Inputs'!$D$15*12,CF60+CF70+CF65,0)</f>
        <v>231024.8790368</v>
      </c>
      <c r="CG72" s="80">
        <f>IF(CG$9&lt;='Redlands Inputs'!$D$15*12,CG60+CG70+CG65,0)</f>
        <v>231024.8790368</v>
      </c>
      <c r="CH72" s="80">
        <f>IF(CH$9&lt;='Redlands Inputs'!$D$15*12,CH60+CH70+CH65,0)</f>
        <v>229245.8790368</v>
      </c>
      <c r="CI72" s="80">
        <f>IF(CI$9&lt;='Redlands Inputs'!$D$15*12,CI60+CI70+CI65,0)</f>
        <v>-115464.283382464</v>
      </c>
      <c r="CJ72" s="80">
        <f>IF(CJ$9&lt;='Redlands Inputs'!$D$15*12,CJ60+CJ70+CJ65,0)</f>
        <v>-1849464.283382464</v>
      </c>
      <c r="CK72" s="80">
        <f>IF(CK$9&lt;='Redlands Inputs'!$D$15*12,CK60+CK70+CK65,0)</f>
        <v>125245.716617536</v>
      </c>
      <c r="CL72" s="80">
        <f>IF(CL$9&lt;='Redlands Inputs'!$D$15*12,CL60+CL70+CL65,0)</f>
        <v>464820.71661753603</v>
      </c>
      <c r="CM72" s="80">
        <f>IF(CM$9&lt;='Redlands Inputs'!$D$15*12,CM60+CM70+CM65,0)</f>
        <v>464820.71661753603</v>
      </c>
      <c r="CN72" s="80">
        <f>IF(CN$9&lt;='Redlands Inputs'!$D$15*12,CN60+CN70+CN65,0)</f>
        <v>464820.71661753603</v>
      </c>
      <c r="CO72" s="80">
        <f>IF(CO$9&lt;='Redlands Inputs'!$D$15*12,CO60+CO70+CO65,0)</f>
        <v>464820.71661753603</v>
      </c>
      <c r="CP72" s="80">
        <f>IF(CP$9&lt;='Redlands Inputs'!$D$15*12,CP60+CP70+CP65,0)</f>
        <v>464820.71661753603</v>
      </c>
      <c r="CQ72" s="80">
        <f>IF(CQ$9&lt;='Redlands Inputs'!$D$15*12,CQ60+CQ70+CQ65,0)</f>
        <v>464820.71661753603</v>
      </c>
      <c r="CR72" s="80">
        <f>IF(CR$9&lt;='Redlands Inputs'!$D$15*12,CR60+CR70+CR65,0)</f>
        <v>464820.71661753603</v>
      </c>
      <c r="CS72" s="80">
        <f>IF(CS$9&lt;='Redlands Inputs'!$D$15*12,CS60+CS70+CS65,0)</f>
        <v>464820.71661753603</v>
      </c>
      <c r="CT72" s="80">
        <f>IF(CT$9&lt;='Redlands Inputs'!$D$15*12,CT60+CT70+CT65,0)</f>
        <v>464904.71661753603</v>
      </c>
      <c r="CU72" s="80">
        <f>IF(CU$9&lt;='Redlands Inputs'!$D$15*12,CU60+CU70+CU65,0)</f>
        <v>463756.03094988671</v>
      </c>
      <c r="CV72" s="80">
        <f>IF(CV$9&lt;='Redlands Inputs'!$D$15*12,CV60+CV70+CV65,0)</f>
        <v>463756.03094988671</v>
      </c>
      <c r="CW72" s="80">
        <f>IF(CW$9&lt;='Redlands Inputs'!$D$15*12,CW60+CW70+CW65,0)</f>
        <v>477905.03094988671</v>
      </c>
      <c r="CX72" s="80">
        <f>IF(CX$9&lt;='Redlands Inputs'!$D$15*12,CX60+CX70+CX65,0)</f>
        <v>477905.03094988671</v>
      </c>
      <c r="CY72" s="80">
        <f>IF(CY$9&lt;='Redlands Inputs'!$D$15*12,CY60+CY70+CY65,0)</f>
        <v>477905.03094988671</v>
      </c>
      <c r="CZ72" s="80">
        <f>IF(CZ$9&lt;='Redlands Inputs'!$D$15*12,CZ60+CZ70+CZ65,0)</f>
        <v>477905.03094988671</v>
      </c>
      <c r="DA72" s="80">
        <f>IF(DA$9&lt;='Redlands Inputs'!$D$15*12,DA60+DA70+DA65,0)</f>
        <v>477905.03094988671</v>
      </c>
      <c r="DB72" s="80">
        <f>IF(DB$9&lt;='Redlands Inputs'!$D$15*12,DB60+DB70+DB65,0)</f>
        <v>477905.03094988671</v>
      </c>
      <c r="DC72" s="80">
        <f>IF(DC$9&lt;='Redlands Inputs'!$D$15*12,DC60+DC70+DC65,0)</f>
        <v>477905.03094988671</v>
      </c>
      <c r="DD72" s="80">
        <f>IF(DD$9&lt;='Redlands Inputs'!$D$15*12,DD60+DD70+DD65,0)</f>
        <v>477905.03094988671</v>
      </c>
      <c r="DE72" s="80">
        <f>IF(DE$9&lt;='Redlands Inputs'!$D$15*12,DE60+DE70+DE65,0)</f>
        <v>477905.03094988671</v>
      </c>
      <c r="DF72" s="80">
        <f>IF(DF$9&lt;='Redlands Inputs'!$D$15*12,DF60+DF70+DF65,0)</f>
        <v>477033.03094988671</v>
      </c>
      <c r="DG72" s="80">
        <f>IF(DG$9&lt;='Redlands Inputs'!$D$15*12,DG60+DG70+DG65,0)</f>
        <v>475861.37156888447</v>
      </c>
      <c r="DH72" s="80">
        <f>IF(DH$9&lt;='Redlands Inputs'!$D$15*12,DH60+DH70+DH65,0)</f>
        <v>475861.37156888447</v>
      </c>
      <c r="DI72" s="80">
        <f>IF(DI$9&lt;='Redlands Inputs'!$D$15*12,DI60+DI70+DI65,0)</f>
        <v>490364.37156888447</v>
      </c>
      <c r="DJ72" s="80">
        <f>IF(DJ$9&lt;='Redlands Inputs'!$D$15*12,DJ60+DJ70+DJ65,0)</f>
        <v>490364.37156888447</v>
      </c>
      <c r="DK72" s="80">
        <f>IF(DK$9&lt;='Redlands Inputs'!$D$15*12,DK60+DK70+DK65,0)</f>
        <v>490364.37156888447</v>
      </c>
      <c r="DL72" s="80">
        <f>IF(DL$9&lt;='Redlands Inputs'!$D$15*12,DL60+DL70+DL65,0)</f>
        <v>490364.37156888447</v>
      </c>
      <c r="DM72" s="80">
        <f>IF(DM$9&lt;='Redlands Inputs'!$D$15*12,DM60+DM70+DM65,0)</f>
        <v>490364.37156888447</v>
      </c>
      <c r="DN72" s="80">
        <f>IF(DN$9&lt;='Redlands Inputs'!$D$15*12,DN60+DN70+DN65,0)</f>
        <v>490364.37156888447</v>
      </c>
      <c r="DO72" s="80">
        <f>IF(DO$9&lt;='Redlands Inputs'!$D$15*12,DO60+DO70+DO65,0)</f>
        <v>490364.37156888447</v>
      </c>
      <c r="DP72" s="80">
        <f>IF(DP$9&lt;='Redlands Inputs'!$D$15*12,DP60+DP70+DP65,0)</f>
        <v>490364.37156888447</v>
      </c>
      <c r="DQ72" s="80">
        <f>IF(DQ$9&lt;='Redlands Inputs'!$D$15*12,DQ60+DQ70+DQ65,0)</f>
        <v>490364.37156888447</v>
      </c>
      <c r="DR72" s="80">
        <f>IF(DR$9&lt;='Redlands Inputs'!$D$15*12,DR60+DR70+DR65,0)</f>
        <v>108627768.25646098</v>
      </c>
      <c r="DS72" s="80">
        <f>IF(DS$9&lt;='Redlands Inputs'!$D$15*12,DS60+DS70+DS65,0)</f>
        <v>0</v>
      </c>
      <c r="DT72" s="80">
        <f>IF(DT$9&lt;='Redlands Inputs'!$D$15*12,DT60+DT70+DT65,0)</f>
        <v>0</v>
      </c>
      <c r="DU72" s="80">
        <f>IF(DU$9&lt;='Redlands Inputs'!$D$15*12,DU60+DU70+DU65,0)</f>
        <v>0</v>
      </c>
      <c r="DV72" s="80">
        <f>IF(DV$9&lt;='Redlands Inputs'!$D$15*12,DV60+DV70+DV65,0)</f>
        <v>0</v>
      </c>
      <c r="DW72" s="80">
        <f>IF(DW$9&lt;='Redlands Inputs'!$D$15*12,DW60+DW70+DW65,0)</f>
        <v>0</v>
      </c>
      <c r="DX72" s="80">
        <f>IF(DX$9&lt;='Redlands Inputs'!$D$15*12,DX60+DX70+DX65,0)</f>
        <v>0</v>
      </c>
      <c r="DY72" s="80">
        <f>IF(DY$9&lt;='Redlands Inputs'!$D$15*12,DY60+DY70+DY65,0)</f>
        <v>0</v>
      </c>
      <c r="DZ72" s="80">
        <f>IF(DZ$9&lt;='Redlands Inputs'!$D$15*12,DZ60+DZ70+DZ65,0)</f>
        <v>0</v>
      </c>
      <c r="EA72" s="80">
        <f>IF(EA$9&lt;='Redlands Inputs'!$D$15*12,EA60+EA70+EA65,0)</f>
        <v>0</v>
      </c>
      <c r="EB72" s="80">
        <f>IF(EB$9&lt;='Redlands Inputs'!$D$15*12,EB60+EB70+EB65,0)</f>
        <v>0</v>
      </c>
      <c r="EC72" s="80">
        <f>IF(EC$9&lt;='Redlands Inputs'!$D$15*12,EC60+EC70+EC65,0)</f>
        <v>0</v>
      </c>
      <c r="ED72" s="80">
        <f>IF(ED$9&lt;='Redlands Inputs'!$D$15*12,ED60+ED70+ED65,0)</f>
        <v>0</v>
      </c>
    </row>
    <row r="74" spans="1:134" ht="19.149999999999999" customHeight="1" x14ac:dyDescent="0.45">
      <c r="A74" s="5" t="s">
        <v>53</v>
      </c>
      <c r="B74" s="96">
        <f>XIRR(B72:ED72,B10:ED10)</f>
        <v>7.5530967116355888E-2</v>
      </c>
      <c r="D74" s="186"/>
    </row>
    <row r="75" spans="1:134" ht="19.149999999999999" customHeight="1" x14ac:dyDescent="0.45">
      <c r="A75" s="5" t="s">
        <v>54</v>
      </c>
      <c r="B75" s="97">
        <f>SUMIF(B72:ED72,"&gt;0")/-SUMIF(B72:ED72,"&lt;0")</f>
        <v>2.0106544565334019</v>
      </c>
    </row>
  </sheetData>
  <pageMargins left="0.15999999642372131" right="0.15999999642372131" top="0.40000000596046448" bottom="0.31999999284744263" header="0.3" footer="0.3"/>
  <pageSetup orientation="landscape" errors="blank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DE7A-7A8E-4152-B25E-158F273A26E9}">
  <sheetPr>
    <tabColor rgb="FFC00000"/>
  </sheetPr>
  <dimension ref="A2:Q44"/>
  <sheetViews>
    <sheetView showGridLines="0" zoomScale="82" workbookViewId="0">
      <selection activeCell="D16" sqref="D16"/>
    </sheetView>
  </sheetViews>
  <sheetFormatPr defaultColWidth="9" defaultRowHeight="16.5" x14ac:dyDescent="0.6"/>
  <cols>
    <col min="1" max="1" width="12.73046875" style="1" bestFit="1" customWidth="1"/>
    <col min="2" max="2" width="23.86328125" style="1" bestFit="1" customWidth="1"/>
    <col min="3" max="3" width="17" bestFit="1" customWidth="1"/>
    <col min="4" max="4" width="17" style="12" bestFit="1" customWidth="1"/>
    <col min="5" max="7" width="15" style="1" bestFit="1" customWidth="1"/>
    <col min="8" max="8" width="14.73046875" style="1" customWidth="1"/>
    <col min="9" max="9" width="10.73046875" style="1" bestFit="1" customWidth="1"/>
    <col min="10" max="10" width="10.59765625" style="1" bestFit="1" customWidth="1"/>
    <col min="11" max="11" width="13" style="1" customWidth="1"/>
    <col min="12" max="12" width="11.265625" style="1" bestFit="1" customWidth="1"/>
    <col min="13" max="13" width="12.265625" style="1" bestFit="1" customWidth="1"/>
    <col min="14" max="14" width="12" style="1" customWidth="1"/>
    <col min="15" max="16" width="17.3984375" style="1" bestFit="1" customWidth="1"/>
    <col min="17" max="17" width="14.73046875" style="1" bestFit="1" customWidth="1"/>
    <col min="18" max="16384" width="9" style="1"/>
  </cols>
  <sheetData>
    <row r="2" spans="2:17" x14ac:dyDescent="0.6">
      <c r="B2" s="359" t="s">
        <v>55</v>
      </c>
      <c r="C2" s="360"/>
      <c r="D2" s="361"/>
      <c r="F2" s="362" t="s">
        <v>56</v>
      </c>
      <c r="G2" s="363"/>
      <c r="H2" s="364" t="s">
        <v>57</v>
      </c>
      <c r="I2" s="365"/>
      <c r="J2" s="366" t="s">
        <v>58</v>
      </c>
      <c r="K2" s="366" t="s">
        <v>59</v>
      </c>
      <c r="L2" s="367" t="s">
        <v>60</v>
      </c>
    </row>
    <row r="3" spans="2:17" x14ac:dyDescent="0.6">
      <c r="B3" s="81" t="s">
        <v>61</v>
      </c>
      <c r="C3" s="82"/>
      <c r="D3" s="83" t="s">
        <v>62</v>
      </c>
      <c r="F3" s="15" t="s">
        <v>19</v>
      </c>
      <c r="H3" s="22">
        <f>I3/12</f>
        <v>3750</v>
      </c>
      <c r="I3" s="34">
        <v>45000</v>
      </c>
      <c r="J3" s="30">
        <v>0.25</v>
      </c>
      <c r="K3" s="30">
        <v>1</v>
      </c>
      <c r="L3" s="46">
        <f>'Redlands Pro Forma'!$C$3</f>
        <v>2.5000000000000001E-2</v>
      </c>
    </row>
    <row r="4" spans="2:17" ht="14.25" customHeight="1" x14ac:dyDescent="0.6">
      <c r="B4" s="84" t="s">
        <v>63</v>
      </c>
      <c r="D4" s="85" t="s">
        <v>64</v>
      </c>
      <c r="F4" s="15" t="s">
        <v>20</v>
      </c>
      <c r="H4" s="22">
        <f>I4/12</f>
        <v>3750</v>
      </c>
      <c r="I4" s="34">
        <v>45000</v>
      </c>
      <c r="J4" s="30">
        <v>0.25</v>
      </c>
      <c r="K4" s="30">
        <v>1</v>
      </c>
      <c r="L4" s="46">
        <f>'Redlands Pro Forma'!$C$3</f>
        <v>2.5000000000000001E-2</v>
      </c>
    </row>
    <row r="5" spans="2:17" x14ac:dyDescent="0.6">
      <c r="B5" s="84" t="s">
        <v>65</v>
      </c>
      <c r="D5" s="85">
        <v>2013</v>
      </c>
      <c r="F5" s="15" t="s">
        <v>21</v>
      </c>
      <c r="H5" s="22">
        <f>I5/12</f>
        <v>1666.6666666666667</v>
      </c>
      <c r="I5" s="34">
        <v>20000</v>
      </c>
      <c r="J5" s="30">
        <v>1</v>
      </c>
      <c r="K5" s="30">
        <v>1</v>
      </c>
      <c r="L5" s="46">
        <f>'Redlands Pro Forma'!$C$3</f>
        <v>2.5000000000000001E-2</v>
      </c>
    </row>
    <row r="6" spans="2:17" ht="14.25" customHeight="1" x14ac:dyDescent="0.6">
      <c r="B6" s="84" t="s">
        <v>66</v>
      </c>
      <c r="D6" s="85" t="s">
        <v>67</v>
      </c>
      <c r="F6" s="15" t="s">
        <v>22</v>
      </c>
      <c r="H6" s="22">
        <f>J6/12</f>
        <v>61673.333333333336</v>
      </c>
      <c r="I6" s="41">
        <v>1.0999999999999999E-2</v>
      </c>
      <c r="J6" s="34">
        <f>I6*D8</f>
        <v>740080</v>
      </c>
      <c r="K6" s="30">
        <v>1</v>
      </c>
      <c r="L6" s="47">
        <v>0.02</v>
      </c>
    </row>
    <row r="7" spans="2:17" x14ac:dyDescent="0.6">
      <c r="B7" s="84" t="s">
        <v>68</v>
      </c>
      <c r="D7" s="86">
        <v>600000</v>
      </c>
      <c r="F7" s="33" t="s">
        <v>69</v>
      </c>
      <c r="H7" s="22">
        <f>150000/12</f>
        <v>12500</v>
      </c>
      <c r="I7" s="98"/>
      <c r="J7" s="31"/>
      <c r="K7" s="30"/>
      <c r="L7" s="27"/>
    </row>
    <row r="8" spans="2:17" x14ac:dyDescent="0.6">
      <c r="B8" s="84" t="s">
        <v>46</v>
      </c>
      <c r="D8" s="87">
        <f>ROUND(D16/D10,-4)</f>
        <v>67280000</v>
      </c>
      <c r="F8" s="15" t="s">
        <v>32</v>
      </c>
      <c r="H8" s="34"/>
      <c r="I8" s="98" t="s">
        <v>70</v>
      </c>
      <c r="J8" s="31"/>
      <c r="K8" s="30">
        <v>0</v>
      </c>
      <c r="L8" s="28"/>
    </row>
    <row r="9" spans="2:17" x14ac:dyDescent="0.6">
      <c r="B9" s="88" t="s">
        <v>71</v>
      </c>
      <c r="C9" s="95">
        <f>D8*D9</f>
        <v>1345600</v>
      </c>
      <c r="D9" s="89">
        <v>0.02</v>
      </c>
      <c r="F9" s="23" t="s">
        <v>72</v>
      </c>
      <c r="G9" s="24"/>
      <c r="H9" s="34"/>
      <c r="I9" s="4"/>
      <c r="J9" s="31"/>
      <c r="K9" s="31"/>
      <c r="L9" s="28"/>
    </row>
    <row r="10" spans="2:17" x14ac:dyDescent="0.6">
      <c r="B10" s="84" t="s">
        <v>73</v>
      </c>
      <c r="D10" s="90">
        <v>5.4100000000000002E-2</v>
      </c>
      <c r="F10" s="21" t="s">
        <v>41</v>
      </c>
      <c r="G10" s="25"/>
      <c r="H10" s="26">
        <f>(I10*D7)/12</f>
        <v>50000</v>
      </c>
      <c r="I10" s="99">
        <v>1</v>
      </c>
      <c r="J10" s="32"/>
      <c r="K10" s="32"/>
      <c r="L10" s="29">
        <v>0.02</v>
      </c>
    </row>
    <row r="11" spans="2:17" x14ac:dyDescent="0.6">
      <c r="B11" s="84" t="s">
        <v>74</v>
      </c>
      <c r="D11" s="89">
        <v>0.1</v>
      </c>
    </row>
    <row r="12" spans="2:17" x14ac:dyDescent="0.6">
      <c r="B12" s="84" t="s">
        <v>75</v>
      </c>
      <c r="C12" s="95">
        <f>SUMIF(_xlfn.ANCHORARRAY('Redlands Pro Forma'!$C$9),"&gt;120",'Redlands Pro Forma'!$C$46:$ED$46)/'Redlands Inputs'!$D$12</f>
        <v>110345197.84172663</v>
      </c>
      <c r="D12" s="90">
        <v>5.5599999999999997E-2</v>
      </c>
      <c r="F12" s="42" t="s">
        <v>76</v>
      </c>
      <c r="G12" s="100" t="s">
        <v>77</v>
      </c>
    </row>
    <row r="13" spans="2:17" x14ac:dyDescent="0.6">
      <c r="B13" s="84" t="s">
        <v>47</v>
      </c>
      <c r="C13" s="95">
        <f>C12*D13</f>
        <v>2206903.9568345328</v>
      </c>
      <c r="D13" s="89">
        <v>0.02</v>
      </c>
    </row>
    <row r="14" spans="2:17" x14ac:dyDescent="0.6">
      <c r="B14" s="84" t="s">
        <v>78</v>
      </c>
      <c r="D14" s="91">
        <v>45658</v>
      </c>
      <c r="F14" s="359" t="s">
        <v>79</v>
      </c>
      <c r="G14" s="368"/>
      <c r="H14" s="368"/>
      <c r="I14" s="368"/>
      <c r="J14" s="368"/>
      <c r="K14" s="369"/>
    </row>
    <row r="15" spans="2:17" x14ac:dyDescent="0.6">
      <c r="B15" s="84" t="s">
        <v>80</v>
      </c>
      <c r="D15" s="86">
        <v>10</v>
      </c>
      <c r="F15" s="54" t="s">
        <v>81</v>
      </c>
      <c r="G15" s="55" t="s">
        <v>82</v>
      </c>
      <c r="H15" s="56" t="s">
        <v>83</v>
      </c>
      <c r="I15" s="57" t="s">
        <v>84</v>
      </c>
      <c r="J15" s="58"/>
      <c r="K15" s="188" t="s">
        <v>85</v>
      </c>
      <c r="L15"/>
      <c r="M15"/>
      <c r="N15"/>
      <c r="O15"/>
      <c r="P15"/>
      <c r="Q15"/>
    </row>
    <row r="16" spans="2:17" x14ac:dyDescent="0.6">
      <c r="B16" s="92" t="s">
        <v>86</v>
      </c>
      <c r="C16" s="93"/>
      <c r="D16" s="94">
        <f>(3900000-260000)</f>
        <v>3640000</v>
      </c>
      <c r="F16" s="59" t="s">
        <v>87</v>
      </c>
      <c r="H16" s="60" t="s">
        <v>88</v>
      </c>
      <c r="I16" s="61" t="s">
        <v>76</v>
      </c>
      <c r="J16" s="45"/>
      <c r="K16" s="189" t="str">
        <f>+G12</f>
        <v>Vacate</v>
      </c>
      <c r="L16"/>
      <c r="M16"/>
      <c r="N16"/>
      <c r="O16"/>
      <c r="P16"/>
      <c r="Q16"/>
    </row>
    <row r="17" spans="2:12" x14ac:dyDescent="0.6">
      <c r="D17" s="13"/>
      <c r="F17" s="15" t="s">
        <v>89</v>
      </c>
      <c r="H17" s="35">
        <v>600000</v>
      </c>
      <c r="I17" s="1" t="s">
        <v>90</v>
      </c>
      <c r="K17" s="187">
        <f>(D22*market_rent)+(H21*(1-D22))</f>
        <v>8.1404999999999994</v>
      </c>
      <c r="L17" s="45"/>
    </row>
    <row r="18" spans="2:12" x14ac:dyDescent="0.6">
      <c r="D18" s="13"/>
      <c r="F18" s="15" t="s">
        <v>91</v>
      </c>
      <c r="H18" s="73">
        <v>44593</v>
      </c>
      <c r="I18" s="1" t="s">
        <v>92</v>
      </c>
      <c r="K18" s="62">
        <f>D22*D23+((1-D22)*0)</f>
        <v>0.7</v>
      </c>
      <c r="L18" s="45"/>
    </row>
    <row r="19" spans="2:12" x14ac:dyDescent="0.6">
      <c r="B19" s="359" t="s">
        <v>93</v>
      </c>
      <c r="C19" s="360"/>
      <c r="D19" s="371"/>
      <c r="F19" s="15" t="s">
        <v>94</v>
      </c>
      <c r="H19" s="63">
        <v>10</v>
      </c>
      <c r="I19" s="64"/>
      <c r="J19" s="45"/>
      <c r="K19" s="37"/>
      <c r="L19" s="45"/>
    </row>
    <row r="20" spans="2:12" x14ac:dyDescent="0.6">
      <c r="B20" s="44" t="s">
        <v>95</v>
      </c>
      <c r="C20" s="372" t="s">
        <v>96</v>
      </c>
      <c r="D20" s="373">
        <f>H17</f>
        <v>600000</v>
      </c>
      <c r="F20" s="15" t="s">
        <v>97</v>
      </c>
      <c r="H20" s="74">
        <f>EOMONTH(H18,(H19*12)-1)</f>
        <v>48244</v>
      </c>
      <c r="I20" s="64"/>
      <c r="J20" s="45"/>
      <c r="K20" s="37"/>
      <c r="L20" s="45"/>
    </row>
    <row r="21" spans="2:12" x14ac:dyDescent="0.6">
      <c r="B21" s="15" t="s">
        <v>98</v>
      </c>
      <c r="D21" s="17">
        <v>7</v>
      </c>
      <c r="F21" s="15" t="s">
        <v>99</v>
      </c>
      <c r="G21" s="22">
        <f>(H21*H17)/12</f>
        <v>306750</v>
      </c>
      <c r="H21" s="65">
        <v>6.1349999999999998</v>
      </c>
      <c r="I21" s="64"/>
      <c r="J21" s="45"/>
      <c r="K21" s="37"/>
      <c r="L21" s="45"/>
    </row>
    <row r="22" spans="2:12" x14ac:dyDescent="0.6">
      <c r="B22" s="15" t="s">
        <v>100</v>
      </c>
      <c r="D22" s="16">
        <v>0.7</v>
      </c>
      <c r="F22" s="15" t="s">
        <v>101</v>
      </c>
      <c r="G22" s="22">
        <f>(H22*H17)/12</f>
        <v>324988.80856044823</v>
      </c>
      <c r="H22" s="66">
        <f>H21*(1+H23)^(YEARFRAC(H18,D14))</f>
        <v>6.499776171208965</v>
      </c>
      <c r="I22" s="64"/>
      <c r="J22" s="45"/>
      <c r="K22" s="37"/>
      <c r="L22" s="45"/>
    </row>
    <row r="23" spans="2:12" x14ac:dyDescent="0.6">
      <c r="B23" s="15" t="s">
        <v>102</v>
      </c>
      <c r="D23" s="17">
        <v>1</v>
      </c>
      <c r="F23" s="15" t="s">
        <v>103</v>
      </c>
      <c r="H23" s="67">
        <v>0.02</v>
      </c>
      <c r="I23" s="64"/>
      <c r="J23" s="45"/>
      <c r="K23" s="37"/>
      <c r="L23" s="45"/>
    </row>
    <row r="24" spans="2:12" x14ac:dyDescent="0.6">
      <c r="B24" s="15" t="s">
        <v>104</v>
      </c>
      <c r="D24" s="37">
        <f>EDATE(H20,D23)</f>
        <v>48273</v>
      </c>
      <c r="F24" s="68" t="s">
        <v>105</v>
      </c>
      <c r="G24" s="25"/>
      <c r="H24" s="69" t="s">
        <v>106</v>
      </c>
      <c r="I24" s="70"/>
      <c r="J24" s="71"/>
      <c r="K24" s="72"/>
      <c r="L24" s="45"/>
    </row>
    <row r="25" spans="2:12" x14ac:dyDescent="0.6">
      <c r="B25" s="15" t="s">
        <v>107</v>
      </c>
      <c r="D25" s="17">
        <v>9</v>
      </c>
    </row>
    <row r="26" spans="2:12" x14ac:dyDescent="0.6">
      <c r="B26" s="15" t="s">
        <v>99</v>
      </c>
      <c r="C26" s="78">
        <f>D26/12</f>
        <v>450000</v>
      </c>
      <c r="D26" s="301">
        <f>market_rent*D20</f>
        <v>5400000</v>
      </c>
    </row>
    <row r="27" spans="2:12" x14ac:dyDescent="0.6">
      <c r="B27" s="15" t="s">
        <v>108</v>
      </c>
      <c r="D27" s="18" t="s">
        <v>106</v>
      </c>
      <c r="F27" s="359" t="s">
        <v>109</v>
      </c>
      <c r="G27" s="368"/>
      <c r="H27" s="370" t="s">
        <v>57</v>
      </c>
      <c r="I27"/>
    </row>
    <row r="28" spans="2:12" x14ac:dyDescent="0.6">
      <c r="B28" s="21" t="s">
        <v>110</v>
      </c>
      <c r="C28" s="374"/>
      <c r="D28" s="375">
        <v>2.5000000000000001E-2</v>
      </c>
      <c r="F28" s="14" t="s">
        <v>19</v>
      </c>
      <c r="G28" s="43"/>
      <c r="H28" s="75">
        <f>'Redlands Pro Forma'!$C39</f>
        <v>3750</v>
      </c>
      <c r="I28"/>
    </row>
    <row r="29" spans="2:12" x14ac:dyDescent="0.6">
      <c r="B29" s="15" t="s">
        <v>111</v>
      </c>
      <c r="D29" s="17">
        <v>2</v>
      </c>
      <c r="F29" s="15" t="s">
        <v>20</v>
      </c>
      <c r="H29" s="76">
        <f>'Redlands Pro Forma'!$C40</f>
        <v>3750</v>
      </c>
      <c r="I29"/>
    </row>
    <row r="30" spans="2:12" x14ac:dyDescent="0.6">
      <c r="B30" s="15" t="s">
        <v>36</v>
      </c>
      <c r="D30" s="17"/>
      <c r="F30" s="15" t="s">
        <v>21</v>
      </c>
      <c r="H30" s="76">
        <f>'Redlands Pro Forma'!$C41</f>
        <v>1666.6666666666667</v>
      </c>
      <c r="I30"/>
    </row>
    <row r="31" spans="2:12" x14ac:dyDescent="0.6">
      <c r="B31" s="19" t="s">
        <v>112</v>
      </c>
      <c r="C31" s="78">
        <f>D31*D20</f>
        <v>2400000</v>
      </c>
      <c r="D31" s="376">
        <v>4</v>
      </c>
      <c r="F31" s="21" t="s">
        <v>22</v>
      </c>
      <c r="G31" s="25"/>
      <c r="H31" s="77">
        <f>'Redlands Pro Forma'!$C42</f>
        <v>61673.333333333336</v>
      </c>
      <c r="I31"/>
    </row>
    <row r="32" spans="2:12" x14ac:dyDescent="0.6">
      <c r="B32" s="19" t="s">
        <v>113</v>
      </c>
      <c r="D32" s="376">
        <v>2</v>
      </c>
      <c r="F32"/>
      <c r="G32"/>
      <c r="H32"/>
      <c r="I32"/>
    </row>
    <row r="33" spans="1:9" x14ac:dyDescent="0.6">
      <c r="B33" s="15" t="s">
        <v>37</v>
      </c>
      <c r="D33" s="17"/>
      <c r="F33"/>
      <c r="G33"/>
      <c r="H33"/>
      <c r="I33"/>
    </row>
    <row r="34" spans="1:9" x14ac:dyDescent="0.6">
      <c r="B34" s="19" t="s">
        <v>112</v>
      </c>
      <c r="C34" s="78">
        <f>(market_rent*D20*D21)*D34</f>
        <v>2268000</v>
      </c>
      <c r="D34" s="16">
        <v>0.06</v>
      </c>
      <c r="F34"/>
      <c r="G34"/>
      <c r="H34"/>
      <c r="I34"/>
    </row>
    <row r="35" spans="1:9" x14ac:dyDescent="0.6">
      <c r="B35" s="19" t="s">
        <v>113</v>
      </c>
      <c r="D35" s="16">
        <v>0.03</v>
      </c>
      <c r="F35"/>
      <c r="G35"/>
      <c r="H35"/>
      <c r="I35"/>
    </row>
    <row r="36" spans="1:9" x14ac:dyDescent="0.6">
      <c r="B36" s="20" t="s">
        <v>114</v>
      </c>
      <c r="C36" s="79">
        <f>D36*C26</f>
        <v>1800000</v>
      </c>
      <c r="D36" s="377">
        <v>4</v>
      </c>
    </row>
    <row r="37" spans="1:9" x14ac:dyDescent="0.6">
      <c r="B37" s="382"/>
      <c r="C37" s="78"/>
      <c r="D37" s="383"/>
    </row>
    <row r="38" spans="1:9" x14ac:dyDescent="0.6">
      <c r="B38" s="1" t="s">
        <v>197</v>
      </c>
    </row>
    <row r="39" spans="1:9" x14ac:dyDescent="0.6">
      <c r="A39" s="1" t="s">
        <v>679</v>
      </c>
      <c r="B39" s="378">
        <f>'Redlands Pro Forma'!B74</f>
        <v>7.5530967116355888E-2</v>
      </c>
      <c r="C39" s="388">
        <f>D39-2000000</f>
        <v>63280000</v>
      </c>
      <c r="D39" s="388">
        <f>E39-2000000</f>
        <v>65280000</v>
      </c>
      <c r="E39" s="387">
        <f>D8</f>
        <v>67280000</v>
      </c>
      <c r="F39" s="387">
        <f>E39+2000000</f>
        <v>69280000</v>
      </c>
      <c r="G39" s="387">
        <f>F39+2000000</f>
        <v>71280000</v>
      </c>
    </row>
    <row r="40" spans="1:9" x14ac:dyDescent="0.6">
      <c r="B40" s="379">
        <f>B41-0.0025</f>
        <v>5.0599999999999992E-2</v>
      </c>
      <c r="C40" s="380">
        <f t="dataTable" ref="C40:G44" dt2D="1" dtr="1" r1="D8" r2="D12" ca="1"/>
        <v>9.0119865536689756E-2</v>
      </c>
      <c r="D40" s="379">
        <v>9.380036294460295E-2</v>
      </c>
      <c r="E40" s="378">
        <v>9.380036294460295E-2</v>
      </c>
      <c r="F40" s="378">
        <v>9.0119865536689756E-2</v>
      </c>
      <c r="G40" s="378">
        <v>8.3156731724739086E-2</v>
      </c>
    </row>
    <row r="41" spans="1:9" x14ac:dyDescent="0.6">
      <c r="B41" s="379">
        <f>B42-0.0025</f>
        <v>5.3099999999999994E-2</v>
      </c>
      <c r="C41" s="380">
        <v>9.4294378161430367E-2</v>
      </c>
      <c r="D41" s="379">
        <v>9.79806959629059E-2</v>
      </c>
      <c r="E41" s="378">
        <v>9.79806959629059E-2</v>
      </c>
      <c r="F41" s="378">
        <v>9.4294378161430367E-2</v>
      </c>
      <c r="G41" s="378">
        <v>8.7319836020469666E-2</v>
      </c>
    </row>
    <row r="42" spans="1:9" x14ac:dyDescent="0.6">
      <c r="A42" s="381"/>
      <c r="B42" s="378">
        <f>D12</f>
        <v>5.5599999999999997E-2</v>
      </c>
      <c r="C42" s="380">
        <v>9.4294378161430367E-2</v>
      </c>
      <c r="D42" s="379">
        <v>9.79806959629059E-2</v>
      </c>
      <c r="E42" s="378">
        <v>9.79806959629059E-2</v>
      </c>
      <c r="F42" s="378">
        <v>9.4294378161430367E-2</v>
      </c>
      <c r="G42" s="378">
        <v>8.7319836020469666E-2</v>
      </c>
    </row>
    <row r="43" spans="1:9" x14ac:dyDescent="0.6">
      <c r="B43" s="378">
        <f>B42+0.0025</f>
        <v>5.8099999999999999E-2</v>
      </c>
      <c r="C43" s="380">
        <v>9.0119865536689756E-2</v>
      </c>
      <c r="D43" s="379">
        <v>9.380036294460295E-2</v>
      </c>
      <c r="E43" s="378">
        <v>9.380036294460295E-2</v>
      </c>
      <c r="F43" s="378">
        <v>9.0119865536689756E-2</v>
      </c>
      <c r="G43" s="378">
        <v>8.3156731724739086E-2</v>
      </c>
    </row>
    <row r="44" spans="1:9" x14ac:dyDescent="0.6">
      <c r="B44" s="378">
        <f>B43+0.0025</f>
        <v>6.0600000000000001E-2</v>
      </c>
      <c r="C44" s="380">
        <v>8.2474085688590992E-2</v>
      </c>
      <c r="D44" s="379">
        <v>8.6144402623176575E-2</v>
      </c>
      <c r="E44" s="378">
        <v>8.6144402623176575E-2</v>
      </c>
      <c r="F44" s="378">
        <v>8.2474085688590992E-2</v>
      </c>
      <c r="G44" s="378">
        <v>7.5530967116355888E-2</v>
      </c>
    </row>
  </sheetData>
  <conditionalFormatting sqref="C40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howInputMessage="1" showErrorMessage="1" sqref="G12" xr:uid="{0C975FF2-99D5-4F1B-86C5-FDDFE8BF7BE4}">
      <formula1>"Renew,Market,Vacate"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817C-EE34-42A4-8500-D05E3C1D388A}">
  <sheetPr>
    <tabColor rgb="FFFFAFAF"/>
  </sheetPr>
  <dimension ref="B1:AL55"/>
  <sheetViews>
    <sheetView tabSelected="1" topLeftCell="L4" zoomScale="115" zoomScaleNormal="115" workbookViewId="0">
      <selection activeCell="X13" sqref="X13"/>
    </sheetView>
  </sheetViews>
  <sheetFormatPr defaultColWidth="9" defaultRowHeight="15.4" outlineLevelRow="1" x14ac:dyDescent="0.55000000000000004"/>
  <cols>
    <col min="1" max="2" width="9" style="4"/>
    <col min="3" max="3" width="32.59765625" style="4" bestFit="1" customWidth="1"/>
    <col min="4" max="4" width="9" style="4"/>
    <col min="5" max="5" width="15.59765625" style="4" bestFit="1" customWidth="1"/>
    <col min="6" max="6" width="13.86328125" style="4" bestFit="1" customWidth="1"/>
    <col min="7" max="7" width="13" style="4" bestFit="1" customWidth="1"/>
    <col min="8" max="10" width="13.86328125" style="4" bestFit="1" customWidth="1"/>
    <col min="11" max="11" width="14" style="4" bestFit="1" customWidth="1"/>
    <col min="12" max="12" width="13.59765625" style="4" bestFit="1" customWidth="1"/>
    <col min="13" max="13" width="14.3984375" style="4" bestFit="1" customWidth="1"/>
    <col min="14" max="14" width="13.86328125" style="4" bestFit="1" customWidth="1"/>
    <col min="15" max="15" width="15" style="4" bestFit="1" customWidth="1"/>
    <col min="16" max="16" width="12.1328125" style="4" bestFit="1" customWidth="1"/>
    <col min="17" max="17" width="9" style="4"/>
    <col min="18" max="18" width="16.265625" style="4" bestFit="1" customWidth="1"/>
    <col min="19" max="19" width="13.59765625" style="4" bestFit="1" customWidth="1"/>
    <col min="20" max="20" width="7" style="4" bestFit="1" customWidth="1"/>
    <col min="21" max="21" width="9" style="4"/>
    <col min="22" max="22" width="17.59765625" style="4" bestFit="1" customWidth="1"/>
    <col min="23" max="23" width="9.265625" style="4" bestFit="1" customWidth="1"/>
    <col min="24" max="24" width="10.59765625" style="4" bestFit="1" customWidth="1"/>
    <col min="25" max="25" width="9" style="4"/>
    <col min="26" max="26" width="15.265625" style="4" bestFit="1" customWidth="1"/>
    <col min="27" max="27" width="9" style="4"/>
    <col min="28" max="28" width="10.59765625" style="4" bestFit="1" customWidth="1"/>
    <col min="29" max="38" width="10.1328125" style="4" bestFit="1" customWidth="1"/>
    <col min="39" max="16384" width="9" style="4"/>
  </cols>
  <sheetData>
    <row r="1" spans="2:38" outlineLevel="1" x14ac:dyDescent="0.55000000000000004"/>
    <row r="2" spans="2:38" outlineLevel="1" x14ac:dyDescent="0.55000000000000004">
      <c r="C2" s="4" t="s">
        <v>115</v>
      </c>
    </row>
    <row r="3" spans="2:38" outlineLevel="1" x14ac:dyDescent="0.55000000000000004">
      <c r="C3" s="4" t="s">
        <v>116</v>
      </c>
      <c r="F3" s="190">
        <v>3062344.0209166701</v>
      </c>
      <c r="G3" s="190">
        <v>2875958.6023349999</v>
      </c>
      <c r="H3" s="190">
        <v>3221272.3918817001</v>
      </c>
      <c r="I3" s="190">
        <v>3303323.18121434</v>
      </c>
      <c r="J3" s="190">
        <v>3387149.63204847</v>
      </c>
      <c r="K3" s="190">
        <v>2379292.2371453498</v>
      </c>
      <c r="L3" s="190">
        <v>3013539.1109402101</v>
      </c>
      <c r="M3" s="190">
        <v>4645824.6069670701</v>
      </c>
      <c r="N3" s="190">
        <v>5320076.7704876699</v>
      </c>
      <c r="O3" s="190">
        <v>6372690.9471152704</v>
      </c>
    </row>
    <row r="4" spans="2:38" outlineLevel="1" x14ac:dyDescent="0.55000000000000004">
      <c r="C4" s="4" t="s">
        <v>117</v>
      </c>
      <c r="F4" s="190">
        <v>3297407.2</v>
      </c>
      <c r="G4" s="190">
        <v>3116695.1740000001</v>
      </c>
      <c r="H4" s="190">
        <v>3467804.24498</v>
      </c>
      <c r="I4" s="190">
        <v>3555774.8950045998</v>
      </c>
      <c r="J4" s="190">
        <v>3645648.5375834401</v>
      </c>
      <c r="K4" s="190">
        <v>3133217.7544879499</v>
      </c>
      <c r="L4" s="190">
        <v>2921441.5474750702</v>
      </c>
      <c r="M4" s="190">
        <v>1299478.4029055201</v>
      </c>
      <c r="N4" s="190">
        <v>5151818.7032728298</v>
      </c>
      <c r="O4" s="190">
        <v>6528038.79948714</v>
      </c>
    </row>
    <row r="5" spans="2:38" outlineLevel="1" x14ac:dyDescent="0.55000000000000004">
      <c r="C5" s="4" t="s">
        <v>118</v>
      </c>
      <c r="F5" s="190">
        <v>2961581.19833333</v>
      </c>
      <c r="G5" s="190">
        <v>3026116.0473000002</v>
      </c>
      <c r="H5" s="190">
        <v>3092100.6899959999</v>
      </c>
      <c r="I5" s="190">
        <v>3159568.8951984202</v>
      </c>
      <c r="J5" s="190">
        <v>3228555.2502469602</v>
      </c>
      <c r="K5" s="190">
        <v>2223215.8560563899</v>
      </c>
      <c r="L5" s="190">
        <v>2833285.3137705</v>
      </c>
      <c r="M5" s="190">
        <v>4150900.1427474301</v>
      </c>
      <c r="N5" s="190">
        <v>4805922.5269548604</v>
      </c>
      <c r="O5" s="190">
        <v>5847898.0363499504</v>
      </c>
    </row>
    <row r="6" spans="2:38" x14ac:dyDescent="0.55000000000000004">
      <c r="C6" s="4" t="s">
        <v>119</v>
      </c>
      <c r="F6" s="190">
        <v>2961581.19833333</v>
      </c>
      <c r="G6" s="190">
        <v>2761116.0473000002</v>
      </c>
      <c r="H6" s="190">
        <v>3092100.6899959999</v>
      </c>
      <c r="I6" s="190">
        <v>3159568.8951984202</v>
      </c>
      <c r="J6" s="190">
        <v>3228555.2502469602</v>
      </c>
      <c r="K6" s="190">
        <v>3105871.53065849</v>
      </c>
      <c r="L6" s="190">
        <v>2303306.3654401698</v>
      </c>
      <c r="M6" s="190">
        <v>-1160717.9843824599</v>
      </c>
      <c r="N6" s="190">
        <v>3761067.0084797102</v>
      </c>
      <c r="O6" s="190">
        <v>4678376.8929576604</v>
      </c>
    </row>
    <row r="8" spans="2:38" x14ac:dyDescent="0.55000000000000004">
      <c r="E8" s="191" cm="1">
        <f t="array" ref="E8:P8">_xlfn.SEQUENCE(1,12,0,1)</f>
        <v>0</v>
      </c>
      <c r="F8" s="191">
        <v>1</v>
      </c>
      <c r="G8" s="191">
        <v>2</v>
      </c>
      <c r="H8" s="191">
        <v>3</v>
      </c>
      <c r="I8" s="191">
        <v>4</v>
      </c>
      <c r="J8" s="191">
        <v>5</v>
      </c>
      <c r="K8" s="191">
        <v>6</v>
      </c>
      <c r="L8" s="191">
        <v>7</v>
      </c>
      <c r="M8" s="191">
        <v>8</v>
      </c>
      <c r="N8" s="191">
        <v>9</v>
      </c>
      <c r="O8" s="191">
        <v>10</v>
      </c>
      <c r="P8" s="191">
        <v>11</v>
      </c>
      <c r="Z8" s="192" t="s">
        <v>120</v>
      </c>
    </row>
    <row r="9" spans="2:38" x14ac:dyDescent="0.55000000000000004">
      <c r="E9" s="193">
        <f>EDATE(F9,-12)</f>
        <v>45292</v>
      </c>
      <c r="F9" s="193">
        <v>45658</v>
      </c>
      <c r="G9" s="193">
        <f t="shared" ref="G9:P9" si="0">EDATE(F9,12)</f>
        <v>46023</v>
      </c>
      <c r="H9" s="193">
        <f t="shared" si="0"/>
        <v>46388</v>
      </c>
      <c r="I9" s="193">
        <f t="shared" si="0"/>
        <v>46753</v>
      </c>
      <c r="J9" s="193">
        <f t="shared" si="0"/>
        <v>47119</v>
      </c>
      <c r="K9" s="193">
        <f t="shared" si="0"/>
        <v>47484</v>
      </c>
      <c r="L9" s="193">
        <f t="shared" si="0"/>
        <v>47849</v>
      </c>
      <c r="M9" s="193">
        <f t="shared" si="0"/>
        <v>48214</v>
      </c>
      <c r="N9" s="193">
        <f t="shared" si="0"/>
        <v>48580</v>
      </c>
      <c r="O9" s="193">
        <f t="shared" si="0"/>
        <v>48945</v>
      </c>
      <c r="P9" s="193">
        <f t="shared" si="0"/>
        <v>49310</v>
      </c>
      <c r="R9" s="194" t="s">
        <v>121</v>
      </c>
      <c r="S9" s="195"/>
      <c r="T9" s="196"/>
      <c r="V9" s="384" t="s">
        <v>122</v>
      </c>
      <c r="W9" s="385" t="s">
        <v>680</v>
      </c>
      <c r="X9" s="386"/>
      <c r="AB9" s="4" t="s">
        <v>681</v>
      </c>
    </row>
    <row r="10" spans="2:38" x14ac:dyDescent="0.55000000000000004">
      <c r="B10" s="238"/>
      <c r="C10" s="197" t="s">
        <v>123</v>
      </c>
      <c r="E10" s="198">
        <f>-X12-E48</f>
        <v>-68849457</v>
      </c>
      <c r="F10" s="347">
        <f t="shared" ref="F10:N10" si="1">CHOOSE($S$10,F$3,F$4,F$5,F6)</f>
        <v>2961581.19833333</v>
      </c>
      <c r="G10" s="347">
        <f t="shared" si="1"/>
        <v>2761116.0473000002</v>
      </c>
      <c r="H10" s="347">
        <f t="shared" si="1"/>
        <v>3092100.6899959999</v>
      </c>
      <c r="I10" s="347">
        <f t="shared" si="1"/>
        <v>3159568.8951984202</v>
      </c>
      <c r="J10" s="347">
        <f t="shared" si="1"/>
        <v>3228555.2502469602</v>
      </c>
      <c r="K10" s="347">
        <f t="shared" si="1"/>
        <v>3105871.53065849</v>
      </c>
      <c r="L10" s="347">
        <f t="shared" si="1"/>
        <v>2303306.3654401698</v>
      </c>
      <c r="M10" s="347">
        <f t="shared" si="1"/>
        <v>-1160717.9843824599</v>
      </c>
      <c r="N10" s="347">
        <f t="shared" si="1"/>
        <v>3761067.0084797102</v>
      </c>
      <c r="O10" s="198">
        <f>CHOOSE($S$10,O$3,O$4,O$5,O6)+S21</f>
        <v>115023574.73468429</v>
      </c>
      <c r="P10" s="199"/>
      <c r="R10" s="200" t="s">
        <v>124</v>
      </c>
      <c r="S10" s="201">
        <v>4</v>
      </c>
      <c r="T10" s="202"/>
      <c r="V10" s="203"/>
      <c r="W10" s="204">
        <v>0</v>
      </c>
      <c r="X10" s="205" t="s">
        <v>125</v>
      </c>
      <c r="AB10" s="206">
        <f>EOMONTH($X$15,0)</f>
        <v>45688</v>
      </c>
      <c r="AC10" s="206">
        <f t="shared" ref="AC10:AL10" si="2">EOMONTH($X$15,0)</f>
        <v>45688</v>
      </c>
      <c r="AD10" s="206">
        <f t="shared" si="2"/>
        <v>45688</v>
      </c>
      <c r="AE10" s="206">
        <f t="shared" si="2"/>
        <v>45688</v>
      </c>
      <c r="AF10" s="206">
        <f t="shared" si="2"/>
        <v>45688</v>
      </c>
      <c r="AG10" s="206">
        <f t="shared" si="2"/>
        <v>45688</v>
      </c>
      <c r="AH10" s="206">
        <f t="shared" si="2"/>
        <v>45688</v>
      </c>
      <c r="AI10" s="206">
        <f t="shared" si="2"/>
        <v>45688</v>
      </c>
      <c r="AJ10" s="206">
        <f t="shared" si="2"/>
        <v>45688</v>
      </c>
      <c r="AK10" s="206">
        <f t="shared" si="2"/>
        <v>45688</v>
      </c>
      <c r="AL10" s="206">
        <f t="shared" si="2"/>
        <v>45688</v>
      </c>
    </row>
    <row r="11" spans="2:38" x14ac:dyDescent="0.55000000000000004">
      <c r="C11" s="197" t="s">
        <v>126</v>
      </c>
      <c r="E11" s="207">
        <f t="shared" ref="E11:P11" si="3">AB17</f>
        <v>35607580.535426185</v>
      </c>
      <c r="F11" s="208">
        <f t="shared" si="3"/>
        <v>-2444444.4444444468</v>
      </c>
      <c r="G11" s="208">
        <f t="shared" si="3"/>
        <v>-2444444.4444444468</v>
      </c>
      <c r="H11" s="208">
        <f t="shared" si="3"/>
        <v>-2444444.4444444468</v>
      </c>
      <c r="I11" s="208">
        <f t="shared" si="3"/>
        <v>-2444444.4444444468</v>
      </c>
      <c r="J11" s="208">
        <f t="shared" si="3"/>
        <v>-2444444.4444444468</v>
      </c>
      <c r="K11" s="208">
        <f t="shared" si="3"/>
        <v>-2444444.4444444468</v>
      </c>
      <c r="L11" s="208">
        <f t="shared" si="3"/>
        <v>-2444444.4444444468</v>
      </c>
      <c r="M11" s="208">
        <f t="shared" si="3"/>
        <v>-2444444.4444444468</v>
      </c>
      <c r="N11" s="208">
        <f t="shared" si="3"/>
        <v>-2444444.4444444468</v>
      </c>
      <c r="O11" s="208">
        <f t="shared" si="3"/>
        <v>-31944050.352978077</v>
      </c>
      <c r="P11" s="208">
        <f t="shared" si="3"/>
        <v>0</v>
      </c>
      <c r="R11" s="209" t="s">
        <v>127</v>
      </c>
      <c r="S11" s="210">
        <v>0.9</v>
      </c>
      <c r="T11" s="211"/>
      <c r="V11" s="212" t="s">
        <v>128</v>
      </c>
      <c r="W11" s="213"/>
      <c r="X11" s="214">
        <v>3300000</v>
      </c>
      <c r="AB11" s="215" cm="1">
        <f t="array" ref="AB11:AL11">_xlfn.SEQUENCE(1,11,0,1)</f>
        <v>0</v>
      </c>
      <c r="AC11" s="215">
        <v>1</v>
      </c>
      <c r="AD11" s="215">
        <v>2</v>
      </c>
      <c r="AE11" s="215">
        <v>3</v>
      </c>
      <c r="AF11" s="215">
        <v>4</v>
      </c>
      <c r="AG11" s="215">
        <v>5</v>
      </c>
      <c r="AH11" s="215">
        <v>6</v>
      </c>
      <c r="AI11" s="215">
        <v>7</v>
      </c>
      <c r="AJ11" s="215">
        <v>8</v>
      </c>
      <c r="AK11" s="215">
        <v>9</v>
      </c>
      <c r="AL11" s="215">
        <v>10</v>
      </c>
    </row>
    <row r="12" spans="2:38" x14ac:dyDescent="0.55000000000000004">
      <c r="C12" s="197"/>
      <c r="E12" s="207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R12" s="212" t="s">
        <v>129</v>
      </c>
      <c r="S12" s="216">
        <v>0.1</v>
      </c>
      <c r="T12" s="202"/>
      <c r="V12" s="212" t="s">
        <v>46</v>
      </c>
      <c r="X12" s="217">
        <f>'Redlands Inputs'!D8</f>
        <v>67280000</v>
      </c>
      <c r="Z12" s="218" t="s">
        <v>130</v>
      </c>
    </row>
    <row r="13" spans="2:38" x14ac:dyDescent="0.55000000000000004">
      <c r="C13" s="197" t="s">
        <v>131</v>
      </c>
      <c r="E13" s="219">
        <f t="shared" ref="E13:P13" si="4">SUM(E10:E11)</f>
        <v>-33241876.464573815</v>
      </c>
      <c r="F13" s="219">
        <f t="shared" si="4"/>
        <v>517136.75388888316</v>
      </c>
      <c r="G13" s="219">
        <f t="shared" si="4"/>
        <v>316671.60285555338</v>
      </c>
      <c r="H13" s="219">
        <f t="shared" si="4"/>
        <v>647656.24555155309</v>
      </c>
      <c r="I13" s="219">
        <f t="shared" si="4"/>
        <v>715124.45075397333</v>
      </c>
      <c r="J13" s="219">
        <f t="shared" si="4"/>
        <v>784110.80580251338</v>
      </c>
      <c r="K13" s="219">
        <f t="shared" si="4"/>
        <v>661427.0862140432</v>
      </c>
      <c r="L13" s="219">
        <f t="shared" si="4"/>
        <v>-141138.07900427701</v>
      </c>
      <c r="M13" s="219">
        <f t="shared" si="4"/>
        <v>-3605162.4288269067</v>
      </c>
      <c r="N13" s="219">
        <f t="shared" si="4"/>
        <v>1316622.5640352634</v>
      </c>
      <c r="O13" s="219">
        <f t="shared" si="4"/>
        <v>83079524.381706208</v>
      </c>
      <c r="P13" s="219">
        <f t="shared" si="4"/>
        <v>0</v>
      </c>
      <c r="R13" s="220" t="s">
        <v>132</v>
      </c>
      <c r="S13" s="216">
        <v>0.05</v>
      </c>
      <c r="T13" s="202"/>
      <c r="V13" s="212" t="s">
        <v>73</v>
      </c>
      <c r="X13" s="221">
        <v>5.2499999999999998E-2</v>
      </c>
      <c r="Z13" s="218" t="s">
        <v>133</v>
      </c>
      <c r="AB13" s="222">
        <f>-AB14*$X$20</f>
        <v>-269074.91588483262</v>
      </c>
    </row>
    <row r="14" spans="2:38" ht="17.649999999999999" x14ac:dyDescent="0.85">
      <c r="R14" s="212"/>
      <c r="T14" s="202"/>
      <c r="V14" s="223" t="s">
        <v>134</v>
      </c>
      <c r="X14" s="224"/>
      <c r="Z14" s="225" t="s">
        <v>135</v>
      </c>
      <c r="AB14" s="226">
        <f>X27</f>
        <v>35876655.451311015</v>
      </c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</row>
    <row r="15" spans="2:38" x14ac:dyDescent="0.55000000000000004">
      <c r="R15" s="212" t="s">
        <v>136</v>
      </c>
      <c r="T15" s="202"/>
      <c r="V15" s="220" t="s">
        <v>137</v>
      </c>
      <c r="X15" s="227">
        <v>45658</v>
      </c>
      <c r="Z15" s="225" t="s">
        <v>138</v>
      </c>
      <c r="AB15" s="222"/>
      <c r="AC15" s="222">
        <f t="shared" ref="AC15:AL15" si="5">-IF(AC$10&lt;=$X$16,PMT($X$17/12,$X$18,-$X$27)*12,0)</f>
        <v>-2444444.4444444468</v>
      </c>
      <c r="AD15" s="222">
        <f t="shared" si="5"/>
        <v>-2444444.4444444468</v>
      </c>
      <c r="AE15" s="222">
        <f t="shared" si="5"/>
        <v>-2444444.4444444468</v>
      </c>
      <c r="AF15" s="222">
        <f t="shared" si="5"/>
        <v>-2444444.4444444468</v>
      </c>
      <c r="AG15" s="222">
        <f t="shared" si="5"/>
        <v>-2444444.4444444468</v>
      </c>
      <c r="AH15" s="222">
        <f t="shared" si="5"/>
        <v>-2444444.4444444468</v>
      </c>
      <c r="AI15" s="222">
        <f t="shared" si="5"/>
        <v>-2444444.4444444468</v>
      </c>
      <c r="AJ15" s="222">
        <f t="shared" si="5"/>
        <v>-2444444.4444444468</v>
      </c>
      <c r="AK15" s="222">
        <f t="shared" si="5"/>
        <v>-2444444.4444444468</v>
      </c>
      <c r="AL15" s="222">
        <f t="shared" si="5"/>
        <v>-2444444.4444444468</v>
      </c>
    </row>
    <row r="16" spans="2:38" x14ac:dyDescent="0.55000000000000004">
      <c r="C16" s="228" t="s">
        <v>139</v>
      </c>
      <c r="R16" s="212" t="s">
        <v>127</v>
      </c>
      <c r="T16" s="202"/>
      <c r="V16" s="220" t="s">
        <v>140</v>
      </c>
      <c r="W16" s="229">
        <v>10</v>
      </c>
      <c r="X16" s="227">
        <v>49310</v>
      </c>
      <c r="Z16" s="225" t="s">
        <v>141</v>
      </c>
      <c r="AB16" s="230"/>
      <c r="AC16" s="230">
        <f t="shared" ref="AC16:AL16" si="6">-IF(AC11=$X$22,SUM($X$27,CUMPRINC($X$17,$X$19/12,$X$27,1,AC11,0)),0)</f>
        <v>0</v>
      </c>
      <c r="AD16" s="230">
        <f t="shared" si="6"/>
        <v>0</v>
      </c>
      <c r="AE16" s="230">
        <f t="shared" si="6"/>
        <v>0</v>
      </c>
      <c r="AF16" s="230">
        <f t="shared" si="6"/>
        <v>0</v>
      </c>
      <c r="AG16" s="230">
        <f t="shared" si="6"/>
        <v>0</v>
      </c>
      <c r="AH16" s="230">
        <f t="shared" si="6"/>
        <v>0</v>
      </c>
      <c r="AI16" s="230">
        <f t="shared" si="6"/>
        <v>0</v>
      </c>
      <c r="AJ16" s="230">
        <f t="shared" si="6"/>
        <v>0</v>
      </c>
      <c r="AK16" s="230">
        <f t="shared" si="6"/>
        <v>0</v>
      </c>
      <c r="AL16" s="230">
        <f t="shared" si="6"/>
        <v>-29499605.908533629</v>
      </c>
    </row>
    <row r="17" spans="3:38" x14ac:dyDescent="0.55000000000000004">
      <c r="C17" s="197" t="s">
        <v>142</v>
      </c>
      <c r="E17" s="231">
        <f t="shared" ref="E17:P17" si="7">D25</f>
        <v>0</v>
      </c>
      <c r="F17" s="231">
        <f t="shared" si="7"/>
        <v>33241876.464573815</v>
      </c>
      <c r="G17" s="231">
        <f t="shared" si="7"/>
        <v>36048927.357142314</v>
      </c>
      <c r="H17" s="231">
        <f t="shared" si="7"/>
        <v>39337148.490000993</v>
      </c>
      <c r="I17" s="231">
        <f t="shared" si="7"/>
        <v>42623207.09344954</v>
      </c>
      <c r="J17" s="231">
        <f t="shared" si="7"/>
        <v>46170403.352040522</v>
      </c>
      <c r="K17" s="231">
        <f t="shared" si="7"/>
        <v>50003332.881442055</v>
      </c>
      <c r="L17" s="231">
        <f t="shared" si="7"/>
        <v>54342239.08337222</v>
      </c>
      <c r="M17" s="231">
        <f t="shared" si="7"/>
        <v>59917601.070713714</v>
      </c>
      <c r="N17" s="231">
        <f t="shared" si="7"/>
        <v>69514523.606611997</v>
      </c>
      <c r="O17" s="231">
        <f t="shared" si="7"/>
        <v>75149353.403237939</v>
      </c>
      <c r="P17" s="231">
        <f t="shared" si="7"/>
        <v>0</v>
      </c>
      <c r="R17" s="220" t="s">
        <v>143</v>
      </c>
      <c r="S17" s="232">
        <v>0.1</v>
      </c>
      <c r="T17" s="233"/>
      <c r="V17" s="220" t="s">
        <v>144</v>
      </c>
      <c r="X17" s="224">
        <v>5.5E-2</v>
      </c>
      <c r="Z17" s="4" t="s">
        <v>145</v>
      </c>
      <c r="AB17" s="222">
        <f>SUM(AB13:AB16)</f>
        <v>35607580.535426185</v>
      </c>
      <c r="AC17" s="222">
        <f t="shared" ref="AC17:AL17" si="8">SUM(AC13:AC16)</f>
        <v>-2444444.4444444468</v>
      </c>
      <c r="AD17" s="222">
        <f t="shared" si="8"/>
        <v>-2444444.4444444468</v>
      </c>
      <c r="AE17" s="222">
        <f t="shared" si="8"/>
        <v>-2444444.4444444468</v>
      </c>
      <c r="AF17" s="222">
        <f t="shared" si="8"/>
        <v>-2444444.4444444468</v>
      </c>
      <c r="AG17" s="222">
        <f t="shared" si="8"/>
        <v>-2444444.4444444468</v>
      </c>
      <c r="AH17" s="222">
        <f t="shared" si="8"/>
        <v>-2444444.4444444468</v>
      </c>
      <c r="AI17" s="222">
        <f t="shared" si="8"/>
        <v>-2444444.4444444468</v>
      </c>
      <c r="AJ17" s="222">
        <f t="shared" si="8"/>
        <v>-2444444.4444444468</v>
      </c>
      <c r="AK17" s="222">
        <f t="shared" si="8"/>
        <v>-2444444.4444444468</v>
      </c>
      <c r="AL17" s="222">
        <f t="shared" si="8"/>
        <v>-31944050.352978077</v>
      </c>
    </row>
    <row r="18" spans="3:38" x14ac:dyDescent="0.55000000000000004">
      <c r="C18" s="197" t="s">
        <v>146</v>
      </c>
      <c r="E18" s="231">
        <f t="shared" ref="E18:P18" si="9">IF(E13&lt;0,-E$13,0)</f>
        <v>33241876.464573815</v>
      </c>
      <c r="F18" s="231">
        <f t="shared" si="9"/>
        <v>0</v>
      </c>
      <c r="G18" s="231">
        <f t="shared" si="9"/>
        <v>0</v>
      </c>
      <c r="H18" s="231">
        <f t="shared" si="9"/>
        <v>0</v>
      </c>
      <c r="I18" s="231">
        <f t="shared" si="9"/>
        <v>0</v>
      </c>
      <c r="J18" s="231">
        <f t="shared" si="9"/>
        <v>0</v>
      </c>
      <c r="K18" s="231">
        <f t="shared" si="9"/>
        <v>0</v>
      </c>
      <c r="L18" s="231">
        <f t="shared" si="9"/>
        <v>141138.07900427701</v>
      </c>
      <c r="M18" s="231">
        <f t="shared" si="9"/>
        <v>3605162.4288269067</v>
      </c>
      <c r="N18" s="231">
        <f t="shared" si="9"/>
        <v>0</v>
      </c>
      <c r="O18" s="231">
        <f t="shared" si="9"/>
        <v>0</v>
      </c>
      <c r="P18" s="231">
        <f t="shared" si="9"/>
        <v>0</v>
      </c>
      <c r="R18" s="212" t="s">
        <v>147</v>
      </c>
      <c r="T18" s="202"/>
      <c r="V18" s="220" t="s">
        <v>148</v>
      </c>
      <c r="X18" s="234">
        <v>360</v>
      </c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</row>
    <row r="19" spans="3:38" x14ac:dyDescent="0.55000000000000004">
      <c r="C19" s="197" t="s">
        <v>149</v>
      </c>
      <c r="E19" s="231">
        <f t="shared" ref="E19:P19" si="10">E$17*$S$17</f>
        <v>0</v>
      </c>
      <c r="F19" s="231">
        <f t="shared" si="10"/>
        <v>3324187.6464573815</v>
      </c>
      <c r="G19" s="231">
        <f t="shared" si="10"/>
        <v>3604892.7357142316</v>
      </c>
      <c r="H19" s="231">
        <f t="shared" si="10"/>
        <v>3933714.8490000996</v>
      </c>
      <c r="I19" s="231">
        <f t="shared" si="10"/>
        <v>4262320.7093449542</v>
      </c>
      <c r="J19" s="231">
        <f t="shared" si="10"/>
        <v>4617040.3352040527</v>
      </c>
      <c r="K19" s="231">
        <f t="shared" si="10"/>
        <v>5000333.2881442057</v>
      </c>
      <c r="L19" s="231">
        <f t="shared" si="10"/>
        <v>5434223.9083372224</v>
      </c>
      <c r="M19" s="231">
        <f t="shared" si="10"/>
        <v>5991760.1070713717</v>
      </c>
      <c r="N19" s="231">
        <f t="shared" si="10"/>
        <v>6951452.3606612002</v>
      </c>
      <c r="O19" s="231">
        <f t="shared" si="10"/>
        <v>7514935.3403237946</v>
      </c>
      <c r="P19" s="231">
        <f t="shared" si="10"/>
        <v>0</v>
      </c>
      <c r="R19" s="212" t="s">
        <v>127</v>
      </c>
      <c r="S19" s="216">
        <v>0.8</v>
      </c>
      <c r="T19" s="235"/>
      <c r="V19" s="220" t="s">
        <v>150</v>
      </c>
      <c r="X19" s="236">
        <f>X18</f>
        <v>360</v>
      </c>
      <c r="Z19" s="4" t="s">
        <v>151</v>
      </c>
      <c r="AB19" s="237">
        <f>IRR(AB17:AL17)</f>
        <v>5.5348471033918489E-2</v>
      </c>
      <c r="AC19" s="238"/>
      <c r="AD19" s="222"/>
      <c r="AE19" s="222"/>
      <c r="AF19" s="222"/>
      <c r="AG19" s="222"/>
      <c r="AH19" s="222"/>
      <c r="AI19" s="222"/>
      <c r="AJ19" s="222"/>
      <c r="AK19" s="222"/>
      <c r="AL19" s="222"/>
    </row>
    <row r="20" spans="3:38" x14ac:dyDescent="0.55000000000000004">
      <c r="C20" s="197" t="s">
        <v>152</v>
      </c>
      <c r="E20" s="231">
        <f t="shared" ref="E20:P20" si="11">IF(E$13&gt;0,-MIN(SUM(D23,E19),E$13),0)</f>
        <v>0</v>
      </c>
      <c r="F20" s="231">
        <f t="shared" si="11"/>
        <v>-517136.75388888316</v>
      </c>
      <c r="G20" s="231">
        <f t="shared" si="11"/>
        <v>-316671.60285555338</v>
      </c>
      <c r="H20" s="231">
        <f t="shared" si="11"/>
        <v>-647656.24555155309</v>
      </c>
      <c r="I20" s="231">
        <f t="shared" si="11"/>
        <v>-715124.45075397333</v>
      </c>
      <c r="J20" s="231">
        <f t="shared" si="11"/>
        <v>-784110.80580251338</v>
      </c>
      <c r="K20" s="231">
        <f t="shared" si="11"/>
        <v>-661427.0862140432</v>
      </c>
      <c r="L20" s="231">
        <f t="shared" si="11"/>
        <v>0</v>
      </c>
      <c r="M20" s="231">
        <f t="shared" si="11"/>
        <v>0</v>
      </c>
      <c r="N20" s="231">
        <f t="shared" si="11"/>
        <v>-1316622.5640352634</v>
      </c>
      <c r="O20" s="231">
        <f t="shared" si="11"/>
        <v>-45676111.771156728</v>
      </c>
      <c r="P20" s="231">
        <f t="shared" si="11"/>
        <v>0</v>
      </c>
      <c r="R20" s="212" t="s">
        <v>129</v>
      </c>
      <c r="S20" s="216">
        <v>0.2</v>
      </c>
      <c r="T20" s="202"/>
      <c r="V20" s="220" t="s">
        <v>133</v>
      </c>
      <c r="X20" s="221">
        <v>7.4999999999999997E-3</v>
      </c>
      <c r="Z20" s="4" t="s">
        <v>153</v>
      </c>
      <c r="AB20" s="239">
        <f>-SUMIF(AB17:AL17,"&lt;0")/SUMIF(AB17:AL17,"&gt;0")</f>
        <v>1.5149597232339014</v>
      </c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</row>
    <row r="21" spans="3:38" x14ac:dyDescent="0.55000000000000004">
      <c r="C21" s="197" t="s">
        <v>154</v>
      </c>
      <c r="E21" s="231">
        <f>SUM(E19:E20)</f>
        <v>0</v>
      </c>
      <c r="F21" s="231">
        <f t="shared" ref="F21:P21" si="12">SUM(F19:F20)</f>
        <v>2807050.8925684984</v>
      </c>
      <c r="G21" s="231">
        <f t="shared" si="12"/>
        <v>3288221.1328586782</v>
      </c>
      <c r="H21" s="231">
        <f t="shared" si="12"/>
        <v>3286058.6034485465</v>
      </c>
      <c r="I21" s="231">
        <f t="shared" si="12"/>
        <v>3547196.2585909809</v>
      </c>
      <c r="J21" s="231">
        <f t="shared" si="12"/>
        <v>3832929.5294015394</v>
      </c>
      <c r="K21" s="231">
        <f t="shared" si="12"/>
        <v>4338906.2019301625</v>
      </c>
      <c r="L21" s="231">
        <f t="shared" si="12"/>
        <v>5434223.9083372224</v>
      </c>
      <c r="M21" s="231">
        <f t="shared" si="12"/>
        <v>5991760.1070713717</v>
      </c>
      <c r="N21" s="231">
        <f t="shared" si="12"/>
        <v>5634829.7966259364</v>
      </c>
      <c r="O21" s="231">
        <f t="shared" si="12"/>
        <v>-38161176.430832937</v>
      </c>
      <c r="P21" s="231">
        <f t="shared" si="12"/>
        <v>0</v>
      </c>
      <c r="R21" s="240" t="s">
        <v>50</v>
      </c>
      <c r="S21" s="241">
        <f>'Redlands Inputs'!$C$12</f>
        <v>110345197.84172663</v>
      </c>
      <c r="T21" s="242"/>
      <c r="V21" s="220" t="s">
        <v>155</v>
      </c>
      <c r="X21" s="243" t="s">
        <v>58</v>
      </c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</row>
    <row r="22" spans="3:38" x14ac:dyDescent="0.55000000000000004">
      <c r="C22" s="197" t="s">
        <v>156</v>
      </c>
      <c r="E22" s="231">
        <f t="shared" ref="E22:P22" si="13">-IF(E13&gt;0,MIN(SUM(E20,E13),D24),0)</f>
        <v>0</v>
      </c>
      <c r="F22" s="231">
        <f t="shared" si="13"/>
        <v>0</v>
      </c>
      <c r="G22" s="231">
        <f t="shared" si="13"/>
        <v>0</v>
      </c>
      <c r="H22" s="231">
        <f t="shared" si="13"/>
        <v>0</v>
      </c>
      <c r="I22" s="231">
        <f t="shared" si="13"/>
        <v>0</v>
      </c>
      <c r="J22" s="231">
        <f t="shared" si="13"/>
        <v>0</v>
      </c>
      <c r="K22" s="231">
        <f t="shared" si="13"/>
        <v>0</v>
      </c>
      <c r="L22" s="231">
        <f t="shared" si="13"/>
        <v>0</v>
      </c>
      <c r="M22" s="231">
        <f t="shared" si="13"/>
        <v>0</v>
      </c>
      <c r="N22" s="231">
        <f t="shared" si="13"/>
        <v>0</v>
      </c>
      <c r="O22" s="231">
        <f t="shared" si="13"/>
        <v>-36988176.972405002</v>
      </c>
      <c r="P22" s="231">
        <f t="shared" si="13"/>
        <v>0</v>
      </c>
      <c r="S22" s="244"/>
      <c r="V22" s="212" t="s">
        <v>157</v>
      </c>
      <c r="X22" s="202">
        <v>10</v>
      </c>
      <c r="Z22" s="192"/>
    </row>
    <row r="23" spans="3:38" x14ac:dyDescent="0.55000000000000004">
      <c r="C23" s="245" t="s">
        <v>158</v>
      </c>
      <c r="E23" s="246">
        <f>D23+E21</f>
        <v>0</v>
      </c>
      <c r="F23" s="246">
        <f t="shared" ref="F23:P23" si="14">E23+F21</f>
        <v>2807050.8925684984</v>
      </c>
      <c r="G23" s="246">
        <f t="shared" si="14"/>
        <v>6095272.0254271766</v>
      </c>
      <c r="H23" s="246">
        <f t="shared" si="14"/>
        <v>9381330.6288757231</v>
      </c>
      <c r="I23" s="246">
        <f t="shared" si="14"/>
        <v>12928526.887466704</v>
      </c>
      <c r="J23" s="246">
        <f t="shared" si="14"/>
        <v>16761456.416868243</v>
      </c>
      <c r="K23" s="246">
        <f t="shared" si="14"/>
        <v>21100362.618798405</v>
      </c>
      <c r="L23" s="246">
        <f t="shared" si="14"/>
        <v>26534586.527135625</v>
      </c>
      <c r="M23" s="246">
        <f t="shared" si="14"/>
        <v>32526346.634206995</v>
      </c>
      <c r="N23" s="246">
        <f t="shared" si="14"/>
        <v>38161176.43083293</v>
      </c>
      <c r="O23" s="246">
        <f t="shared" si="14"/>
        <v>0</v>
      </c>
      <c r="P23" s="246">
        <f t="shared" si="14"/>
        <v>0</v>
      </c>
      <c r="S23" s="247"/>
      <c r="V23" s="248" t="s">
        <v>159</v>
      </c>
      <c r="X23" s="249"/>
    </row>
    <row r="24" spans="3:38" x14ac:dyDescent="0.55000000000000004">
      <c r="C24" s="250" t="s">
        <v>160</v>
      </c>
      <c r="E24" s="251">
        <f>D24+E18+E22</f>
        <v>33241876.464573815</v>
      </c>
      <c r="F24" s="251">
        <f t="shared" ref="F24:P24" si="15">E24+F18+F22</f>
        <v>33241876.464573815</v>
      </c>
      <c r="G24" s="251">
        <f t="shared" si="15"/>
        <v>33241876.464573815</v>
      </c>
      <c r="H24" s="251">
        <f t="shared" si="15"/>
        <v>33241876.464573815</v>
      </c>
      <c r="I24" s="251">
        <f t="shared" si="15"/>
        <v>33241876.464573815</v>
      </c>
      <c r="J24" s="251">
        <f t="shared" si="15"/>
        <v>33241876.464573815</v>
      </c>
      <c r="K24" s="251">
        <f t="shared" si="15"/>
        <v>33241876.464573815</v>
      </c>
      <c r="L24" s="251">
        <f t="shared" si="15"/>
        <v>33383014.543578092</v>
      </c>
      <c r="M24" s="251">
        <f t="shared" si="15"/>
        <v>36988176.972405002</v>
      </c>
      <c r="N24" s="251">
        <f t="shared" si="15"/>
        <v>36988176.972405002</v>
      </c>
      <c r="O24" s="251">
        <f t="shared" si="15"/>
        <v>0</v>
      </c>
      <c r="P24" s="251">
        <f t="shared" si="15"/>
        <v>0</v>
      </c>
      <c r="S24" s="252"/>
      <c r="V24" s="220" t="s">
        <v>161</v>
      </c>
      <c r="W24" s="253">
        <f>X11/X24</f>
        <v>44000000</v>
      </c>
      <c r="X24" s="221">
        <v>7.4999999999999997E-2</v>
      </c>
    </row>
    <row r="25" spans="3:38" x14ac:dyDescent="0.55000000000000004">
      <c r="C25" s="197" t="s">
        <v>162</v>
      </c>
      <c r="E25" s="231">
        <f t="shared" ref="E25:P25" si="16">SUM(E23:E24)</f>
        <v>33241876.464573815</v>
      </c>
      <c r="F25" s="231">
        <f t="shared" si="16"/>
        <v>36048927.357142314</v>
      </c>
      <c r="G25" s="231">
        <f t="shared" si="16"/>
        <v>39337148.490000993</v>
      </c>
      <c r="H25" s="231">
        <f t="shared" si="16"/>
        <v>42623207.09344954</v>
      </c>
      <c r="I25" s="231">
        <f t="shared" si="16"/>
        <v>46170403.352040522</v>
      </c>
      <c r="J25" s="231">
        <f t="shared" si="16"/>
        <v>50003332.881442055</v>
      </c>
      <c r="K25" s="231">
        <f t="shared" si="16"/>
        <v>54342239.08337222</v>
      </c>
      <c r="L25" s="231">
        <f t="shared" si="16"/>
        <v>59917601.070713714</v>
      </c>
      <c r="M25" s="231">
        <f t="shared" si="16"/>
        <v>69514523.606611997</v>
      </c>
      <c r="N25" s="231">
        <f t="shared" si="16"/>
        <v>75149353.403237939</v>
      </c>
      <c r="O25" s="231">
        <f t="shared" si="16"/>
        <v>0</v>
      </c>
      <c r="P25" s="231">
        <f t="shared" si="16"/>
        <v>0</v>
      </c>
      <c r="V25" s="220" t="s">
        <v>163</v>
      </c>
      <c r="W25" s="253">
        <f>PV(X17/12,X18,-(X11/X25/12))</f>
        <v>35876655.451311015</v>
      </c>
      <c r="X25" s="254">
        <v>1.35</v>
      </c>
    </row>
    <row r="26" spans="3:38" x14ac:dyDescent="0.55000000000000004">
      <c r="C26" s="197"/>
      <c r="V26" s="220" t="s">
        <v>164</v>
      </c>
      <c r="W26" s="253">
        <f>X26*X12</f>
        <v>43732000</v>
      </c>
      <c r="X26" s="255">
        <v>0.65</v>
      </c>
    </row>
    <row r="27" spans="3:38" x14ac:dyDescent="0.55000000000000004">
      <c r="C27" s="197"/>
      <c r="V27" s="240" t="s">
        <v>165</v>
      </c>
      <c r="W27" s="256"/>
      <c r="X27" s="257">
        <f>MIN(W24:W26)</f>
        <v>35876655.451311015</v>
      </c>
    </row>
    <row r="28" spans="3:38" x14ac:dyDescent="0.55000000000000004">
      <c r="C28" s="258" t="s">
        <v>166</v>
      </c>
      <c r="D28" s="259"/>
      <c r="E28" s="260">
        <f>SUM(E18,E20,E22)</f>
        <v>33241876.464573815</v>
      </c>
      <c r="F28" s="260">
        <f>SUM(F18,F20,F22)</f>
        <v>-517136.75388888316</v>
      </c>
      <c r="G28" s="260">
        <f t="shared" ref="G28:P28" si="17">SUM(G18,G20,G22)</f>
        <v>-316671.60285555338</v>
      </c>
      <c r="H28" s="260">
        <f t="shared" si="17"/>
        <v>-647656.24555155309</v>
      </c>
      <c r="I28" s="260">
        <f t="shared" si="17"/>
        <v>-715124.45075397333</v>
      </c>
      <c r="J28" s="260">
        <f t="shared" si="17"/>
        <v>-784110.80580251338</v>
      </c>
      <c r="K28" s="260">
        <f t="shared" si="17"/>
        <v>-661427.0862140432</v>
      </c>
      <c r="L28" s="260">
        <f t="shared" si="17"/>
        <v>141138.07900427701</v>
      </c>
      <c r="M28" s="260">
        <f t="shared" si="17"/>
        <v>3605162.4288269067</v>
      </c>
      <c r="N28" s="260">
        <f t="shared" si="17"/>
        <v>-1316622.5640352634</v>
      </c>
      <c r="O28" s="260">
        <f t="shared" si="17"/>
        <v>-82664288.74356173</v>
      </c>
      <c r="P28" s="260">
        <f t="shared" si="17"/>
        <v>0</v>
      </c>
    </row>
    <row r="29" spans="3:38" x14ac:dyDescent="0.55000000000000004">
      <c r="C29" s="197"/>
      <c r="E29" s="237"/>
    </row>
    <row r="30" spans="3:38" x14ac:dyDescent="0.55000000000000004">
      <c r="C30" s="197"/>
      <c r="E30" s="261"/>
    </row>
    <row r="31" spans="3:38" x14ac:dyDescent="0.55000000000000004">
      <c r="C31" s="197" t="s">
        <v>167</v>
      </c>
      <c r="E31" s="261">
        <f t="shared" ref="E31:P31" si="18">E28*$S$11</f>
        <v>29917688.818116434</v>
      </c>
      <c r="F31" s="261">
        <f t="shared" si="18"/>
        <v>-465423.07849999488</v>
      </c>
      <c r="G31" s="261">
        <f t="shared" si="18"/>
        <v>-285004.44256999803</v>
      </c>
      <c r="H31" s="261">
        <f t="shared" si="18"/>
        <v>-582890.6209963978</v>
      </c>
      <c r="I31" s="261">
        <f t="shared" si="18"/>
        <v>-643612.00567857607</v>
      </c>
      <c r="J31" s="261">
        <f t="shared" si="18"/>
        <v>-705699.72522226209</v>
      </c>
      <c r="K31" s="261">
        <f t="shared" si="18"/>
        <v>-595284.37759263895</v>
      </c>
      <c r="L31" s="261">
        <f t="shared" si="18"/>
        <v>127024.27110384931</v>
      </c>
      <c r="M31" s="261">
        <f t="shared" si="18"/>
        <v>3244646.1859442163</v>
      </c>
      <c r="N31" s="261">
        <f t="shared" si="18"/>
        <v>-1184960.3076317371</v>
      </c>
      <c r="O31" s="261">
        <f t="shared" si="18"/>
        <v>-74397859.869205564</v>
      </c>
      <c r="P31" s="261">
        <f t="shared" si="18"/>
        <v>0</v>
      </c>
    </row>
    <row r="32" spans="3:38" x14ac:dyDescent="0.55000000000000004">
      <c r="C32" s="262" t="s">
        <v>168</v>
      </c>
      <c r="E32" s="237">
        <f>IRR(E31:P31)</f>
        <v>0.10000000000000009</v>
      </c>
    </row>
    <row r="33" spans="3:16" x14ac:dyDescent="0.55000000000000004">
      <c r="C33" s="197"/>
    </row>
    <row r="34" spans="3:16" x14ac:dyDescent="0.55000000000000004">
      <c r="C34" s="197" t="s">
        <v>169</v>
      </c>
      <c r="E34" s="261">
        <f>E31-E28</f>
        <v>-3324187.6464573815</v>
      </c>
      <c r="F34" s="261">
        <f t="shared" ref="F34:P34" si="19">F31-F28</f>
        <v>51713.675388888281</v>
      </c>
      <c r="G34" s="261">
        <f t="shared" si="19"/>
        <v>31667.16028555535</v>
      </c>
      <c r="H34" s="261">
        <f t="shared" si="19"/>
        <v>64765.624555155286</v>
      </c>
      <c r="I34" s="261">
        <f t="shared" si="19"/>
        <v>71512.445075397263</v>
      </c>
      <c r="J34" s="261">
        <f t="shared" si="19"/>
        <v>78411.080580251291</v>
      </c>
      <c r="K34" s="261">
        <f t="shared" si="19"/>
        <v>66142.70862140425</v>
      </c>
      <c r="L34" s="261">
        <f t="shared" si="19"/>
        <v>-14113.807900427695</v>
      </c>
      <c r="M34" s="261">
        <f t="shared" si="19"/>
        <v>-360516.24288269039</v>
      </c>
      <c r="N34" s="261">
        <f t="shared" si="19"/>
        <v>131662.25640352629</v>
      </c>
      <c r="O34" s="261">
        <f t="shared" si="19"/>
        <v>8266428.8743561655</v>
      </c>
      <c r="P34" s="261">
        <f t="shared" si="19"/>
        <v>0</v>
      </c>
    </row>
    <row r="35" spans="3:16" x14ac:dyDescent="0.55000000000000004">
      <c r="C35" s="262" t="s">
        <v>170</v>
      </c>
      <c r="E35" s="237">
        <f>IRR(E34:P34)</f>
        <v>9.9999999999999867E-2</v>
      </c>
    </row>
    <row r="36" spans="3:16" x14ac:dyDescent="0.55000000000000004">
      <c r="C36" s="197"/>
    </row>
    <row r="37" spans="3:16" x14ac:dyDescent="0.55000000000000004">
      <c r="C37" s="258" t="s">
        <v>171</v>
      </c>
      <c r="D37" s="259"/>
      <c r="E37" s="260">
        <f>E13+E28</f>
        <v>0</v>
      </c>
      <c r="F37" s="260">
        <f t="shared" ref="F37:P37" si="20">F13+F28</f>
        <v>0</v>
      </c>
      <c r="G37" s="260">
        <f t="shared" si="20"/>
        <v>0</v>
      </c>
      <c r="H37" s="260">
        <f t="shared" si="20"/>
        <v>0</v>
      </c>
      <c r="I37" s="260">
        <f t="shared" si="20"/>
        <v>0</v>
      </c>
      <c r="J37" s="260">
        <f t="shared" si="20"/>
        <v>0</v>
      </c>
      <c r="K37" s="260">
        <f t="shared" si="20"/>
        <v>0</v>
      </c>
      <c r="L37" s="260">
        <f t="shared" si="20"/>
        <v>0</v>
      </c>
      <c r="M37" s="260">
        <f t="shared" si="20"/>
        <v>0</v>
      </c>
      <c r="N37" s="260">
        <f t="shared" si="20"/>
        <v>0</v>
      </c>
      <c r="O37" s="260">
        <f t="shared" si="20"/>
        <v>415235.6381444782</v>
      </c>
      <c r="P37" s="260">
        <f t="shared" si="20"/>
        <v>0</v>
      </c>
    </row>
    <row r="38" spans="3:16" x14ac:dyDescent="0.55000000000000004">
      <c r="C38" s="197"/>
    </row>
    <row r="39" spans="3:16" x14ac:dyDescent="0.55000000000000004">
      <c r="C39" s="197" t="s">
        <v>172</v>
      </c>
      <c r="E39" s="263">
        <f t="shared" ref="E39:P39" si="21">-E37*$S$19</f>
        <v>0</v>
      </c>
      <c r="F39" s="263">
        <f t="shared" si="21"/>
        <v>0</v>
      </c>
      <c r="G39" s="263">
        <f t="shared" si="21"/>
        <v>0</v>
      </c>
      <c r="H39" s="263">
        <f t="shared" si="21"/>
        <v>0</v>
      </c>
      <c r="I39" s="263">
        <f t="shared" si="21"/>
        <v>0</v>
      </c>
      <c r="J39" s="263">
        <f t="shared" si="21"/>
        <v>0</v>
      </c>
      <c r="K39" s="263">
        <f t="shared" si="21"/>
        <v>0</v>
      </c>
      <c r="L39" s="263">
        <f t="shared" si="21"/>
        <v>0</v>
      </c>
      <c r="M39" s="263">
        <f t="shared" si="21"/>
        <v>0</v>
      </c>
      <c r="N39" s="263">
        <f t="shared" si="21"/>
        <v>0</v>
      </c>
      <c r="O39" s="263">
        <f t="shared" si="21"/>
        <v>-332188.51051558257</v>
      </c>
      <c r="P39" s="263">
        <f t="shared" si="21"/>
        <v>0</v>
      </c>
    </row>
    <row r="40" spans="3:16" x14ac:dyDescent="0.55000000000000004">
      <c r="C40" s="197" t="s">
        <v>173</v>
      </c>
      <c r="E40" s="261">
        <f>E39+E31</f>
        <v>29917688.818116434</v>
      </c>
      <c r="F40" s="261">
        <f t="shared" ref="F40:P40" si="22">F39+F31</f>
        <v>-465423.07849999488</v>
      </c>
      <c r="G40" s="261">
        <f t="shared" si="22"/>
        <v>-285004.44256999803</v>
      </c>
      <c r="H40" s="261">
        <f t="shared" si="22"/>
        <v>-582890.6209963978</v>
      </c>
      <c r="I40" s="261">
        <f t="shared" si="22"/>
        <v>-643612.00567857607</v>
      </c>
      <c r="J40" s="261">
        <f t="shared" si="22"/>
        <v>-705699.72522226209</v>
      </c>
      <c r="K40" s="261">
        <f t="shared" si="22"/>
        <v>-595284.37759263895</v>
      </c>
      <c r="L40" s="261">
        <f t="shared" si="22"/>
        <v>127024.27110384931</v>
      </c>
      <c r="M40" s="261">
        <f t="shared" si="22"/>
        <v>3244646.1859442163</v>
      </c>
      <c r="N40" s="261">
        <f t="shared" si="22"/>
        <v>-1184960.3076317371</v>
      </c>
      <c r="O40" s="261">
        <f t="shared" si="22"/>
        <v>-74730048.37972115</v>
      </c>
      <c r="P40" s="261">
        <f t="shared" si="22"/>
        <v>0</v>
      </c>
    </row>
    <row r="41" spans="3:16" x14ac:dyDescent="0.55000000000000004">
      <c r="C41" s="262" t="s">
        <v>168</v>
      </c>
      <c r="E41" s="244">
        <f>XIRR(E40:P40,E9:P9)</f>
        <v>0.10040200352668763</v>
      </c>
    </row>
    <row r="42" spans="3:16" x14ac:dyDescent="0.55000000000000004">
      <c r="C42" s="197"/>
    </row>
    <row r="43" spans="3:16" x14ac:dyDescent="0.55000000000000004">
      <c r="C43" s="197" t="s">
        <v>174</v>
      </c>
      <c r="E43" s="263">
        <f t="shared" ref="E43:P43" si="23">E37*$S$20</f>
        <v>0</v>
      </c>
      <c r="F43" s="263">
        <f t="shared" si="23"/>
        <v>0</v>
      </c>
      <c r="G43" s="263">
        <f t="shared" si="23"/>
        <v>0</v>
      </c>
      <c r="H43" s="263">
        <f t="shared" si="23"/>
        <v>0</v>
      </c>
      <c r="I43" s="263">
        <f t="shared" si="23"/>
        <v>0</v>
      </c>
      <c r="J43" s="263">
        <f t="shared" si="23"/>
        <v>0</v>
      </c>
      <c r="K43" s="263">
        <f t="shared" si="23"/>
        <v>0</v>
      </c>
      <c r="L43" s="263">
        <f t="shared" si="23"/>
        <v>0</v>
      </c>
      <c r="M43" s="263">
        <f t="shared" si="23"/>
        <v>0</v>
      </c>
      <c r="N43" s="263">
        <f t="shared" si="23"/>
        <v>0</v>
      </c>
      <c r="O43" s="263">
        <f t="shared" si="23"/>
        <v>83047.127628895643</v>
      </c>
      <c r="P43" s="263">
        <f t="shared" si="23"/>
        <v>0</v>
      </c>
    </row>
    <row r="44" spans="3:16" x14ac:dyDescent="0.55000000000000004">
      <c r="C44" s="197" t="s">
        <v>173</v>
      </c>
      <c r="E44" s="261">
        <f t="shared" ref="E44:P44" si="24">E43+E34</f>
        <v>-3324187.6464573815</v>
      </c>
      <c r="F44" s="261">
        <f t="shared" si="24"/>
        <v>51713.675388888281</v>
      </c>
      <c r="G44" s="261">
        <f t="shared" si="24"/>
        <v>31667.16028555535</v>
      </c>
      <c r="H44" s="261">
        <f t="shared" si="24"/>
        <v>64765.624555155286</v>
      </c>
      <c r="I44" s="261">
        <f t="shared" si="24"/>
        <v>71512.445075397263</v>
      </c>
      <c r="J44" s="261">
        <f t="shared" si="24"/>
        <v>78411.080580251291</v>
      </c>
      <c r="K44" s="261">
        <f t="shared" si="24"/>
        <v>66142.70862140425</v>
      </c>
      <c r="L44" s="261">
        <f t="shared" si="24"/>
        <v>-14113.807900427695</v>
      </c>
      <c r="M44" s="261">
        <f t="shared" si="24"/>
        <v>-360516.24288269039</v>
      </c>
      <c r="N44" s="261">
        <f t="shared" si="24"/>
        <v>131662.25640352629</v>
      </c>
      <c r="O44" s="261">
        <f t="shared" si="24"/>
        <v>8349476.001985061</v>
      </c>
      <c r="P44" s="261">
        <f t="shared" si="24"/>
        <v>0</v>
      </c>
    </row>
    <row r="45" spans="3:16" x14ac:dyDescent="0.55000000000000004">
      <c r="C45" s="262" t="s">
        <v>170</v>
      </c>
      <c r="E45" s="244">
        <f>XIRR(E44:P44,E9:P9)</f>
        <v>0.10101109147071838</v>
      </c>
    </row>
    <row r="47" spans="3:16" x14ac:dyDescent="0.55000000000000004">
      <c r="C47" s="197" t="s">
        <v>175</v>
      </c>
      <c r="F47" s="261"/>
      <c r="G47" s="261"/>
      <c r="H47" s="261"/>
      <c r="I47" s="261"/>
      <c r="J47" s="261"/>
      <c r="K47" s="261"/>
      <c r="L47" s="261"/>
      <c r="M47" s="261"/>
      <c r="N47" s="261"/>
    </row>
    <row r="48" spans="3:16" x14ac:dyDescent="0.55000000000000004">
      <c r="C48" s="197" t="s">
        <v>176</v>
      </c>
      <c r="E48" s="261">
        <v>1569457</v>
      </c>
      <c r="O48" s="261">
        <v>3153406</v>
      </c>
    </row>
    <row r="50" spans="3:15" x14ac:dyDescent="0.55000000000000004">
      <c r="C50" s="4" t="s">
        <v>177</v>
      </c>
      <c r="E50" s="261">
        <f>E48+E44</f>
        <v>-1754730.6464573815</v>
      </c>
      <c r="F50" s="261">
        <f t="shared" ref="F50:O50" si="25">F48+F44</f>
        <v>51713.675388888281</v>
      </c>
      <c r="G50" s="261">
        <f t="shared" si="25"/>
        <v>31667.16028555535</v>
      </c>
      <c r="H50" s="261">
        <f t="shared" si="25"/>
        <v>64765.624555155286</v>
      </c>
      <c r="I50" s="261">
        <f t="shared" si="25"/>
        <v>71512.445075397263</v>
      </c>
      <c r="J50" s="261">
        <f t="shared" si="25"/>
        <v>78411.080580251291</v>
      </c>
      <c r="K50" s="261">
        <f t="shared" si="25"/>
        <v>66142.70862140425</v>
      </c>
      <c r="L50" s="261">
        <f t="shared" si="25"/>
        <v>-14113.807900427695</v>
      </c>
      <c r="M50" s="261">
        <f t="shared" si="25"/>
        <v>-360516.24288269039</v>
      </c>
      <c r="N50" s="261">
        <f t="shared" si="25"/>
        <v>131662.25640352629</v>
      </c>
      <c r="O50" s="261">
        <f t="shared" si="25"/>
        <v>11502882.001985062</v>
      </c>
    </row>
    <row r="51" spans="3:15" x14ac:dyDescent="0.55000000000000004">
      <c r="E51" s="244">
        <f>XIRR(E50:P50,E9:P9)</f>
        <v>0.21571609377861023</v>
      </c>
    </row>
    <row r="53" spans="3:15" x14ac:dyDescent="0.55000000000000004">
      <c r="F53" s="238"/>
    </row>
    <row r="54" spans="3:15" x14ac:dyDescent="0.55000000000000004">
      <c r="C54" s="4" t="s">
        <v>53</v>
      </c>
      <c r="E54" s="222">
        <f>E10</f>
        <v>-68849457</v>
      </c>
      <c r="F54" s="222">
        <f>F10</f>
        <v>2961581.19833333</v>
      </c>
      <c r="G54" s="222">
        <f t="shared" ref="G54:O54" si="26">G10</f>
        <v>2761116.0473000002</v>
      </c>
      <c r="H54" s="222">
        <f t="shared" si="26"/>
        <v>3092100.6899959999</v>
      </c>
      <c r="I54" s="222">
        <f t="shared" si="26"/>
        <v>3159568.8951984202</v>
      </c>
      <c r="J54" s="222">
        <f t="shared" si="26"/>
        <v>3228555.2502469602</v>
      </c>
      <c r="K54" s="222">
        <f t="shared" si="26"/>
        <v>3105871.53065849</v>
      </c>
      <c r="L54" s="222">
        <f t="shared" si="26"/>
        <v>2303306.3654401698</v>
      </c>
      <c r="M54" s="222">
        <f t="shared" si="26"/>
        <v>-1160717.9843824599</v>
      </c>
      <c r="N54" s="222">
        <f t="shared" si="26"/>
        <v>3761067.0084797102</v>
      </c>
      <c r="O54" s="222">
        <f t="shared" si="26"/>
        <v>115023574.73468429</v>
      </c>
    </row>
    <row r="55" spans="3:15" x14ac:dyDescent="0.55000000000000004">
      <c r="E55" s="244">
        <f>IRR(E54:O54)</f>
        <v>8.19373583374845E-2</v>
      </c>
    </row>
  </sheetData>
  <conditionalFormatting sqref="AB11:AL11">
    <cfRule type="expression" dxfId="0" priority="1">
      <formula>(AB17:AL17)&lt;&gt;0</formula>
    </cfRule>
  </conditionalFormatting>
  <dataValidations count="1">
    <dataValidation type="list" allowBlank="1" showInputMessage="1" showErrorMessage="1" sqref="S10" xr:uid="{79381117-F75B-4623-AE85-3DF907FAFCBE}">
      <formula1>"1,2,3,4"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F22A-C8C9-4175-B7E8-6F016CDF43F3}">
  <dimension ref="B2:AA12"/>
  <sheetViews>
    <sheetView showGridLines="0" topLeftCell="O1" zoomScale="134" zoomScaleNormal="131" workbookViewId="0">
      <selection activeCell="T13" sqref="T13"/>
    </sheetView>
  </sheetViews>
  <sheetFormatPr defaultColWidth="9" defaultRowHeight="15.4" x14ac:dyDescent="0.55000000000000004"/>
  <cols>
    <col min="1" max="1" width="9" style="265"/>
    <col min="2" max="2" width="45.1328125" style="265" bestFit="1" customWidth="1"/>
    <col min="3" max="3" width="15.1328125" style="265" bestFit="1" customWidth="1"/>
    <col min="4" max="4" width="7.59765625" style="266" bestFit="1" customWidth="1"/>
    <col min="5" max="5" width="9.265625" style="265" bestFit="1" customWidth="1"/>
    <col min="6" max="6" width="8" style="265" bestFit="1" customWidth="1"/>
    <col min="7" max="7" width="11.86328125" style="265" bestFit="1" customWidth="1"/>
    <col min="8" max="8" width="12" style="265" bestFit="1" customWidth="1"/>
    <col min="9" max="9" width="4.73046875" style="265" bestFit="1" customWidth="1"/>
    <col min="10" max="10" width="11" style="265" bestFit="1" customWidth="1"/>
    <col min="11" max="11" width="6.1328125" style="267" bestFit="1" customWidth="1"/>
    <col min="12" max="12" width="6.73046875" style="300" bestFit="1" customWidth="1"/>
    <col min="13" max="14" width="9" style="265"/>
    <col min="15" max="16" width="5.86328125" style="265" bestFit="1" customWidth="1"/>
    <col min="17" max="17" width="12.73046875" style="265" bestFit="1" customWidth="1"/>
    <col min="18" max="18" width="9.1328125" style="265" bestFit="1" customWidth="1"/>
    <col min="19" max="19" width="9" style="265"/>
    <col min="20" max="20" width="45.3984375" style="265" bestFit="1" customWidth="1"/>
    <col min="21" max="21" width="9" style="265"/>
    <col min="22" max="22" width="9.59765625" style="265" bestFit="1" customWidth="1"/>
    <col min="23" max="23" width="9" style="265"/>
    <col min="24" max="24" width="12.3984375" style="265" bestFit="1" customWidth="1"/>
    <col min="25" max="25" width="13.73046875" style="265" bestFit="1" customWidth="1"/>
    <col min="26" max="26" width="13.73046875" style="265" customWidth="1"/>
    <col min="27" max="16384" width="9" style="265"/>
  </cols>
  <sheetData>
    <row r="2" spans="2:27" x14ac:dyDescent="0.55000000000000004">
      <c r="L2" s="268">
        <v>1</v>
      </c>
      <c r="O2" s="269" t="s">
        <v>178</v>
      </c>
      <c r="P2" s="270" t="s">
        <v>179</v>
      </c>
      <c r="Q2" s="270" t="s">
        <v>180</v>
      </c>
      <c r="R2" s="271" t="s">
        <v>181</v>
      </c>
      <c r="T2" s="272" t="s">
        <v>182</v>
      </c>
      <c r="U2" s="273">
        <v>0.03</v>
      </c>
    </row>
    <row r="3" spans="2:27" s="275" customFormat="1" x14ac:dyDescent="0.55000000000000004">
      <c r="B3" s="323" t="s">
        <v>183</v>
      </c>
      <c r="C3" s="339" t="s">
        <v>184</v>
      </c>
      <c r="D3" s="331" t="s">
        <v>95</v>
      </c>
      <c r="E3" s="332" t="s">
        <v>185</v>
      </c>
      <c r="F3" s="321" t="s">
        <v>157</v>
      </c>
      <c r="G3" s="321" t="s">
        <v>186</v>
      </c>
      <c r="H3" s="321" t="s">
        <v>50</v>
      </c>
      <c r="I3" s="317" t="s">
        <v>187</v>
      </c>
      <c r="J3" s="320" t="s">
        <v>188</v>
      </c>
      <c r="K3" s="340" t="s">
        <v>189</v>
      </c>
      <c r="L3" s="322" t="s">
        <v>190</v>
      </c>
      <c r="O3" s="269">
        <f>MIN(F4:F8)</f>
        <v>2005</v>
      </c>
      <c r="P3" s="270">
        <f>MAX(F4:F8)</f>
        <v>2015</v>
      </c>
      <c r="Q3" s="270">
        <f ca="1">YEAR(TODAY())</f>
        <v>2025</v>
      </c>
      <c r="R3" s="271">
        <f ca="1">Q3-P3</f>
        <v>10</v>
      </c>
      <c r="T3" s="348" t="s">
        <v>183</v>
      </c>
      <c r="U3" s="349" t="s">
        <v>191</v>
      </c>
      <c r="V3" s="350" t="s">
        <v>95</v>
      </c>
      <c r="W3" s="350" t="s">
        <v>192</v>
      </c>
      <c r="X3" s="351" t="s">
        <v>188</v>
      </c>
      <c r="Y3" s="352" t="s">
        <v>193</v>
      </c>
      <c r="Z3" s="353" t="s">
        <v>194</v>
      </c>
      <c r="AA3" s="352" t="s">
        <v>195</v>
      </c>
    </row>
    <row r="4" spans="2:27" x14ac:dyDescent="0.55000000000000004">
      <c r="B4" s="276" t="s">
        <v>196</v>
      </c>
      <c r="C4" s="325">
        <v>4.6620729999999999E-2</v>
      </c>
      <c r="D4" s="328">
        <v>527000</v>
      </c>
      <c r="E4" s="333">
        <v>42361</v>
      </c>
      <c r="F4" s="336">
        <v>2015</v>
      </c>
      <c r="G4" s="303">
        <v>87.67</v>
      </c>
      <c r="H4" s="303">
        <v>46202090</v>
      </c>
      <c r="I4" s="279">
        <v>87.67</v>
      </c>
      <c r="J4" s="303">
        <v>2153975.1633257</v>
      </c>
      <c r="K4" s="280">
        <v>4.0872393990999996</v>
      </c>
      <c r="L4" s="281">
        <v>0.25</v>
      </c>
      <c r="N4" s="265" t="s">
        <v>197</v>
      </c>
      <c r="O4" s="282">
        <f>SUMPRODUCT({0.0557,0.0624,0.0534},{0.4,0.4,0.2})</f>
        <v>5.7920000000000006E-2</v>
      </c>
      <c r="P4" s="283">
        <f>SUMPRODUCT({0.0466,0.0524,0.0534},{0.4,0.4,0.2})</f>
        <v>5.0280000000000005E-2</v>
      </c>
      <c r="Q4" s="313">
        <f>AVERAGE(O4:P4)</f>
        <v>5.4100000000000009E-2</v>
      </c>
      <c r="R4" s="284">
        <f ca="1">Q4+(R3*0.00015)</f>
        <v>5.5600000000000011E-2</v>
      </c>
      <c r="T4" s="285" t="s">
        <v>196</v>
      </c>
      <c r="U4" s="288">
        <f>F4</f>
        <v>2015</v>
      </c>
      <c r="V4" s="289">
        <f>D4</f>
        <v>527000</v>
      </c>
      <c r="W4" s="274">
        <f ca="1">YEAR(TODAY())-U4</f>
        <v>10</v>
      </c>
      <c r="X4" s="303">
        <f>INDEX($J$4:$J$8,MATCH($T4,B4:B8))</f>
        <v>2153975.1633257</v>
      </c>
      <c r="Y4" s="310">
        <f ca="1">X4*(1+$U$2)^(W4-1)</f>
        <v>2810449.0317415902</v>
      </c>
      <c r="Z4" s="309">
        <f ca="1">Y4/D4</f>
        <v>5.3329203638360347</v>
      </c>
      <c r="AA4" s="306">
        <f>L4</f>
        <v>0.25</v>
      </c>
    </row>
    <row r="5" spans="2:27" x14ac:dyDescent="0.55000000000000004">
      <c r="B5" s="277" t="s">
        <v>198</v>
      </c>
      <c r="C5" s="326">
        <v>5.2365059999999998E-2</v>
      </c>
      <c r="D5" s="329">
        <v>586000</v>
      </c>
      <c r="E5" s="334">
        <v>41613</v>
      </c>
      <c r="F5" s="337">
        <v>2013</v>
      </c>
      <c r="G5" s="304">
        <v>67.06</v>
      </c>
      <c r="H5" s="304">
        <v>39297160</v>
      </c>
      <c r="I5" s="290">
        <v>67.06</v>
      </c>
      <c r="J5" s="304">
        <v>2057798.1412295999</v>
      </c>
      <c r="K5" s="291">
        <v>3.5116009236000001</v>
      </c>
      <c r="L5" s="281">
        <v>0.3</v>
      </c>
      <c r="T5" s="286" t="s">
        <v>198</v>
      </c>
      <c r="U5" s="292">
        <f t="shared" ref="U5:U8" si="0">F5</f>
        <v>2013</v>
      </c>
      <c r="V5" s="302">
        <f t="shared" ref="V5:V8" si="1">D5</f>
        <v>586000</v>
      </c>
      <c r="W5" s="275">
        <f t="shared" ref="W5:W8" ca="1" si="2">YEAR(TODAY())-U5</f>
        <v>12</v>
      </c>
      <c r="X5" s="304">
        <f t="shared" ref="X5:X8" si="3">INDEX($J$4:$J$8,MATCH($T5,B5:B9))</f>
        <v>3030769.2312099999</v>
      </c>
      <c r="Y5" s="311">
        <f t="shared" ref="Y5:Y8" ca="1" si="4">X5*(1+$U$2)^(W5-1)</f>
        <v>4195293.4241903704</v>
      </c>
      <c r="Z5" s="309">
        <f t="shared" ref="Z5:Z8" ca="1" si="5">Y5/D5</f>
        <v>7.1592037955467074</v>
      </c>
      <c r="AA5" s="307">
        <f t="shared" ref="AA5:AA8" si="6">L5</f>
        <v>0.3</v>
      </c>
    </row>
    <row r="6" spans="2:27" x14ac:dyDescent="0.55000000000000004">
      <c r="B6" s="277" t="s">
        <v>199</v>
      </c>
      <c r="C6" s="326">
        <v>5.571152E-2</v>
      </c>
      <c r="D6" s="329">
        <v>784000</v>
      </c>
      <c r="E6" s="334">
        <v>39079</v>
      </c>
      <c r="F6" s="337">
        <v>2006</v>
      </c>
      <c r="G6" s="304">
        <v>68.88</v>
      </c>
      <c r="H6" s="304">
        <v>54001920</v>
      </c>
      <c r="I6" s="290">
        <v>68.88</v>
      </c>
      <c r="J6" s="304">
        <v>3008529.0461184001</v>
      </c>
      <c r="K6" s="291">
        <v>3.8374094975999999</v>
      </c>
      <c r="L6" s="281">
        <v>0.15</v>
      </c>
      <c r="T6" s="286" t="s">
        <v>199</v>
      </c>
      <c r="U6" s="292">
        <f t="shared" si="0"/>
        <v>2006</v>
      </c>
      <c r="V6" s="302">
        <f t="shared" si="1"/>
        <v>784000</v>
      </c>
      <c r="W6" s="275">
        <f t="shared" ca="1" si="2"/>
        <v>19</v>
      </c>
      <c r="X6" s="304">
        <f t="shared" si="3"/>
        <v>3008529.0461184001</v>
      </c>
      <c r="Y6" s="311">
        <f t="shared" ca="1" si="4"/>
        <v>5121819.3138125138</v>
      </c>
      <c r="Z6" s="309">
        <f t="shared" ca="1" si="5"/>
        <v>6.532932798230247</v>
      </c>
      <c r="AA6" s="307">
        <f t="shared" si="6"/>
        <v>0.15</v>
      </c>
    </row>
    <row r="7" spans="2:27" x14ac:dyDescent="0.55000000000000004">
      <c r="B7" s="277" t="s">
        <v>200</v>
      </c>
      <c r="C7" s="326">
        <v>5.571152E-2</v>
      </c>
      <c r="D7" s="329">
        <v>584000</v>
      </c>
      <c r="E7" s="334">
        <v>39022</v>
      </c>
      <c r="F7" s="337">
        <v>2006</v>
      </c>
      <c r="G7" s="304">
        <v>67.64</v>
      </c>
      <c r="H7" s="304">
        <v>39501760</v>
      </c>
      <c r="I7" s="290">
        <v>67.64</v>
      </c>
      <c r="J7" s="304">
        <v>2200703.0922751999</v>
      </c>
      <c r="K7" s="291">
        <v>3.7683272128</v>
      </c>
      <c r="L7" s="281">
        <v>0.15</v>
      </c>
      <c r="T7" s="286" t="s">
        <v>200</v>
      </c>
      <c r="U7" s="292">
        <f t="shared" si="0"/>
        <v>2006</v>
      </c>
      <c r="V7" s="302">
        <f t="shared" si="1"/>
        <v>584000</v>
      </c>
      <c r="W7" s="275">
        <f t="shared" ca="1" si="2"/>
        <v>19</v>
      </c>
      <c r="X7" s="304">
        <f t="shared" si="3"/>
        <v>2153975.1633257</v>
      </c>
      <c r="Y7" s="311">
        <f t="shared" ca="1" si="4"/>
        <v>3666998.5311352918</v>
      </c>
      <c r="Z7" s="309">
        <f t="shared" ca="1" si="5"/>
        <v>6.2791070738618009</v>
      </c>
      <c r="AA7" s="307">
        <f t="shared" si="6"/>
        <v>0.15</v>
      </c>
    </row>
    <row r="8" spans="2:27" x14ac:dyDescent="0.55000000000000004">
      <c r="B8" s="278" t="s">
        <v>201</v>
      </c>
      <c r="C8" s="327">
        <v>6.2362790000000001E-2</v>
      </c>
      <c r="D8" s="330">
        <v>575000</v>
      </c>
      <c r="E8" s="335">
        <v>38508</v>
      </c>
      <c r="F8" s="338">
        <v>2005</v>
      </c>
      <c r="G8" s="305">
        <v>84.52</v>
      </c>
      <c r="H8" s="305">
        <v>48599000</v>
      </c>
      <c r="I8" s="293">
        <v>84.52</v>
      </c>
      <c r="J8" s="305">
        <v>3030769.2312099999</v>
      </c>
      <c r="K8" s="294">
        <v>5.2709030107999997</v>
      </c>
      <c r="L8" s="295">
        <v>0.15</v>
      </c>
      <c r="T8" s="287" t="s">
        <v>201</v>
      </c>
      <c r="U8" s="296">
        <f t="shared" si="0"/>
        <v>2005</v>
      </c>
      <c r="V8" s="297">
        <f t="shared" si="1"/>
        <v>575000</v>
      </c>
      <c r="W8" s="298">
        <f t="shared" ca="1" si="2"/>
        <v>20</v>
      </c>
      <c r="X8" s="305">
        <f t="shared" si="3"/>
        <v>2153975.1633257</v>
      </c>
      <c r="Y8" s="312">
        <f t="shared" ca="1" si="4"/>
        <v>3777008.4870693507</v>
      </c>
      <c r="Z8" s="309">
        <f t="shared" ca="1" si="5"/>
        <v>6.5687104122945232</v>
      </c>
      <c r="AA8" s="308">
        <f t="shared" si="6"/>
        <v>0.15</v>
      </c>
    </row>
    <row r="9" spans="2:27" x14ac:dyDescent="0.55000000000000004">
      <c r="B9" s="324" t="s">
        <v>202</v>
      </c>
      <c r="C9" s="341">
        <f>SUMPRODUCT($C$4:$C$8,$L$4:$L$8)</f>
        <v>5.3432574999999996E-2</v>
      </c>
      <c r="D9" s="342">
        <f>SUMPRODUCT(D$4:D$8,$L$4:$L$8)</f>
        <v>599000</v>
      </c>
      <c r="E9" s="332"/>
      <c r="F9" s="317"/>
      <c r="G9" s="318"/>
      <c r="H9" s="343">
        <f>SUMPRODUCT(H$4:H$8,$L$4:$L$8)</f>
        <v>44655072.5</v>
      </c>
      <c r="I9" s="344">
        <f>SUMPRODUCT(I$4:I$8,$L$4:$L$8)</f>
        <v>75.191500000000005</v>
      </c>
      <c r="J9" s="345">
        <f>SUMPRODUCT(J$4:J$8,$L$4:$L$8)</f>
        <v>2391833.438640845</v>
      </c>
      <c r="K9" s="346">
        <f>SUMPRODUCT(K$4:K$8,$L$4:$L$8)</f>
        <v>4.0067860850350003</v>
      </c>
      <c r="L9" s="319">
        <f>SUM(L4:L8)</f>
        <v>1</v>
      </c>
      <c r="T9" s="354" t="s">
        <v>203</v>
      </c>
      <c r="U9" s="355"/>
      <c r="V9" s="355"/>
      <c r="W9" s="355"/>
      <c r="X9" s="355"/>
      <c r="Y9" s="356">
        <f ca="1">SUMPRODUCT(Y$4:Y$8,AA4:AA8)</f>
        <v>3846074.234995082</v>
      </c>
      <c r="Z9" s="357"/>
      <c r="AA9" s="358">
        <f>SUM(AA4:AA8)</f>
        <v>1</v>
      </c>
    </row>
    <row r="10" spans="2:27" x14ac:dyDescent="0.55000000000000004">
      <c r="C10" s="299"/>
    </row>
    <row r="11" spans="2:27" x14ac:dyDescent="0.55000000000000004">
      <c r="C11" s="299"/>
    </row>
    <row r="12" spans="2:27" x14ac:dyDescent="0.55000000000000004">
      <c r="C12" s="29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C716-8E34-4362-935D-A5C15D71EED2}">
  <dimension ref="B4:N7"/>
  <sheetViews>
    <sheetView showGridLines="0" workbookViewId="0">
      <selection activeCell="E18" sqref="E18"/>
    </sheetView>
  </sheetViews>
  <sheetFormatPr defaultColWidth="9" defaultRowHeight="15.4" x14ac:dyDescent="0.55000000000000004"/>
  <cols>
    <col min="1" max="1" width="9" style="4"/>
    <col min="2" max="2" width="10.86328125" style="4" customWidth="1"/>
    <col min="3" max="3" width="9" style="4"/>
    <col min="4" max="14" width="9.1328125" style="4" customWidth="1"/>
    <col min="15" max="16384" width="9" style="4"/>
  </cols>
  <sheetData>
    <row r="4" spans="2:14" x14ac:dyDescent="0.55000000000000004">
      <c r="D4" s="314">
        <v>46357</v>
      </c>
      <c r="E4" s="314">
        <f>EDATE(D4,12)</f>
        <v>46722</v>
      </c>
      <c r="F4" s="314">
        <f t="shared" ref="F4:N4" si="0">EDATE(E4,12)</f>
        <v>47088</v>
      </c>
      <c r="G4" s="314">
        <f t="shared" si="0"/>
        <v>47453</v>
      </c>
      <c r="H4" s="314">
        <f t="shared" si="0"/>
        <v>47818</v>
      </c>
      <c r="I4" s="314">
        <f t="shared" si="0"/>
        <v>48183</v>
      </c>
      <c r="J4" s="314">
        <f t="shared" si="0"/>
        <v>48549</v>
      </c>
      <c r="K4" s="314">
        <f t="shared" si="0"/>
        <v>48914</v>
      </c>
      <c r="L4" s="314">
        <f t="shared" si="0"/>
        <v>49279</v>
      </c>
      <c r="M4" s="314">
        <f t="shared" si="0"/>
        <v>49644</v>
      </c>
      <c r="N4" s="314">
        <f t="shared" si="0"/>
        <v>50010</v>
      </c>
    </row>
    <row r="5" spans="2:14" x14ac:dyDescent="0.55000000000000004">
      <c r="B5" s="316" t="s">
        <v>204</v>
      </c>
      <c r="D5" s="315">
        <v>0.03</v>
      </c>
      <c r="E5" s="315">
        <v>0.03</v>
      </c>
      <c r="F5" s="315">
        <v>0.03</v>
      </c>
      <c r="G5" s="315">
        <v>0.03</v>
      </c>
      <c r="H5" s="315">
        <v>0.03</v>
      </c>
      <c r="I5" s="315">
        <v>0.03</v>
      </c>
      <c r="J5" s="315">
        <v>0.03</v>
      </c>
      <c r="K5" s="315">
        <v>0.03</v>
      </c>
      <c r="L5" s="315">
        <v>0.03</v>
      </c>
      <c r="M5" s="315">
        <v>0.03</v>
      </c>
      <c r="N5" s="315">
        <v>0.03</v>
      </c>
    </row>
    <row r="6" spans="2:14" x14ac:dyDescent="0.55000000000000004">
      <c r="B6" s="316" t="s">
        <v>2</v>
      </c>
      <c r="D6" s="315">
        <v>0.03</v>
      </c>
      <c r="E6" s="315">
        <v>0.03</v>
      </c>
      <c r="F6" s="315">
        <v>0.03</v>
      </c>
      <c r="G6" s="315">
        <v>0.03</v>
      </c>
      <c r="H6" s="315">
        <v>0.03</v>
      </c>
      <c r="I6" s="315">
        <v>2.1999999999999999E-2</v>
      </c>
      <c r="J6" s="315">
        <v>2.1999999999999999E-2</v>
      </c>
      <c r="K6" s="315">
        <v>2.1999999999999999E-2</v>
      </c>
      <c r="L6" s="315">
        <v>2.1999999999999999E-2</v>
      </c>
      <c r="M6" s="315">
        <v>2.1999999999999999E-2</v>
      </c>
      <c r="N6" s="315">
        <v>2.1999999999999999E-2</v>
      </c>
    </row>
    <row r="7" spans="2:14" x14ac:dyDescent="0.55000000000000004">
      <c r="B7" s="316" t="s">
        <v>3</v>
      </c>
      <c r="D7" s="315">
        <v>0.03</v>
      </c>
      <c r="E7" s="315">
        <v>0.03</v>
      </c>
      <c r="F7" s="315">
        <v>0.03</v>
      </c>
      <c r="G7" s="315">
        <v>0.03</v>
      </c>
      <c r="H7" s="315">
        <v>0.03</v>
      </c>
      <c r="I7" s="315">
        <v>0.03</v>
      </c>
      <c r="J7" s="315">
        <v>0.03</v>
      </c>
      <c r="K7" s="315">
        <v>0.03</v>
      </c>
      <c r="L7" s="315">
        <v>0.03</v>
      </c>
      <c r="M7" s="315">
        <v>0.03</v>
      </c>
      <c r="N7" s="315">
        <v>0.03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BA01-96CA-4EBD-8950-321556647665}">
  <sheetPr>
    <tabColor theme="7" tint="0.79998168889431442"/>
  </sheetPr>
  <dimension ref="B2:I40"/>
  <sheetViews>
    <sheetView showGridLines="0" zoomScale="64" workbookViewId="0">
      <selection activeCell="O17" sqref="O17:O18"/>
    </sheetView>
  </sheetViews>
  <sheetFormatPr defaultColWidth="9" defaultRowHeight="16.5" x14ac:dyDescent="0.6"/>
  <cols>
    <col min="1" max="1" width="9" style="153"/>
    <col min="2" max="2" width="12.73046875" style="153" customWidth="1"/>
    <col min="3" max="3" width="18.1328125" style="153" customWidth="1"/>
    <col min="4" max="4" width="17.1328125" style="183" customWidth="1"/>
    <col min="5" max="5" width="11.265625" style="183" customWidth="1"/>
    <col min="6" max="6" width="9" style="153" customWidth="1"/>
    <col min="7" max="7" width="9" style="184" customWidth="1"/>
    <col min="8" max="8" width="9" style="153" customWidth="1"/>
    <col min="9" max="9" width="21.3984375" style="153" customWidth="1"/>
    <col min="10" max="16384" width="9" style="153"/>
  </cols>
  <sheetData>
    <row r="2" spans="2:9" x14ac:dyDescent="0.6">
      <c r="B2" s="389" t="s">
        <v>205</v>
      </c>
      <c r="C2" s="390"/>
      <c r="D2" s="391"/>
      <c r="E2" s="150"/>
      <c r="F2" s="151"/>
      <c r="G2" s="152"/>
      <c r="H2" s="151"/>
      <c r="I2" s="151"/>
    </row>
    <row r="3" spans="2:9" s="158" customFormat="1" x14ac:dyDescent="0.6">
      <c r="B3" s="154"/>
      <c r="C3" s="154"/>
      <c r="D3" s="154"/>
      <c r="E3" s="155" t="s">
        <v>206</v>
      </c>
      <c r="F3" s="156" t="s">
        <v>207</v>
      </c>
      <c r="G3" s="156" t="s">
        <v>179</v>
      </c>
      <c r="H3" s="156" t="s">
        <v>208</v>
      </c>
      <c r="I3" s="157" t="s">
        <v>209</v>
      </c>
    </row>
    <row r="4" spans="2:9" x14ac:dyDescent="0.6">
      <c r="B4" s="159" t="s">
        <v>210</v>
      </c>
      <c r="C4" s="160"/>
      <c r="D4" s="160"/>
      <c r="E4" s="161">
        <v>50</v>
      </c>
      <c r="F4" s="162">
        <v>6.8924200000000004</v>
      </c>
      <c r="G4" s="162">
        <v>20.4175</v>
      </c>
      <c r="H4" s="162">
        <v>2.5608557114279402</v>
      </c>
      <c r="I4" s="163">
        <v>11.748450099999999</v>
      </c>
    </row>
    <row r="5" spans="2:9" x14ac:dyDescent="0.6">
      <c r="B5" s="164"/>
      <c r="C5" s="165" t="s">
        <v>211</v>
      </c>
      <c r="D5" s="166"/>
      <c r="E5" s="167">
        <v>1</v>
      </c>
      <c r="F5" s="168">
        <v>10.203900000000001</v>
      </c>
      <c r="G5" s="168">
        <v>10.203900000000001</v>
      </c>
      <c r="H5" s="168"/>
      <c r="I5" s="169">
        <v>10.203900000000001</v>
      </c>
    </row>
    <row r="6" spans="2:9" x14ac:dyDescent="0.6">
      <c r="B6" s="170"/>
      <c r="C6" s="171"/>
      <c r="D6" s="171" t="s">
        <v>212</v>
      </c>
      <c r="E6" s="172">
        <v>1</v>
      </c>
      <c r="F6" s="173">
        <v>10.203900000000001</v>
      </c>
      <c r="G6" s="173">
        <v>10.203900000000001</v>
      </c>
      <c r="H6" s="173"/>
      <c r="I6" s="174">
        <v>10.203900000000001</v>
      </c>
    </row>
    <row r="7" spans="2:9" x14ac:dyDescent="0.6">
      <c r="B7" s="170"/>
      <c r="C7" s="165" t="s">
        <v>213</v>
      </c>
      <c r="D7" s="166"/>
      <c r="E7" s="167">
        <v>3</v>
      </c>
      <c r="F7" s="168">
        <v>13.0548</v>
      </c>
      <c r="G7" s="168">
        <v>14.1289</v>
      </c>
      <c r="H7" s="168">
        <v>0.54345147284118445</v>
      </c>
      <c r="I7" s="169">
        <v>13.639866666666668</v>
      </c>
    </row>
    <row r="8" spans="2:9" x14ac:dyDescent="0.6">
      <c r="B8" s="170"/>
      <c r="C8" s="170"/>
      <c r="D8" s="170" t="s">
        <v>212</v>
      </c>
      <c r="E8" s="172">
        <v>1</v>
      </c>
      <c r="F8" s="173">
        <v>13.735900000000001</v>
      </c>
      <c r="G8" s="173">
        <v>13.735900000000001</v>
      </c>
      <c r="H8" s="173"/>
      <c r="I8" s="174">
        <v>13.735900000000001</v>
      </c>
    </row>
    <row r="9" spans="2:9" x14ac:dyDescent="0.6">
      <c r="B9" s="170"/>
      <c r="C9" s="171"/>
      <c r="D9" s="171" t="s">
        <v>214</v>
      </c>
      <c r="E9" s="172">
        <v>2</v>
      </c>
      <c r="F9" s="173">
        <v>13.0548</v>
      </c>
      <c r="G9" s="173">
        <v>14.1289</v>
      </c>
      <c r="H9" s="173">
        <v>0.75950339367245212</v>
      </c>
      <c r="I9" s="174">
        <v>13.591850000000001</v>
      </c>
    </row>
    <row r="10" spans="2:9" x14ac:dyDescent="0.6">
      <c r="B10" s="170"/>
      <c r="C10" s="165" t="s">
        <v>64</v>
      </c>
      <c r="D10" s="166"/>
      <c r="E10" s="167">
        <v>32</v>
      </c>
      <c r="F10" s="168">
        <v>6.8924200000000004</v>
      </c>
      <c r="G10" s="168">
        <v>20.4175</v>
      </c>
      <c r="H10" s="168">
        <v>2.6320308112468171</v>
      </c>
      <c r="I10" s="169">
        <v>11.6720318125</v>
      </c>
    </row>
    <row r="11" spans="2:9" x14ac:dyDescent="0.6">
      <c r="B11" s="170"/>
      <c r="C11" s="170"/>
      <c r="D11" s="170" t="s">
        <v>215</v>
      </c>
      <c r="E11" s="172">
        <v>12</v>
      </c>
      <c r="F11" s="173">
        <v>9.0724099999999996</v>
      </c>
      <c r="G11" s="173">
        <v>20.4175</v>
      </c>
      <c r="H11" s="173">
        <v>2.9801097688945317</v>
      </c>
      <c r="I11" s="174">
        <v>12.404306666666665</v>
      </c>
    </row>
    <row r="12" spans="2:9" x14ac:dyDescent="0.6">
      <c r="B12" s="170"/>
      <c r="C12" s="175"/>
      <c r="D12" s="175" t="s">
        <v>216</v>
      </c>
      <c r="E12" s="176">
        <v>2</v>
      </c>
      <c r="F12" s="177">
        <v>9.18398</v>
      </c>
      <c r="G12" s="177">
        <v>14.9824</v>
      </c>
      <c r="H12" s="177">
        <v>4.1001021021677033</v>
      </c>
      <c r="I12" s="178">
        <v>12.08319</v>
      </c>
    </row>
    <row r="13" spans="2:9" x14ac:dyDescent="0.6">
      <c r="B13" s="170"/>
      <c r="C13" s="175"/>
      <c r="D13" s="175" t="s">
        <v>212</v>
      </c>
      <c r="E13" s="176">
        <v>1</v>
      </c>
      <c r="F13" s="177">
        <v>12.901</v>
      </c>
      <c r="G13" s="177">
        <v>12.901</v>
      </c>
      <c r="H13" s="177"/>
      <c r="I13" s="178">
        <v>12.901</v>
      </c>
    </row>
    <row r="14" spans="2:9" x14ac:dyDescent="0.6">
      <c r="B14" s="170"/>
      <c r="C14" s="175"/>
      <c r="D14" s="175" t="s">
        <v>217</v>
      </c>
      <c r="E14" s="176">
        <v>2</v>
      </c>
      <c r="F14" s="177">
        <v>10.017099999999999</v>
      </c>
      <c r="G14" s="177">
        <v>13.1526</v>
      </c>
      <c r="H14" s="177">
        <v>2.2171333124104184</v>
      </c>
      <c r="I14" s="178">
        <v>11.584849999999999</v>
      </c>
    </row>
    <row r="15" spans="2:9" x14ac:dyDescent="0.6">
      <c r="B15" s="170"/>
      <c r="C15" s="170"/>
      <c r="D15" s="170" t="s">
        <v>218</v>
      </c>
      <c r="E15" s="172">
        <v>2</v>
      </c>
      <c r="F15" s="173">
        <v>10.069100000000001</v>
      </c>
      <c r="G15" s="173">
        <v>13.674950000000001</v>
      </c>
      <c r="H15" s="173">
        <v>2.5497209869415176</v>
      </c>
      <c r="I15" s="174">
        <v>11.872025000000001</v>
      </c>
    </row>
    <row r="16" spans="2:9" x14ac:dyDescent="0.6">
      <c r="B16" s="170"/>
      <c r="C16" s="170"/>
      <c r="D16" s="170" t="s">
        <v>214</v>
      </c>
      <c r="E16" s="172">
        <v>9</v>
      </c>
      <c r="F16" s="173">
        <v>9.0859000000000005</v>
      </c>
      <c r="G16" s="173">
        <v>14.7399</v>
      </c>
      <c r="H16" s="173">
        <v>2.1684749411085722</v>
      </c>
      <c r="I16" s="174">
        <v>11.80363088888889</v>
      </c>
    </row>
    <row r="17" spans="2:9" x14ac:dyDescent="0.6">
      <c r="B17" s="170"/>
      <c r="C17" s="170"/>
      <c r="D17" s="170" t="s">
        <v>219</v>
      </c>
      <c r="E17" s="172">
        <v>2</v>
      </c>
      <c r="F17" s="173">
        <v>8.7058599999999995</v>
      </c>
      <c r="G17" s="173">
        <v>8.7487100000000009</v>
      </c>
      <c r="H17" s="173">
        <v>3.0299525573684934E-2</v>
      </c>
      <c r="I17" s="174">
        <v>8.7272850000000002</v>
      </c>
    </row>
    <row r="18" spans="2:9" x14ac:dyDescent="0.6">
      <c r="B18" s="170"/>
      <c r="C18" s="171"/>
      <c r="D18" s="171" t="s">
        <v>220</v>
      </c>
      <c r="E18" s="172">
        <v>2</v>
      </c>
      <c r="F18" s="173">
        <v>6.8924200000000004</v>
      </c>
      <c r="G18" s="173">
        <v>10.09254</v>
      </c>
      <c r="H18" s="173">
        <v>2.2628265526106919</v>
      </c>
      <c r="I18" s="174">
        <v>8.4924800000000005</v>
      </c>
    </row>
    <row r="19" spans="2:9" x14ac:dyDescent="0.6">
      <c r="B19" s="170"/>
      <c r="C19" s="165" t="s">
        <v>221</v>
      </c>
      <c r="D19" s="166"/>
      <c r="E19" s="167">
        <v>14</v>
      </c>
      <c r="F19" s="168">
        <v>7.35182</v>
      </c>
      <c r="G19" s="168">
        <v>16.582999999999998</v>
      </c>
      <c r="H19" s="168">
        <v>2.6672912216196032</v>
      </c>
      <c r="I19" s="169">
        <v>11.628141928571427</v>
      </c>
    </row>
    <row r="20" spans="2:9" x14ac:dyDescent="0.6">
      <c r="B20" s="170"/>
      <c r="C20" s="170"/>
      <c r="D20" s="170" t="s">
        <v>215</v>
      </c>
      <c r="E20" s="172">
        <v>8</v>
      </c>
      <c r="F20" s="173">
        <v>8.3250299999999999</v>
      </c>
      <c r="G20" s="173">
        <v>15.5779</v>
      </c>
      <c r="H20" s="173">
        <v>2.1085724840843305</v>
      </c>
      <c r="I20" s="174">
        <v>11.577487124999999</v>
      </c>
    </row>
    <row r="21" spans="2:9" x14ac:dyDescent="0.6">
      <c r="B21" s="170"/>
      <c r="C21" s="170"/>
      <c r="D21" s="170" t="s">
        <v>212</v>
      </c>
      <c r="E21" s="172">
        <v>1</v>
      </c>
      <c r="F21" s="173">
        <v>8.3992699999999996</v>
      </c>
      <c r="G21" s="173">
        <v>8.3992699999999996</v>
      </c>
      <c r="H21" s="173"/>
      <c r="I21" s="174">
        <v>8.3992699999999996</v>
      </c>
    </row>
    <row r="22" spans="2:9" x14ac:dyDescent="0.6">
      <c r="B22" s="170"/>
      <c r="C22" s="170"/>
      <c r="D22" s="170" t="s">
        <v>218</v>
      </c>
      <c r="E22" s="172">
        <v>1</v>
      </c>
      <c r="F22" s="173">
        <v>7.35182</v>
      </c>
      <c r="G22" s="173">
        <v>7.35182</v>
      </c>
      <c r="H22" s="173"/>
      <c r="I22" s="174">
        <v>7.35182</v>
      </c>
    </row>
    <row r="23" spans="2:9" x14ac:dyDescent="0.6">
      <c r="B23" s="171"/>
      <c r="C23" s="171"/>
      <c r="D23" s="171" t="s">
        <v>214</v>
      </c>
      <c r="E23" s="172">
        <v>4</v>
      </c>
      <c r="F23" s="173">
        <v>11.1859</v>
      </c>
      <c r="G23" s="173">
        <v>16.582999999999998</v>
      </c>
      <c r="H23" s="173">
        <v>2.3796639377581443</v>
      </c>
      <c r="I23" s="174">
        <v>13.60575</v>
      </c>
    </row>
    <row r="24" spans="2:9" x14ac:dyDescent="0.6">
      <c r="B24" s="159" t="s">
        <v>222</v>
      </c>
      <c r="C24" s="160"/>
      <c r="D24" s="160"/>
      <c r="E24" s="161">
        <v>50</v>
      </c>
      <c r="F24" s="162">
        <v>10.7525</v>
      </c>
      <c r="G24" s="162">
        <v>30.2333</v>
      </c>
      <c r="H24" s="162">
        <v>4.761626670199731</v>
      </c>
      <c r="I24" s="163">
        <v>19.067257099999999</v>
      </c>
    </row>
    <row r="25" spans="2:9" x14ac:dyDescent="0.6">
      <c r="B25" s="164"/>
      <c r="C25" s="165" t="s">
        <v>223</v>
      </c>
      <c r="D25" s="166"/>
      <c r="E25" s="167">
        <v>19</v>
      </c>
      <c r="F25" s="168">
        <v>10.7525</v>
      </c>
      <c r="G25" s="168">
        <v>21.990400000000001</v>
      </c>
      <c r="H25" s="168">
        <v>3.8169863868022285</v>
      </c>
      <c r="I25" s="169">
        <v>16.560663421052631</v>
      </c>
    </row>
    <row r="26" spans="2:9" x14ac:dyDescent="0.6">
      <c r="B26" s="170"/>
      <c r="C26" s="170"/>
      <c r="D26" s="170" t="s">
        <v>215</v>
      </c>
      <c r="E26" s="172">
        <v>8</v>
      </c>
      <c r="F26" s="173">
        <v>10.7525</v>
      </c>
      <c r="G26" s="173">
        <v>18.472999999999999</v>
      </c>
      <c r="H26" s="173">
        <v>2.3564069033290247</v>
      </c>
      <c r="I26" s="174">
        <v>12.962438125</v>
      </c>
    </row>
    <row r="27" spans="2:9" x14ac:dyDescent="0.6">
      <c r="B27" s="170"/>
      <c r="C27" s="170"/>
      <c r="D27" s="170" t="s">
        <v>216</v>
      </c>
      <c r="E27" s="172">
        <v>5</v>
      </c>
      <c r="F27" s="173">
        <v>18.030550000000002</v>
      </c>
      <c r="G27" s="173">
        <v>21.990400000000001</v>
      </c>
      <c r="H27" s="173">
        <v>1.6933218440390885</v>
      </c>
      <c r="I27" s="174">
        <v>19.787950000000002</v>
      </c>
    </row>
    <row r="28" spans="2:9" x14ac:dyDescent="0.6">
      <c r="B28" s="170"/>
      <c r="C28" s="170"/>
      <c r="D28" s="170" t="s">
        <v>212</v>
      </c>
      <c r="E28" s="172">
        <v>1</v>
      </c>
      <c r="F28" s="173">
        <v>20.280850000000001</v>
      </c>
      <c r="G28" s="173">
        <v>20.280850000000001</v>
      </c>
      <c r="H28" s="173"/>
      <c r="I28" s="174">
        <v>20.280850000000001</v>
      </c>
    </row>
    <row r="29" spans="2:9" x14ac:dyDescent="0.6">
      <c r="B29" s="170"/>
      <c r="C29" s="170"/>
      <c r="D29" s="171" t="s">
        <v>214</v>
      </c>
      <c r="E29" s="172">
        <v>5</v>
      </c>
      <c r="F29" s="173">
        <v>14.905200000000001</v>
      </c>
      <c r="G29" s="173">
        <v>21.697700000000001</v>
      </c>
      <c r="H29" s="173">
        <v>2.5724723652548733</v>
      </c>
      <c r="I29" s="174">
        <v>18.346499999999999</v>
      </c>
    </row>
    <row r="30" spans="2:9" x14ac:dyDescent="0.6">
      <c r="B30" s="170"/>
      <c r="C30" s="165" t="s">
        <v>224</v>
      </c>
      <c r="D30" s="166"/>
      <c r="E30" s="167">
        <v>3</v>
      </c>
      <c r="F30" s="168">
        <v>11.754099999999999</v>
      </c>
      <c r="G30" s="168">
        <v>25.766400000000001</v>
      </c>
      <c r="H30" s="168">
        <v>7.3447641870473461</v>
      </c>
      <c r="I30" s="169">
        <v>20.032966666666667</v>
      </c>
    </row>
    <row r="31" spans="2:9" x14ac:dyDescent="0.6">
      <c r="B31" s="170"/>
      <c r="C31" s="170"/>
      <c r="D31" s="170" t="s">
        <v>215</v>
      </c>
      <c r="E31" s="172">
        <v>1</v>
      </c>
      <c r="F31" s="173">
        <v>25.766400000000001</v>
      </c>
      <c r="G31" s="173">
        <v>25.766400000000001</v>
      </c>
      <c r="H31" s="173"/>
      <c r="I31" s="174">
        <v>25.766400000000001</v>
      </c>
    </row>
    <row r="32" spans="2:9" x14ac:dyDescent="0.6">
      <c r="B32" s="170"/>
      <c r="C32" s="170"/>
      <c r="D32" s="171" t="s">
        <v>214</v>
      </c>
      <c r="E32" s="172">
        <v>2</v>
      </c>
      <c r="F32" s="173">
        <v>11.754099999999999</v>
      </c>
      <c r="G32" s="173">
        <v>22.578399999999998</v>
      </c>
      <c r="H32" s="173">
        <v>7.6539359315975304</v>
      </c>
      <c r="I32" s="174">
        <v>17.166250000000002</v>
      </c>
    </row>
    <row r="33" spans="2:9" x14ac:dyDescent="0.6">
      <c r="B33" s="170"/>
      <c r="C33" s="165" t="s">
        <v>225</v>
      </c>
      <c r="D33" s="166"/>
      <c r="E33" s="167">
        <v>28</v>
      </c>
      <c r="F33" s="168">
        <v>12.102</v>
      </c>
      <c r="G33" s="168">
        <v>30.2333</v>
      </c>
      <c r="H33" s="168">
        <v>4.5019173149821246</v>
      </c>
      <c r="I33" s="169">
        <v>20.664691071428571</v>
      </c>
    </row>
    <row r="34" spans="2:9" x14ac:dyDescent="0.6">
      <c r="B34" s="170"/>
      <c r="C34" s="170"/>
      <c r="D34" s="170" t="s">
        <v>215</v>
      </c>
      <c r="E34" s="172">
        <v>8</v>
      </c>
      <c r="F34" s="173">
        <v>12.102</v>
      </c>
      <c r="G34" s="173">
        <v>30.2333</v>
      </c>
      <c r="H34" s="173">
        <v>5.7697141231753957</v>
      </c>
      <c r="I34" s="174">
        <v>20.502593749999999</v>
      </c>
    </row>
    <row r="35" spans="2:9" x14ac:dyDescent="0.6">
      <c r="B35" s="170"/>
      <c r="C35" s="170"/>
      <c r="D35" s="170" t="s">
        <v>216</v>
      </c>
      <c r="E35" s="172">
        <v>3</v>
      </c>
      <c r="F35" s="173">
        <v>19.518049999999999</v>
      </c>
      <c r="G35" s="173">
        <v>27.982600000000001</v>
      </c>
      <c r="H35" s="173">
        <v>4.658902371356735</v>
      </c>
      <c r="I35" s="174">
        <v>22.625866666666667</v>
      </c>
    </row>
    <row r="36" spans="2:9" x14ac:dyDescent="0.6">
      <c r="B36" s="170"/>
      <c r="C36" s="170"/>
      <c r="D36" s="170" t="s">
        <v>212</v>
      </c>
      <c r="E36" s="172">
        <v>5</v>
      </c>
      <c r="F36" s="173">
        <v>16.220300000000002</v>
      </c>
      <c r="G36" s="173">
        <v>25.520600000000002</v>
      </c>
      <c r="H36" s="173">
        <v>3.6797274473797623</v>
      </c>
      <c r="I36" s="174">
        <v>19.08812</v>
      </c>
    </row>
    <row r="37" spans="2:9" x14ac:dyDescent="0.6">
      <c r="B37" s="170"/>
      <c r="C37" s="170"/>
      <c r="D37" s="170" t="s">
        <v>217</v>
      </c>
      <c r="E37" s="172">
        <v>1</v>
      </c>
      <c r="F37" s="173">
        <v>18.524799999999999</v>
      </c>
      <c r="G37" s="173">
        <v>18.524799999999999</v>
      </c>
      <c r="H37" s="173"/>
      <c r="I37" s="174">
        <v>18.524799999999999</v>
      </c>
    </row>
    <row r="38" spans="2:9" x14ac:dyDescent="0.6">
      <c r="B38" s="170"/>
      <c r="C38" s="170"/>
      <c r="D38" s="170" t="s">
        <v>214</v>
      </c>
      <c r="E38" s="172">
        <v>9</v>
      </c>
      <c r="F38" s="173">
        <v>16.751300000000001</v>
      </c>
      <c r="G38" s="173">
        <v>28.968499999999999</v>
      </c>
      <c r="H38" s="173">
        <v>4.1221069075777343</v>
      </c>
      <c r="I38" s="174">
        <v>22.1494</v>
      </c>
    </row>
    <row r="39" spans="2:9" x14ac:dyDescent="0.6">
      <c r="B39" s="170"/>
      <c r="C39" s="175"/>
      <c r="D39" s="175" t="s">
        <v>219</v>
      </c>
      <c r="E39" s="176">
        <v>1</v>
      </c>
      <c r="F39" s="177">
        <v>16.121200000000002</v>
      </c>
      <c r="G39" s="177">
        <v>16.121200000000002</v>
      </c>
      <c r="H39" s="177"/>
      <c r="I39" s="178">
        <v>16.121200000000002</v>
      </c>
    </row>
    <row r="40" spans="2:9" x14ac:dyDescent="0.6">
      <c r="B40" s="171"/>
      <c r="C40" s="179"/>
      <c r="D40" s="179" t="s">
        <v>220</v>
      </c>
      <c r="E40" s="180">
        <v>1</v>
      </c>
      <c r="F40" s="181">
        <v>17.2818</v>
      </c>
      <c r="G40" s="181">
        <v>17.2818</v>
      </c>
      <c r="H40" s="181"/>
      <c r="I40" s="182">
        <v>17.2818</v>
      </c>
    </row>
  </sheetData>
  <mergeCells count="1"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2B53-8C7C-4795-9E24-B0F34B51DAD4}">
  <sheetPr>
    <tabColor theme="7" tint="0.79998168889431442"/>
  </sheetPr>
  <dimension ref="A1:U1048576"/>
  <sheetViews>
    <sheetView workbookViewId="0"/>
  </sheetViews>
  <sheetFormatPr defaultColWidth="9" defaultRowHeight="14.25" x14ac:dyDescent="0.45"/>
  <cols>
    <col min="1" max="1" width="38.86328125" style="102" customWidth="1"/>
    <col min="2" max="2" width="10.59765625" style="102" customWidth="1"/>
    <col min="3" max="3" width="7" style="102" customWidth="1"/>
    <col min="4" max="4" width="10.59765625" style="102" customWidth="1"/>
    <col min="5" max="5" width="14" style="102" customWidth="1"/>
    <col min="6" max="7" width="13" style="102" customWidth="1"/>
    <col min="8" max="8" width="17.59765625" style="102" customWidth="1"/>
    <col min="9" max="9" width="8.3984375" style="103" bestFit="1" customWidth="1"/>
    <col min="10" max="10" width="11.73046875" style="102" customWidth="1"/>
    <col min="11" max="11" width="35.265625" style="102" customWidth="1"/>
    <col min="12" max="12" width="25.86328125" style="102" customWidth="1"/>
    <col min="13" max="13" width="30.59765625" style="102" customWidth="1"/>
    <col min="14" max="14" width="35.265625" style="102" customWidth="1"/>
    <col min="15" max="15" width="20" style="102" customWidth="1"/>
    <col min="16" max="16" width="8.1328125" style="102" customWidth="1"/>
    <col min="17" max="17" width="13" style="102" customWidth="1"/>
    <col min="18" max="18" width="17.59765625" style="102" customWidth="1"/>
    <col min="19" max="19" width="14.265625" style="101" bestFit="1" customWidth="1"/>
    <col min="20" max="16384" width="9" style="101"/>
  </cols>
  <sheetData>
    <row r="1" spans="1:21" x14ac:dyDescent="0.45">
      <c r="A1" s="102" t="s">
        <v>183</v>
      </c>
      <c r="B1" s="102" t="s">
        <v>63</v>
      </c>
      <c r="C1" s="102" t="s">
        <v>66</v>
      </c>
      <c r="D1" s="102" t="s">
        <v>226</v>
      </c>
      <c r="E1" s="102" t="s">
        <v>227</v>
      </c>
      <c r="F1" s="102" t="s">
        <v>228</v>
      </c>
      <c r="G1" s="102" t="s">
        <v>229</v>
      </c>
      <c r="H1" s="102" t="s">
        <v>230</v>
      </c>
      <c r="I1" s="103" t="s">
        <v>95</v>
      </c>
      <c r="J1" s="102" t="s">
        <v>231</v>
      </c>
      <c r="K1" s="102" t="s">
        <v>232</v>
      </c>
      <c r="L1" s="102" t="s">
        <v>233</v>
      </c>
      <c r="M1" s="102" t="s">
        <v>234</v>
      </c>
      <c r="N1" s="102" t="s">
        <v>235</v>
      </c>
      <c r="O1" s="102" t="s">
        <v>236</v>
      </c>
      <c r="P1" s="102" t="s">
        <v>237</v>
      </c>
      <c r="Q1" s="102" t="s">
        <v>65</v>
      </c>
      <c r="R1" s="102" t="s">
        <v>238</v>
      </c>
      <c r="S1" s="102" t="s">
        <v>239</v>
      </c>
    </row>
    <row r="2" spans="1:21" x14ac:dyDescent="0.45">
      <c r="A2" s="105" t="s">
        <v>240</v>
      </c>
      <c r="B2" s="105" t="s">
        <v>225</v>
      </c>
      <c r="C2" s="102" t="s">
        <v>241</v>
      </c>
      <c r="D2" s="105" t="s">
        <v>242</v>
      </c>
      <c r="E2" s="102" t="s">
        <v>222</v>
      </c>
      <c r="F2" s="102" t="s">
        <v>243</v>
      </c>
      <c r="G2" s="146">
        <v>45566</v>
      </c>
      <c r="H2" s="105" t="s">
        <v>244</v>
      </c>
      <c r="I2" s="147">
        <v>298000</v>
      </c>
      <c r="J2" s="105" t="s">
        <v>245</v>
      </c>
      <c r="K2" s="148">
        <v>25.520600000000002</v>
      </c>
      <c r="L2" s="102">
        <v>298000</v>
      </c>
      <c r="M2" s="102">
        <v>63</v>
      </c>
      <c r="N2" s="148">
        <v>2.5</v>
      </c>
      <c r="O2" s="102">
        <v>3</v>
      </c>
      <c r="P2" s="102">
        <v>1</v>
      </c>
      <c r="Q2" s="102">
        <v>1975</v>
      </c>
      <c r="R2" s="102" t="s">
        <v>246</v>
      </c>
      <c r="S2" s="102" t="str" cm="1">
        <f t="array" ref="S2">_xlfn.IFS(AND('Rent Table'!$I2&gt;0,'Rent Table'!$I2&lt;=50000),"0-50,000",
AND('Rent Table'!$I2 &gt; 50000, 'Rent Table'!$I2 &lt;= 150000), "50,001-150,000",
AND('Rent Table'!$I2 &gt; 150000, 'Rent Table'!$I2 &lt;= 250000), "150,001-250,000",
AND('Rent Table'!$I2 &gt; 250000, 'Rent Table'!$I2 &lt;= 350000), "250,001-350,000",
AND('Rent Table'!$I2 &gt; 350000, 'Rent Table'!$I2 &lt;= 450000), "350,001-450,000",
AND('Rent Table'!$I2 &gt; 450000, 'Rent Table'!$I2 &lt;= 600000), "450,001-600,000",
AND('Rent Table'!$I2 &gt; 600000, 'Rent Table'!$I2 &lt;= 750000), "600,001-750,000",'Rent Table'!$I2 &gt; 750000, "750,000+",
TRUE, "Undefined"
         )</f>
        <v>250,001-350,000</v>
      </c>
      <c r="U2" s="149"/>
    </row>
    <row r="3" spans="1:21" x14ac:dyDescent="0.45">
      <c r="A3" s="105" t="s">
        <v>247</v>
      </c>
      <c r="B3" s="105" t="s">
        <v>225</v>
      </c>
      <c r="C3" s="102" t="s">
        <v>241</v>
      </c>
      <c r="D3" s="105" t="s">
        <v>242</v>
      </c>
      <c r="E3" s="102" t="s">
        <v>222</v>
      </c>
      <c r="F3" s="102" t="s">
        <v>243</v>
      </c>
      <c r="G3" s="146">
        <v>45566</v>
      </c>
      <c r="H3" s="105" t="s">
        <v>244</v>
      </c>
      <c r="I3" s="147">
        <v>129556</v>
      </c>
      <c r="J3" s="105" t="s">
        <v>245</v>
      </c>
      <c r="K3" s="148">
        <v>22.034099999999999</v>
      </c>
      <c r="L3" s="102">
        <v>129256</v>
      </c>
      <c r="M3" s="102">
        <v>120</v>
      </c>
      <c r="N3" s="148" t="s">
        <v>246</v>
      </c>
      <c r="O3" s="102" t="s">
        <v>246</v>
      </c>
      <c r="P3" s="102">
        <v>1</v>
      </c>
      <c r="Q3" s="102">
        <v>2000</v>
      </c>
      <c r="R3" s="102" t="s">
        <v>246</v>
      </c>
      <c r="S3" s="102" t="str" cm="1">
        <f t="array" ref="S3">_xlfn.IFS(AND('Rent Table'!$I3&gt;0,'Rent Table'!$I3&lt;=50000),"0-50,000",
AND('Rent Table'!$I3 &gt; 50000, 'Rent Table'!$I3 &lt;= 150000), "50,001-150,000",
AND('Rent Table'!$I3 &gt; 150000, 'Rent Table'!$I3 &lt;= 250000), "150,001-250,000",
AND('Rent Table'!$I3 &gt; 250000, 'Rent Table'!$I3 &lt;= 350000), "250,001-350,000",
AND('Rent Table'!$I3 &gt; 350000, 'Rent Table'!$I3 &lt;= 450000), "350,001-450,000",
AND('Rent Table'!$I3 &gt; 450000, 'Rent Table'!$I3 &lt;= 600000), "450,001-600,000",
AND('Rent Table'!$I3 &gt; 600000, 'Rent Table'!$I3 &lt;= 750000), "600,001-750,000",'Rent Table'!$I3 &gt; 750000, "750,000+",
TRUE, "Undefined"
         )</f>
        <v>50,001-150,000</v>
      </c>
    </row>
    <row r="4" spans="1:21" x14ac:dyDescent="0.45">
      <c r="A4" s="105" t="s">
        <v>248</v>
      </c>
      <c r="B4" s="105" t="s">
        <v>225</v>
      </c>
      <c r="C4" s="102" t="s">
        <v>241</v>
      </c>
      <c r="D4" s="105" t="s">
        <v>242</v>
      </c>
      <c r="E4" s="102" t="s">
        <v>222</v>
      </c>
      <c r="F4" s="102" t="s">
        <v>243</v>
      </c>
      <c r="G4" s="146">
        <v>45566</v>
      </c>
      <c r="H4" s="105" t="s">
        <v>244</v>
      </c>
      <c r="I4" s="147">
        <v>49112</v>
      </c>
      <c r="J4" s="105" t="s">
        <v>245</v>
      </c>
      <c r="K4" s="148">
        <v>30.2333</v>
      </c>
      <c r="L4" s="102">
        <v>49112</v>
      </c>
      <c r="M4" s="102">
        <v>123</v>
      </c>
      <c r="N4" s="148">
        <v>20</v>
      </c>
      <c r="O4" s="102">
        <v>3</v>
      </c>
      <c r="P4" s="102">
        <v>1</v>
      </c>
      <c r="Q4" s="102">
        <v>1981</v>
      </c>
      <c r="R4" s="102" t="s">
        <v>246</v>
      </c>
      <c r="S4" s="102" t="str" cm="1">
        <f t="array" ref="S4">_xlfn.IFS(AND('Rent Table'!$I4&gt;0,'Rent Table'!$I4&lt;=50000),"0-50,000",
AND('Rent Table'!$I4 &gt; 50000, 'Rent Table'!$I4 &lt;= 150000), "50,001-150,000",
AND('Rent Table'!$I4 &gt; 150000, 'Rent Table'!$I4 &lt;= 250000), "150,001-250,000",
AND('Rent Table'!$I4 &gt; 250000, 'Rent Table'!$I4 &lt;= 350000), "250,001-350,000",
AND('Rent Table'!$I4 &gt; 350000, 'Rent Table'!$I4 &lt;= 450000), "350,001-450,000",
AND('Rent Table'!$I4 &gt; 450000, 'Rent Table'!$I4 &lt;= 600000), "450,001-600,000",
AND('Rent Table'!$I4 &gt; 600000, 'Rent Table'!$I4 &lt;= 750000), "600,001-750,000",'Rent Table'!$I4 &gt; 750000, "750,000+",
TRUE, "Undefined"
         )</f>
        <v>0-50,000</v>
      </c>
    </row>
    <row r="5" spans="1:21" x14ac:dyDescent="0.45">
      <c r="A5" s="105" t="s">
        <v>249</v>
      </c>
      <c r="B5" s="105" t="s">
        <v>225</v>
      </c>
      <c r="C5" s="102" t="s">
        <v>241</v>
      </c>
      <c r="D5" s="105" t="s">
        <v>242</v>
      </c>
      <c r="E5" s="102" t="s">
        <v>222</v>
      </c>
      <c r="F5" s="102" t="s">
        <v>243</v>
      </c>
      <c r="G5" s="146">
        <v>45566</v>
      </c>
      <c r="H5" s="105" t="s">
        <v>244</v>
      </c>
      <c r="I5" s="147">
        <v>45550</v>
      </c>
      <c r="J5" s="105" t="s">
        <v>245</v>
      </c>
      <c r="K5" s="148">
        <v>18.131399999999999</v>
      </c>
      <c r="L5" s="102">
        <v>45550</v>
      </c>
      <c r="M5" s="102">
        <v>85</v>
      </c>
      <c r="N5" s="148" t="s">
        <v>246</v>
      </c>
      <c r="O5" s="102">
        <v>1</v>
      </c>
      <c r="P5" s="102">
        <v>1</v>
      </c>
      <c r="Q5" s="102">
        <v>1979</v>
      </c>
      <c r="R5" s="102" t="s">
        <v>246</v>
      </c>
      <c r="S5" s="102" t="str" cm="1">
        <f t="array" ref="S5">_xlfn.IFS(AND('Rent Table'!$I5&gt;0,'Rent Table'!$I5&lt;=50000),"0-50,000",
AND('Rent Table'!$I5 &gt; 50000, 'Rent Table'!$I5 &lt;= 150000), "50,001-150,000",
AND('Rent Table'!$I5 &gt; 150000, 'Rent Table'!$I5 &lt;= 250000), "150,001-250,000",
AND('Rent Table'!$I5 &gt; 250000, 'Rent Table'!$I5 &lt;= 350000), "250,001-350,000",
AND('Rent Table'!$I5 &gt; 350000, 'Rent Table'!$I5 &lt;= 450000), "350,001-450,000",
AND('Rent Table'!$I5 &gt; 450000, 'Rent Table'!$I5 &lt;= 600000), "450,001-600,000",
AND('Rent Table'!$I5 &gt; 600000, 'Rent Table'!$I5 &lt;= 750000), "600,001-750,000",'Rent Table'!$I5 &gt; 750000, "750,000+",
TRUE, "Undefined"
         )</f>
        <v>0-50,000</v>
      </c>
    </row>
    <row r="6" spans="1:21" x14ac:dyDescent="0.45">
      <c r="A6" s="105" t="s">
        <v>250</v>
      </c>
      <c r="B6" s="105" t="s">
        <v>223</v>
      </c>
      <c r="C6" s="102" t="s">
        <v>241</v>
      </c>
      <c r="D6" s="105" t="s">
        <v>251</v>
      </c>
      <c r="E6" s="102" t="s">
        <v>222</v>
      </c>
      <c r="F6" s="102" t="s">
        <v>243</v>
      </c>
      <c r="G6" s="146">
        <v>45566</v>
      </c>
      <c r="H6" s="105" t="s">
        <v>252</v>
      </c>
      <c r="I6" s="103">
        <v>36580</v>
      </c>
      <c r="J6" s="105" t="s">
        <v>245</v>
      </c>
      <c r="K6" s="148">
        <v>18.472999999999999</v>
      </c>
      <c r="L6" s="102">
        <v>18301</v>
      </c>
      <c r="M6" s="102">
        <v>62</v>
      </c>
      <c r="N6" s="148" t="s">
        <v>246</v>
      </c>
      <c r="O6" s="102" t="s">
        <v>246</v>
      </c>
      <c r="P6" s="102">
        <v>1</v>
      </c>
      <c r="Q6" s="102">
        <v>1977</v>
      </c>
      <c r="R6" s="102" t="s">
        <v>246</v>
      </c>
      <c r="S6" s="102" t="str" cm="1">
        <f t="array" ref="S6">_xlfn.IFS(AND('Rent Table'!$I6&gt;0,'Rent Table'!$I6&lt;=50000),"0-50,000",
AND('Rent Table'!$I6 &gt; 50000, 'Rent Table'!$I6 &lt;= 150000), "50,001-150,000",
AND('Rent Table'!$I6 &gt; 150000, 'Rent Table'!$I6 &lt;= 250000), "150,001-250,000",
AND('Rent Table'!$I6 &gt; 250000, 'Rent Table'!$I6 &lt;= 350000), "250,001-350,000",
AND('Rent Table'!$I6 &gt; 350000, 'Rent Table'!$I6 &lt;= 450000), "350,001-450,000",
AND('Rent Table'!$I6 &gt; 450000, 'Rent Table'!$I6 &lt;= 600000), "450,001-600,000",
AND('Rent Table'!$I6 &gt; 600000, 'Rent Table'!$I6 &lt;= 750000), "600,001-750,000",'Rent Table'!$I6 &gt; 750000, "750,000+",
TRUE, "Undefined"
         )</f>
        <v>0-50,000</v>
      </c>
    </row>
    <row r="7" spans="1:21" x14ac:dyDescent="0.45">
      <c r="A7" s="105" t="s">
        <v>253</v>
      </c>
      <c r="B7" s="105" t="s">
        <v>223</v>
      </c>
      <c r="C7" s="102" t="s">
        <v>241</v>
      </c>
      <c r="D7" s="105" t="s">
        <v>251</v>
      </c>
      <c r="E7" s="102" t="s">
        <v>222</v>
      </c>
      <c r="F7" s="102" t="s">
        <v>243</v>
      </c>
      <c r="G7" s="146">
        <v>45566</v>
      </c>
      <c r="H7" s="105" t="s">
        <v>252</v>
      </c>
      <c r="I7" s="103">
        <v>75194</v>
      </c>
      <c r="J7" s="105" t="s">
        <v>245</v>
      </c>
      <c r="K7" s="148">
        <v>19.176400000000001</v>
      </c>
      <c r="L7" s="102">
        <v>53474</v>
      </c>
      <c r="M7" s="102">
        <v>36</v>
      </c>
      <c r="N7" s="148" t="s">
        <v>246</v>
      </c>
      <c r="O7" s="102" t="s">
        <v>246</v>
      </c>
      <c r="P7" s="102">
        <v>1</v>
      </c>
      <c r="Q7" s="102">
        <v>1972</v>
      </c>
      <c r="R7" s="102">
        <v>1973</v>
      </c>
      <c r="S7" s="102" t="str" cm="1">
        <f t="array" ref="S7">_xlfn.IFS(AND('Rent Table'!$I7&gt;0,'Rent Table'!$I7&lt;=50000),"0-50,000",
AND('Rent Table'!$I7 &gt; 50000, 'Rent Table'!$I7 &lt;= 150000), "50,001-150,000",
AND('Rent Table'!$I7 &gt; 150000, 'Rent Table'!$I7 &lt;= 250000), "150,001-250,000",
AND('Rent Table'!$I7 &gt; 250000, 'Rent Table'!$I7 &lt;= 350000), "250,001-350,000",
AND('Rent Table'!$I7 &gt; 350000, 'Rent Table'!$I7 &lt;= 450000), "350,001-450,000",
AND('Rent Table'!$I7 &gt; 450000, 'Rent Table'!$I7 &lt;= 600000), "450,001-600,000",
AND('Rent Table'!$I7 &gt; 600000, 'Rent Table'!$I7 &lt;= 750000), "600,001-750,000",'Rent Table'!$I7 &gt; 750000, "750,000+",
TRUE, "Undefined"
         )</f>
        <v>50,001-150,000</v>
      </c>
    </row>
    <row r="8" spans="1:21" x14ac:dyDescent="0.45">
      <c r="A8" s="105" t="s">
        <v>254</v>
      </c>
      <c r="B8" s="105" t="s">
        <v>223</v>
      </c>
      <c r="C8" s="102" t="s">
        <v>241</v>
      </c>
      <c r="D8" s="105" t="s">
        <v>251</v>
      </c>
      <c r="E8" s="102" t="s">
        <v>222</v>
      </c>
      <c r="F8" s="102" t="s">
        <v>243</v>
      </c>
      <c r="G8" s="146">
        <v>45566</v>
      </c>
      <c r="H8" s="105" t="s">
        <v>252</v>
      </c>
      <c r="I8" s="103">
        <v>121551</v>
      </c>
      <c r="J8" s="105" t="s">
        <v>245</v>
      </c>
      <c r="K8" s="148">
        <v>14.905200000000001</v>
      </c>
      <c r="L8" s="102">
        <v>33855</v>
      </c>
      <c r="M8" s="102">
        <v>61.5</v>
      </c>
      <c r="N8" s="148">
        <v>0.5</v>
      </c>
      <c r="O8" s="102">
        <v>2</v>
      </c>
      <c r="P8" s="102">
        <v>1</v>
      </c>
      <c r="Q8" s="102">
        <v>1972</v>
      </c>
      <c r="R8" s="102" t="s">
        <v>246</v>
      </c>
      <c r="S8" s="102" t="str" cm="1">
        <f t="array" ref="S8">_xlfn.IFS(AND('Rent Table'!$I8&gt;0,'Rent Table'!$I8&lt;=50000),"0-50,000",
AND('Rent Table'!$I8 &gt; 50000, 'Rent Table'!$I8 &lt;= 150000), "50,001-150,000",
AND('Rent Table'!$I8 &gt; 150000, 'Rent Table'!$I8 &lt;= 250000), "150,001-250,000",
AND('Rent Table'!$I8 &gt; 250000, 'Rent Table'!$I8 &lt;= 350000), "250,001-350,000",
AND('Rent Table'!$I8 &gt; 350000, 'Rent Table'!$I8 &lt;= 450000), "350,001-450,000",
AND('Rent Table'!$I8 &gt; 450000, 'Rent Table'!$I8 &lt;= 600000), "450,001-600,000",
AND('Rent Table'!$I8 &gt; 600000, 'Rent Table'!$I8 &lt;= 750000), "600,001-750,000",'Rent Table'!$I8 &gt; 750000, "750,000+",
TRUE, "Undefined"
         )</f>
        <v>50,001-150,000</v>
      </c>
    </row>
    <row r="9" spans="1:21" x14ac:dyDescent="0.45">
      <c r="A9" s="105" t="s">
        <v>255</v>
      </c>
      <c r="B9" s="105" t="s">
        <v>225</v>
      </c>
      <c r="C9" s="102" t="s">
        <v>241</v>
      </c>
      <c r="D9" s="105" t="s">
        <v>242</v>
      </c>
      <c r="E9" s="102" t="s">
        <v>222</v>
      </c>
      <c r="F9" s="102" t="s">
        <v>243</v>
      </c>
      <c r="G9" s="146">
        <v>45566</v>
      </c>
      <c r="H9" s="105" t="s">
        <v>244</v>
      </c>
      <c r="I9" s="147">
        <v>16000</v>
      </c>
      <c r="J9" s="105" t="s">
        <v>245</v>
      </c>
      <c r="K9" s="148">
        <v>12.102</v>
      </c>
      <c r="L9" s="102">
        <v>16000</v>
      </c>
      <c r="M9" s="102">
        <v>36</v>
      </c>
      <c r="N9" s="148" t="s">
        <v>246</v>
      </c>
      <c r="O9" s="102">
        <v>1</v>
      </c>
      <c r="P9" s="102">
        <v>1</v>
      </c>
      <c r="Q9" s="102">
        <v>1974</v>
      </c>
      <c r="R9" s="102" t="s">
        <v>246</v>
      </c>
      <c r="S9" s="102" t="str" cm="1">
        <f t="array" ref="S9">_xlfn.IFS(AND('Rent Table'!$I9&gt;0,'Rent Table'!$I9&lt;=50000),"0-50,000",
AND('Rent Table'!$I9 &gt; 50000, 'Rent Table'!$I9 &lt;= 150000), "50,001-150,000",
AND('Rent Table'!$I9 &gt; 150000, 'Rent Table'!$I9 &lt;= 250000), "150,001-250,000",
AND('Rent Table'!$I9 &gt; 250000, 'Rent Table'!$I9 &lt;= 350000), "250,001-350,000",
AND('Rent Table'!$I9 &gt; 350000, 'Rent Table'!$I9 &lt;= 450000), "350,001-450,000",
AND('Rent Table'!$I9 &gt; 450000, 'Rent Table'!$I9 &lt;= 600000), "450,001-600,000",
AND('Rent Table'!$I9 &gt; 600000, 'Rent Table'!$I9 &lt;= 750000), "600,001-750,000",'Rent Table'!$I9 &gt; 750000, "750,000+",
TRUE, "Undefined"
         )</f>
        <v>0-50,000</v>
      </c>
    </row>
    <row r="10" spans="1:21" x14ac:dyDescent="0.45">
      <c r="A10" s="105" t="s">
        <v>256</v>
      </c>
      <c r="B10" s="105" t="s">
        <v>225</v>
      </c>
      <c r="C10" s="102" t="s">
        <v>241</v>
      </c>
      <c r="D10" s="105" t="s">
        <v>242</v>
      </c>
      <c r="E10" s="102" t="s">
        <v>222</v>
      </c>
      <c r="F10" s="102" t="s">
        <v>243</v>
      </c>
      <c r="G10" s="146">
        <v>45566</v>
      </c>
      <c r="H10" s="105" t="s">
        <v>244</v>
      </c>
      <c r="I10" s="147">
        <v>14950</v>
      </c>
      <c r="J10" s="105" t="s">
        <v>245</v>
      </c>
      <c r="K10" s="148">
        <v>15.3947</v>
      </c>
      <c r="L10" s="102">
        <v>14950</v>
      </c>
      <c r="M10" s="102">
        <v>61.5</v>
      </c>
      <c r="N10" s="148" t="s">
        <v>246</v>
      </c>
      <c r="O10" s="102">
        <v>3</v>
      </c>
      <c r="P10" s="102">
        <v>1</v>
      </c>
      <c r="Q10" s="102">
        <v>1964</v>
      </c>
      <c r="R10" s="102" t="s">
        <v>246</v>
      </c>
      <c r="S10" s="102" t="str" cm="1">
        <f t="array" ref="S10">_xlfn.IFS(AND('Rent Table'!$I10&gt;0,'Rent Table'!$I10&lt;=50000),"0-50,000",
AND('Rent Table'!$I10 &gt; 50000, 'Rent Table'!$I10 &lt;= 150000), "50,001-150,000",
AND('Rent Table'!$I10 &gt; 150000, 'Rent Table'!$I10 &lt;= 250000), "150,001-250,000",
AND('Rent Table'!$I10 &gt; 250000, 'Rent Table'!$I10 &lt;= 350000), "250,001-350,000",
AND('Rent Table'!$I10 &gt; 350000, 'Rent Table'!$I10 &lt;= 450000), "350,001-450,000",
AND('Rent Table'!$I10 &gt; 450000, 'Rent Table'!$I10 &lt;= 600000), "450,001-600,000",
AND('Rent Table'!$I10 &gt; 600000, 'Rent Table'!$I10 &lt;= 750000), "600,001-750,000",'Rent Table'!$I10 &gt; 750000, "750,000+",
TRUE, "Undefined"
         )</f>
        <v>0-50,000</v>
      </c>
    </row>
    <row r="11" spans="1:21" x14ac:dyDescent="0.45">
      <c r="A11" s="105" t="s">
        <v>257</v>
      </c>
      <c r="B11" s="105" t="s">
        <v>223</v>
      </c>
      <c r="C11" s="102" t="s">
        <v>241</v>
      </c>
      <c r="D11" s="105" t="s">
        <v>251</v>
      </c>
      <c r="E11" s="102" t="s">
        <v>222</v>
      </c>
      <c r="F11" s="102" t="s">
        <v>243</v>
      </c>
      <c r="G11" s="146">
        <v>45566</v>
      </c>
      <c r="H11" s="105" t="s">
        <v>252</v>
      </c>
      <c r="I11" s="103">
        <v>250272</v>
      </c>
      <c r="J11" s="105" t="s">
        <v>245</v>
      </c>
      <c r="K11" s="148">
        <v>20.280850000000001</v>
      </c>
      <c r="L11" s="102">
        <v>148706</v>
      </c>
      <c r="M11" s="102">
        <v>36.75</v>
      </c>
      <c r="N11" s="148" t="s">
        <v>246</v>
      </c>
      <c r="O11" s="102" t="s">
        <v>246</v>
      </c>
      <c r="P11" s="102">
        <v>1</v>
      </c>
      <c r="Q11" s="102">
        <v>2003</v>
      </c>
      <c r="R11" s="102" t="s">
        <v>246</v>
      </c>
      <c r="S11" s="102" t="str" cm="1">
        <f t="array" ref="S11">_xlfn.IFS(AND('Rent Table'!$I11&gt;0,'Rent Table'!$I11&lt;=50000),"0-50,000",
AND('Rent Table'!$I11 &gt; 50000, 'Rent Table'!$I11 &lt;= 150000), "50,001-150,000",
AND('Rent Table'!$I11 &gt; 150000, 'Rent Table'!$I11 &lt;= 250000), "150,001-250,000",
AND('Rent Table'!$I11 &gt; 250000, 'Rent Table'!$I11 &lt;= 350000), "250,001-350,000",
AND('Rent Table'!$I11 &gt; 350000, 'Rent Table'!$I11 &lt;= 450000), "350,001-450,000",
AND('Rent Table'!$I11 &gt; 450000, 'Rent Table'!$I11 &lt;= 600000), "450,001-600,000",
AND('Rent Table'!$I11 &gt; 600000, 'Rent Table'!$I11 &lt;= 750000), "600,001-750,000",'Rent Table'!$I11 &gt; 750000, "750,000+",
TRUE, "Undefined"
         )</f>
        <v>250,001-350,000</v>
      </c>
    </row>
    <row r="12" spans="1:21" x14ac:dyDescent="0.45">
      <c r="A12" s="105" t="s">
        <v>258</v>
      </c>
      <c r="B12" s="105" t="s">
        <v>223</v>
      </c>
      <c r="C12" s="102" t="s">
        <v>241</v>
      </c>
      <c r="D12" s="105" t="s">
        <v>251</v>
      </c>
      <c r="E12" s="102" t="s">
        <v>222</v>
      </c>
      <c r="F12" s="102" t="s">
        <v>243</v>
      </c>
      <c r="G12" s="146">
        <v>45566</v>
      </c>
      <c r="H12" s="105" t="s">
        <v>252</v>
      </c>
      <c r="I12" s="103">
        <v>182554</v>
      </c>
      <c r="J12" s="105" t="s">
        <v>245</v>
      </c>
      <c r="K12" s="148">
        <v>19.012899999999998</v>
      </c>
      <c r="L12" s="102">
        <v>182554</v>
      </c>
      <c r="M12" s="102">
        <v>60</v>
      </c>
      <c r="N12" s="148">
        <v>1.1000000000000001</v>
      </c>
      <c r="O12" s="102" t="s">
        <v>246</v>
      </c>
      <c r="P12" s="102">
        <v>1</v>
      </c>
      <c r="Q12" s="102">
        <v>2005</v>
      </c>
      <c r="R12" s="102" t="s">
        <v>246</v>
      </c>
      <c r="S12" s="102" t="str" cm="1">
        <f t="array" ref="S12">_xlfn.IFS(AND('Rent Table'!$I12&gt;0,'Rent Table'!$I12&lt;=50000),"0-50,000",
AND('Rent Table'!$I12 &gt; 50000, 'Rent Table'!$I12 &lt;= 150000), "50,001-150,000",
AND('Rent Table'!$I12 &gt; 150000, 'Rent Table'!$I12 &lt;= 250000), "150,001-250,000",
AND('Rent Table'!$I12 &gt; 250000, 'Rent Table'!$I12 &lt;= 350000), "250,001-350,000",
AND('Rent Table'!$I12 &gt; 350000, 'Rent Table'!$I12 &lt;= 450000), "350,001-450,000",
AND('Rent Table'!$I12 &gt; 450000, 'Rent Table'!$I12 &lt;= 600000), "450,001-600,000",
AND('Rent Table'!$I12 &gt; 600000, 'Rent Table'!$I12 &lt;= 750000), "600,001-750,000",'Rent Table'!$I12 &gt; 750000, "750,000+",
TRUE, "Undefined"
         )</f>
        <v>150,001-250,000</v>
      </c>
    </row>
    <row r="13" spans="1:21" x14ac:dyDescent="0.45">
      <c r="A13" s="105" t="s">
        <v>259</v>
      </c>
      <c r="B13" s="105" t="s">
        <v>223</v>
      </c>
      <c r="C13" s="102" t="s">
        <v>241</v>
      </c>
      <c r="D13" s="105" t="s">
        <v>251</v>
      </c>
      <c r="E13" s="102" t="s">
        <v>222</v>
      </c>
      <c r="F13" s="102" t="s">
        <v>243</v>
      </c>
      <c r="G13" s="146">
        <v>45566</v>
      </c>
      <c r="H13" s="105" t="s">
        <v>252</v>
      </c>
      <c r="I13" s="103">
        <v>81893</v>
      </c>
      <c r="J13" s="105" t="s">
        <v>245</v>
      </c>
      <c r="K13" s="148">
        <v>19.079999999999998</v>
      </c>
      <c r="L13" s="102">
        <v>81532</v>
      </c>
      <c r="M13" s="102">
        <v>59</v>
      </c>
      <c r="N13" s="148" t="s">
        <v>246</v>
      </c>
      <c r="O13" s="102">
        <v>1</v>
      </c>
      <c r="P13" s="102">
        <v>1</v>
      </c>
      <c r="Q13" s="102">
        <v>2007</v>
      </c>
      <c r="R13" s="102" t="s">
        <v>246</v>
      </c>
      <c r="S13" s="102" t="str" cm="1">
        <f t="array" ref="S13">_xlfn.IFS(AND('Rent Table'!$I13&gt;0,'Rent Table'!$I13&lt;=50000),"0-50,000",
AND('Rent Table'!$I13 &gt; 50000, 'Rent Table'!$I13 &lt;= 150000), "50,001-150,000",
AND('Rent Table'!$I13 &gt; 150000, 'Rent Table'!$I13 &lt;= 250000), "150,001-250,000",
AND('Rent Table'!$I13 &gt; 250000, 'Rent Table'!$I13 &lt;= 350000), "250,001-350,000",
AND('Rent Table'!$I13 &gt; 350000, 'Rent Table'!$I13 &lt;= 450000), "350,001-450,000",
AND('Rent Table'!$I13 &gt; 450000, 'Rent Table'!$I13 &lt;= 600000), "450,001-600,000",
AND('Rent Table'!$I13 &gt; 600000, 'Rent Table'!$I13 &lt;= 750000), "600,001-750,000",'Rent Table'!$I13 &gt; 750000, "750,000+",
TRUE, "Undefined"
         )</f>
        <v>50,001-150,000</v>
      </c>
    </row>
    <row r="14" spans="1:21" x14ac:dyDescent="0.45">
      <c r="A14" s="105" t="s">
        <v>260</v>
      </c>
      <c r="B14" s="105" t="s">
        <v>225</v>
      </c>
      <c r="C14" s="102" t="s">
        <v>241</v>
      </c>
      <c r="D14" s="105" t="s">
        <v>261</v>
      </c>
      <c r="E14" s="102" t="s">
        <v>222</v>
      </c>
      <c r="F14" s="102" t="s">
        <v>243</v>
      </c>
      <c r="G14" s="146">
        <v>45566</v>
      </c>
      <c r="H14" s="105" t="s">
        <v>244</v>
      </c>
      <c r="I14" s="147">
        <v>153000</v>
      </c>
      <c r="J14" s="105" t="s">
        <v>245</v>
      </c>
      <c r="K14" s="148">
        <v>27.982600000000001</v>
      </c>
      <c r="L14" s="102">
        <v>152790</v>
      </c>
      <c r="M14" s="102">
        <v>65</v>
      </c>
      <c r="N14" s="148">
        <v>1</v>
      </c>
      <c r="O14" s="102" t="s">
        <v>246</v>
      </c>
      <c r="P14" s="102">
        <v>1</v>
      </c>
      <c r="Q14" s="102">
        <v>2005</v>
      </c>
      <c r="R14" s="102" t="s">
        <v>246</v>
      </c>
      <c r="S14" s="102" t="str" cm="1">
        <f t="array" ref="S14">_xlfn.IFS(AND('Rent Table'!$I14&gt;0,'Rent Table'!$I14&lt;=50000),"0-50,000",
AND('Rent Table'!$I14 &gt; 50000, 'Rent Table'!$I14 &lt;= 150000), "50,001-150,000",
AND('Rent Table'!$I14 &gt; 150000, 'Rent Table'!$I14 &lt;= 250000), "150,001-250,000",
AND('Rent Table'!$I14 &gt; 250000, 'Rent Table'!$I14 &lt;= 350000), "250,001-350,000",
AND('Rent Table'!$I14 &gt; 350000, 'Rent Table'!$I14 &lt;= 450000), "350,001-450,000",
AND('Rent Table'!$I14 &gt; 450000, 'Rent Table'!$I14 &lt;= 600000), "450,001-600,000",
AND('Rent Table'!$I14 &gt; 600000, 'Rent Table'!$I14 &lt;= 750000), "600,001-750,000",'Rent Table'!$I14 &gt; 750000, "750,000+",
TRUE, "Undefined"
         )</f>
        <v>150,001-250,000</v>
      </c>
    </row>
    <row r="15" spans="1:21" x14ac:dyDescent="0.45">
      <c r="A15" s="105" t="s">
        <v>262</v>
      </c>
      <c r="B15" s="105" t="s">
        <v>225</v>
      </c>
      <c r="C15" s="102" t="s">
        <v>241</v>
      </c>
      <c r="D15" s="105" t="s">
        <v>261</v>
      </c>
      <c r="E15" s="102" t="s">
        <v>222</v>
      </c>
      <c r="F15" s="102" t="s">
        <v>243</v>
      </c>
      <c r="G15" s="146">
        <v>45566</v>
      </c>
      <c r="H15" s="105" t="s">
        <v>244</v>
      </c>
      <c r="I15" s="147">
        <v>442550</v>
      </c>
      <c r="J15" s="105" t="s">
        <v>245</v>
      </c>
      <c r="K15" s="148">
        <v>18.524799999999999</v>
      </c>
      <c r="L15" s="102">
        <v>442550</v>
      </c>
      <c r="M15" s="102">
        <v>65</v>
      </c>
      <c r="N15" s="148">
        <v>2.82</v>
      </c>
      <c r="O15" s="102">
        <v>5.5</v>
      </c>
      <c r="P15" s="102" t="s">
        <v>246</v>
      </c>
      <c r="Q15" s="102">
        <v>2003</v>
      </c>
      <c r="R15" s="102">
        <v>2004</v>
      </c>
      <c r="S15" s="102" t="str" cm="1">
        <f t="array" ref="S15">_xlfn.IFS(AND('Rent Table'!$I15&gt;0,'Rent Table'!$I15&lt;=50000),"0-50,000",
AND('Rent Table'!$I15 &gt; 50000, 'Rent Table'!$I15 &lt;= 150000), "50,001-150,000",
AND('Rent Table'!$I15 &gt; 150000, 'Rent Table'!$I15 &lt;= 250000), "150,001-250,000",
AND('Rent Table'!$I15 &gt; 250000, 'Rent Table'!$I15 &lt;= 350000), "250,001-350,000",
AND('Rent Table'!$I15 &gt; 350000, 'Rent Table'!$I15 &lt;= 450000), "350,001-450,000",
AND('Rent Table'!$I15 &gt; 450000, 'Rent Table'!$I15 &lt;= 600000), "450,001-600,000",
AND('Rent Table'!$I15 &gt; 600000, 'Rent Table'!$I15 &lt;= 750000), "600,001-750,000",'Rent Table'!$I15 &gt; 750000, "750,000+",
TRUE, "Undefined"
         )</f>
        <v>350,001-450,000</v>
      </c>
    </row>
    <row r="16" spans="1:21" x14ac:dyDescent="0.45">
      <c r="A16" s="105" t="s">
        <v>263</v>
      </c>
      <c r="B16" s="105" t="s">
        <v>223</v>
      </c>
      <c r="C16" s="102" t="s">
        <v>241</v>
      </c>
      <c r="D16" s="105" t="s">
        <v>251</v>
      </c>
      <c r="E16" s="102" t="s">
        <v>222</v>
      </c>
      <c r="F16" s="102" t="s">
        <v>243</v>
      </c>
      <c r="G16" s="146">
        <v>45566</v>
      </c>
      <c r="H16" s="105" t="s">
        <v>252</v>
      </c>
      <c r="I16" s="103">
        <v>76028</v>
      </c>
      <c r="J16" s="105" t="s">
        <v>245</v>
      </c>
      <c r="K16" s="148">
        <v>16.873200000000001</v>
      </c>
      <c r="L16" s="102">
        <v>76028</v>
      </c>
      <c r="M16" s="102">
        <v>48</v>
      </c>
      <c r="N16" s="148">
        <v>0.53</v>
      </c>
      <c r="O16" s="102">
        <v>1</v>
      </c>
      <c r="P16" s="102">
        <v>1</v>
      </c>
      <c r="Q16" s="102">
        <v>2006</v>
      </c>
      <c r="R16" s="102" t="s">
        <v>246</v>
      </c>
      <c r="S16" s="102" t="str" cm="1">
        <f t="array" ref="S16">_xlfn.IFS(AND('Rent Table'!$I16&gt;0,'Rent Table'!$I16&lt;=50000),"0-50,000",
AND('Rent Table'!$I16 &gt; 50000, 'Rent Table'!$I16 &lt;= 150000), "50,001-150,000",
AND('Rent Table'!$I16 &gt; 150000, 'Rent Table'!$I16 &lt;= 250000), "150,001-250,000",
AND('Rent Table'!$I16 &gt; 250000, 'Rent Table'!$I16 &lt;= 350000), "250,001-350,000",
AND('Rent Table'!$I16 &gt; 350000, 'Rent Table'!$I16 &lt;= 450000), "350,001-450,000",
AND('Rent Table'!$I16 &gt; 450000, 'Rent Table'!$I16 &lt;= 600000), "450,001-600,000",
AND('Rent Table'!$I16 &gt; 600000, 'Rent Table'!$I16 &lt;= 750000), "600,001-750,000",'Rent Table'!$I16 &gt; 750000, "750,000+",
TRUE, "Undefined"
         )</f>
        <v>50,001-150,000</v>
      </c>
    </row>
    <row r="17" spans="1:19" x14ac:dyDescent="0.45">
      <c r="A17" s="105" t="s">
        <v>264</v>
      </c>
      <c r="B17" s="105" t="s">
        <v>223</v>
      </c>
      <c r="C17" s="102" t="s">
        <v>241</v>
      </c>
      <c r="D17" s="105" t="s">
        <v>251</v>
      </c>
      <c r="E17" s="102" t="s">
        <v>222</v>
      </c>
      <c r="F17" s="102" t="s">
        <v>243</v>
      </c>
      <c r="G17" s="146">
        <v>45566</v>
      </c>
      <c r="H17" s="105" t="s">
        <v>252</v>
      </c>
      <c r="I17" s="103">
        <v>185375</v>
      </c>
      <c r="J17" s="105" t="s">
        <v>245</v>
      </c>
      <c r="K17" s="148">
        <v>18.030550000000002</v>
      </c>
      <c r="L17" s="102">
        <v>40905</v>
      </c>
      <c r="M17" s="102">
        <v>61.5</v>
      </c>
      <c r="N17" s="148">
        <v>1</v>
      </c>
      <c r="O17" s="102">
        <v>1.5</v>
      </c>
      <c r="P17" s="102">
        <v>1</v>
      </c>
      <c r="Q17" s="102">
        <v>2005</v>
      </c>
      <c r="R17" s="102" t="s">
        <v>246</v>
      </c>
      <c r="S17" s="102" t="str" cm="1">
        <f t="array" ref="S17">_xlfn.IFS(AND('Rent Table'!$I17&gt;0,'Rent Table'!$I17&lt;=50000),"0-50,000",
AND('Rent Table'!$I17 &gt; 50000, 'Rent Table'!$I17 &lt;= 150000), "50,001-150,000",
AND('Rent Table'!$I17 &gt; 150000, 'Rent Table'!$I17 &lt;= 250000), "150,001-250,000",
AND('Rent Table'!$I17 &gt; 250000, 'Rent Table'!$I17 &lt;= 350000), "250,001-350,000",
AND('Rent Table'!$I17 &gt; 350000, 'Rent Table'!$I17 &lt;= 450000), "350,001-450,000",
AND('Rent Table'!$I17 &gt; 450000, 'Rent Table'!$I17 &lt;= 600000), "450,001-600,000",
AND('Rent Table'!$I17 &gt; 600000, 'Rent Table'!$I17 &lt;= 750000), "600,001-750,000",'Rent Table'!$I17 &gt; 750000, "750,000+",
TRUE, "Undefined"
         )</f>
        <v>150,001-250,000</v>
      </c>
    </row>
    <row r="18" spans="1:19" x14ac:dyDescent="0.45">
      <c r="A18" s="105" t="s">
        <v>265</v>
      </c>
      <c r="B18" s="105" t="s">
        <v>223</v>
      </c>
      <c r="C18" s="102" t="s">
        <v>241</v>
      </c>
      <c r="D18" s="105" t="s">
        <v>251</v>
      </c>
      <c r="E18" s="102" t="s">
        <v>222</v>
      </c>
      <c r="F18" s="102" t="s">
        <v>243</v>
      </c>
      <c r="G18" s="146">
        <v>45566</v>
      </c>
      <c r="H18" s="105" t="s">
        <v>252</v>
      </c>
      <c r="I18" s="103">
        <v>242143</v>
      </c>
      <c r="J18" s="105" t="s">
        <v>245</v>
      </c>
      <c r="K18" s="148">
        <v>21.151900000000001</v>
      </c>
      <c r="L18" s="102">
        <v>48330</v>
      </c>
      <c r="M18" s="102">
        <v>64</v>
      </c>
      <c r="N18" s="148" t="s">
        <v>246</v>
      </c>
      <c r="O18" s="102">
        <v>4</v>
      </c>
      <c r="P18" s="102">
        <v>1</v>
      </c>
      <c r="Q18" s="102">
        <v>2002</v>
      </c>
      <c r="R18" s="102" t="s">
        <v>246</v>
      </c>
      <c r="S18" s="102" t="str" cm="1">
        <f t="array" ref="S18">_xlfn.IFS(AND('Rent Table'!$I18&gt;0,'Rent Table'!$I18&lt;=50000),"0-50,000",
AND('Rent Table'!$I18 &gt; 50000, 'Rent Table'!$I18 &lt;= 150000), "50,001-150,000",
AND('Rent Table'!$I18 &gt; 150000, 'Rent Table'!$I18 &lt;= 250000), "150,001-250,000",
AND('Rent Table'!$I18 &gt; 250000, 'Rent Table'!$I18 &lt;= 350000), "250,001-350,000",
AND('Rent Table'!$I18 &gt; 350000, 'Rent Table'!$I18 &lt;= 450000), "350,001-450,000",
AND('Rent Table'!$I18 &gt; 450000, 'Rent Table'!$I18 &lt;= 600000), "450,001-600,000",
AND('Rent Table'!$I18 &gt; 600000, 'Rent Table'!$I18 &lt;= 750000), "600,001-750,000",'Rent Table'!$I18 &gt; 750000, "750,000+",
TRUE, "Undefined"
         )</f>
        <v>150,001-250,000</v>
      </c>
    </row>
    <row r="19" spans="1:19" x14ac:dyDescent="0.45">
      <c r="A19" s="105" t="s">
        <v>266</v>
      </c>
      <c r="B19" s="105" t="s">
        <v>225</v>
      </c>
      <c r="C19" s="102" t="s">
        <v>241</v>
      </c>
      <c r="D19" s="105" t="s">
        <v>261</v>
      </c>
      <c r="E19" s="102" t="s">
        <v>222</v>
      </c>
      <c r="F19" s="102" t="s">
        <v>243</v>
      </c>
      <c r="G19" s="146">
        <v>45566</v>
      </c>
      <c r="H19" s="105" t="s">
        <v>244</v>
      </c>
      <c r="I19" s="147">
        <v>46479</v>
      </c>
      <c r="J19" s="105" t="s">
        <v>245</v>
      </c>
      <c r="K19" s="148">
        <v>20.3035</v>
      </c>
      <c r="L19" s="102">
        <v>23949</v>
      </c>
      <c r="M19" s="102">
        <v>35</v>
      </c>
      <c r="N19" s="148" t="s">
        <v>246</v>
      </c>
      <c r="O19" s="102">
        <v>1</v>
      </c>
      <c r="P19" s="102" t="s">
        <v>246</v>
      </c>
      <c r="Q19" s="102">
        <v>2011</v>
      </c>
      <c r="R19" s="102">
        <v>2012</v>
      </c>
      <c r="S19" s="102" t="str" cm="1">
        <f t="array" ref="S19">_xlfn.IFS(AND('Rent Table'!$I19&gt;0,'Rent Table'!$I19&lt;=50000),"0-50,000",
AND('Rent Table'!$I19 &gt; 50000, 'Rent Table'!$I19 &lt;= 150000), "50,001-150,000",
AND('Rent Table'!$I19 &gt; 150000, 'Rent Table'!$I19 &lt;= 250000), "150,001-250,000",
AND('Rent Table'!$I19 &gt; 250000, 'Rent Table'!$I19 &lt;= 350000), "250,001-350,000",
AND('Rent Table'!$I19 &gt; 350000, 'Rent Table'!$I19 &lt;= 450000), "350,001-450,000",
AND('Rent Table'!$I19 &gt; 450000, 'Rent Table'!$I19 &lt;= 600000), "450,001-600,000",
AND('Rent Table'!$I19 &gt; 600000, 'Rent Table'!$I19 &lt;= 750000), "600,001-750,000",'Rent Table'!$I19 &gt; 750000, "750,000+",
TRUE, "Undefined"
         )</f>
        <v>0-50,000</v>
      </c>
    </row>
    <row r="20" spans="1:19" x14ac:dyDescent="0.45">
      <c r="A20" s="105" t="s">
        <v>267</v>
      </c>
      <c r="B20" s="105" t="s">
        <v>223</v>
      </c>
      <c r="C20" s="102" t="s">
        <v>241</v>
      </c>
      <c r="D20" s="105" t="s">
        <v>251</v>
      </c>
      <c r="E20" s="102" t="s">
        <v>222</v>
      </c>
      <c r="F20" s="102" t="s">
        <v>243</v>
      </c>
      <c r="G20" s="146">
        <v>45566</v>
      </c>
      <c r="H20" s="105" t="s">
        <v>252</v>
      </c>
      <c r="I20" s="103">
        <v>35186</v>
      </c>
      <c r="J20" s="105" t="s">
        <v>245</v>
      </c>
      <c r="K20" s="148">
        <v>12.4838</v>
      </c>
      <c r="L20" s="102">
        <v>17666</v>
      </c>
      <c r="M20" s="102">
        <v>36</v>
      </c>
      <c r="N20" s="148" t="s">
        <v>246</v>
      </c>
      <c r="O20" s="102">
        <v>0.5</v>
      </c>
      <c r="P20" s="102">
        <v>1</v>
      </c>
      <c r="Q20" s="102">
        <v>1971</v>
      </c>
      <c r="R20" s="102" t="s">
        <v>246</v>
      </c>
      <c r="S20" s="102" t="str" cm="1">
        <f t="array" ref="S20">_xlfn.IFS(AND('Rent Table'!$I20&gt;0,'Rent Table'!$I20&lt;=50000),"0-50,000",
AND('Rent Table'!$I20 &gt; 50000, 'Rent Table'!$I20 &lt;= 150000), "50,001-150,000",
AND('Rent Table'!$I20 &gt; 150000, 'Rent Table'!$I20 &lt;= 250000), "150,001-250,000",
AND('Rent Table'!$I20 &gt; 250000, 'Rent Table'!$I20 &lt;= 350000), "250,001-350,000",
AND('Rent Table'!$I20 &gt; 350000, 'Rent Table'!$I20 &lt;= 450000), "350,001-450,000",
AND('Rent Table'!$I20 &gt; 450000, 'Rent Table'!$I20 &lt;= 600000), "450,001-600,000",
AND('Rent Table'!$I20 &gt; 600000, 'Rent Table'!$I20 &lt;= 750000), "600,001-750,000",'Rent Table'!$I20 &gt; 750000, "750,000+",
TRUE, "Undefined"
         )</f>
        <v>0-50,000</v>
      </c>
    </row>
    <row r="21" spans="1:19" x14ac:dyDescent="0.45">
      <c r="A21" s="105" t="s">
        <v>268</v>
      </c>
      <c r="B21" s="105" t="s">
        <v>225</v>
      </c>
      <c r="C21" s="102" t="s">
        <v>241</v>
      </c>
      <c r="D21" s="105" t="s">
        <v>261</v>
      </c>
      <c r="E21" s="102" t="s">
        <v>222</v>
      </c>
      <c r="F21" s="102" t="s">
        <v>243</v>
      </c>
      <c r="G21" s="146">
        <v>45566</v>
      </c>
      <c r="H21" s="105" t="s">
        <v>244</v>
      </c>
      <c r="I21" s="147">
        <v>117460</v>
      </c>
      <c r="J21" s="105" t="s">
        <v>245</v>
      </c>
      <c r="K21" s="148">
        <v>25.9481</v>
      </c>
      <c r="L21" s="102">
        <v>90133</v>
      </c>
      <c r="M21" s="102">
        <v>60</v>
      </c>
      <c r="N21" s="148" t="s">
        <v>246</v>
      </c>
      <c r="O21" s="102" t="s">
        <v>246</v>
      </c>
      <c r="P21" s="102">
        <v>1</v>
      </c>
      <c r="Q21" s="102">
        <v>2000</v>
      </c>
      <c r="R21" s="102" t="s">
        <v>246</v>
      </c>
      <c r="S21" s="102" t="str" cm="1">
        <f t="array" ref="S21">_xlfn.IFS(AND('Rent Table'!$I21&gt;0,'Rent Table'!$I21&lt;=50000),"0-50,000",
AND('Rent Table'!$I21 &gt; 50000, 'Rent Table'!$I21 &lt;= 150000), "50,001-150,000",
AND('Rent Table'!$I21 &gt; 150000, 'Rent Table'!$I21 &lt;= 250000), "150,001-250,000",
AND('Rent Table'!$I21 &gt; 250000, 'Rent Table'!$I21 &lt;= 350000), "250,001-350,000",
AND('Rent Table'!$I21 &gt; 350000, 'Rent Table'!$I21 &lt;= 450000), "350,001-450,000",
AND('Rent Table'!$I21 &gt; 450000, 'Rent Table'!$I21 &lt;= 600000), "450,001-600,000",
AND('Rent Table'!$I21 &gt; 600000, 'Rent Table'!$I21 &lt;= 750000), "600,001-750,000",'Rent Table'!$I21 &gt; 750000, "750,000+",
TRUE, "Undefined"
         )</f>
        <v>50,001-150,000</v>
      </c>
    </row>
    <row r="22" spans="1:19" x14ac:dyDescent="0.45">
      <c r="A22" s="105" t="s">
        <v>269</v>
      </c>
      <c r="B22" s="105" t="s">
        <v>225</v>
      </c>
      <c r="C22" s="102" t="s">
        <v>241</v>
      </c>
      <c r="D22" s="105" t="s">
        <v>261</v>
      </c>
      <c r="E22" s="102" t="s">
        <v>222</v>
      </c>
      <c r="F22" s="102" t="s">
        <v>243</v>
      </c>
      <c r="G22" s="146">
        <v>45566</v>
      </c>
      <c r="H22" s="105" t="s">
        <v>244</v>
      </c>
      <c r="I22" s="147">
        <v>277000</v>
      </c>
      <c r="J22" s="105" t="s">
        <v>245</v>
      </c>
      <c r="K22" s="148">
        <v>16.220300000000002</v>
      </c>
      <c r="L22" s="102">
        <v>106898</v>
      </c>
      <c r="M22" s="102">
        <v>61</v>
      </c>
      <c r="N22" s="148">
        <v>1</v>
      </c>
      <c r="O22" s="102">
        <v>1</v>
      </c>
      <c r="P22" s="102">
        <v>2</v>
      </c>
      <c r="Q22" s="102">
        <v>2012</v>
      </c>
      <c r="R22" s="102">
        <v>2013</v>
      </c>
      <c r="S22" s="102" t="str" cm="1">
        <f t="array" ref="S22">_xlfn.IFS(AND('Rent Table'!$I22&gt;0,'Rent Table'!$I22&lt;=50000),"0-50,000",
AND('Rent Table'!$I22 &gt; 50000, 'Rent Table'!$I22 &lt;= 150000), "50,001-150,000",
AND('Rent Table'!$I22 &gt; 150000, 'Rent Table'!$I22 &lt;= 250000), "150,001-250,000",
AND('Rent Table'!$I22 &gt; 250000, 'Rent Table'!$I22 &lt;= 350000), "250,001-350,000",
AND('Rent Table'!$I22 &gt; 350000, 'Rent Table'!$I22 &lt;= 450000), "350,001-450,000",
AND('Rent Table'!$I22 &gt; 450000, 'Rent Table'!$I22 &lt;= 600000), "450,001-600,000",
AND('Rent Table'!$I22 &gt; 600000, 'Rent Table'!$I22 &lt;= 750000), "600,001-750,000",'Rent Table'!$I22 &gt; 750000, "750,000+",
TRUE, "Undefined"
         )</f>
        <v>250,001-350,000</v>
      </c>
    </row>
    <row r="23" spans="1:19" x14ac:dyDescent="0.45">
      <c r="A23" s="105" t="s">
        <v>270</v>
      </c>
      <c r="B23" s="105" t="s">
        <v>223</v>
      </c>
      <c r="C23" s="102" t="s">
        <v>241</v>
      </c>
      <c r="D23" s="105" t="s">
        <v>251</v>
      </c>
      <c r="E23" s="102" t="s">
        <v>222</v>
      </c>
      <c r="F23" s="102" t="s">
        <v>243</v>
      </c>
      <c r="G23" s="146">
        <v>45566</v>
      </c>
      <c r="H23" s="105" t="s">
        <v>252</v>
      </c>
      <c r="I23" s="103">
        <v>210938</v>
      </c>
      <c r="J23" s="105" t="s">
        <v>245</v>
      </c>
      <c r="K23" s="148">
        <v>21.990400000000001</v>
      </c>
      <c r="L23" s="102">
        <v>107753</v>
      </c>
      <c r="M23" s="102">
        <v>64</v>
      </c>
      <c r="N23" s="148">
        <v>1.5</v>
      </c>
      <c r="O23" s="102">
        <v>1</v>
      </c>
      <c r="P23" s="102">
        <v>1</v>
      </c>
      <c r="Q23" s="102">
        <v>2000</v>
      </c>
      <c r="R23" s="102">
        <v>2005</v>
      </c>
      <c r="S23" s="102" t="str" cm="1">
        <f t="array" ref="S23">_xlfn.IFS(AND('Rent Table'!$I23&gt;0,'Rent Table'!$I23&lt;=50000),"0-50,000",
AND('Rent Table'!$I23 &gt; 50000, 'Rent Table'!$I23 &lt;= 150000), "50,001-150,000",
AND('Rent Table'!$I23 &gt; 150000, 'Rent Table'!$I23 &lt;= 250000), "150,001-250,000",
AND('Rent Table'!$I23 &gt; 250000, 'Rent Table'!$I23 &lt;= 350000), "250,001-350,000",
AND('Rent Table'!$I23 &gt; 350000, 'Rent Table'!$I23 &lt;= 450000), "350,001-450,000",
AND('Rent Table'!$I23 &gt; 450000, 'Rent Table'!$I23 &lt;= 600000), "450,001-600,000",
AND('Rent Table'!$I23 &gt; 600000, 'Rent Table'!$I23 &lt;= 750000), "600,001-750,000",'Rent Table'!$I23 &gt; 750000, "750,000+",
TRUE, "Undefined"
         )</f>
        <v>150,001-250,000</v>
      </c>
    </row>
    <row r="24" spans="1:19" x14ac:dyDescent="0.45">
      <c r="A24" s="105" t="s">
        <v>271</v>
      </c>
      <c r="B24" s="105" t="s">
        <v>223</v>
      </c>
      <c r="C24" s="102" t="s">
        <v>241</v>
      </c>
      <c r="D24" s="105" t="s">
        <v>251</v>
      </c>
      <c r="E24" s="102" t="s">
        <v>222</v>
      </c>
      <c r="F24" s="102" t="s">
        <v>243</v>
      </c>
      <c r="G24" s="146">
        <v>45566</v>
      </c>
      <c r="H24" s="105" t="s">
        <v>252</v>
      </c>
      <c r="I24" s="103">
        <v>108873</v>
      </c>
      <c r="J24" s="105" t="s">
        <v>245</v>
      </c>
      <c r="K24" s="148">
        <v>21.697700000000001</v>
      </c>
      <c r="L24" s="102">
        <v>107603</v>
      </c>
      <c r="M24" s="102">
        <v>60</v>
      </c>
      <c r="N24" s="148" t="s">
        <v>246</v>
      </c>
      <c r="O24" s="102">
        <v>2</v>
      </c>
      <c r="P24" s="102">
        <v>2</v>
      </c>
      <c r="Q24" s="102">
        <v>2004</v>
      </c>
      <c r="R24" s="102">
        <v>2005</v>
      </c>
      <c r="S24" s="102" t="str" cm="1">
        <f t="array" ref="S24">_xlfn.IFS(AND('Rent Table'!$I24&gt;0,'Rent Table'!$I24&lt;=50000),"0-50,000",
AND('Rent Table'!$I24 &gt; 50000, 'Rent Table'!$I24 &lt;= 150000), "50,001-150,000",
AND('Rent Table'!$I24 &gt; 150000, 'Rent Table'!$I24 &lt;= 250000), "150,001-250,000",
AND('Rent Table'!$I24 &gt; 250000, 'Rent Table'!$I24 &lt;= 350000), "250,001-350,000",
AND('Rent Table'!$I24 &gt; 350000, 'Rent Table'!$I24 &lt;= 450000), "350,001-450,000",
AND('Rent Table'!$I24 &gt; 450000, 'Rent Table'!$I24 &lt;= 600000), "450,001-600,000",
AND('Rent Table'!$I24 &gt; 600000, 'Rent Table'!$I24 &lt;= 750000), "600,001-750,000",'Rent Table'!$I24 &gt; 750000, "750,000+",
TRUE, "Undefined"
         )</f>
        <v>50,001-150,000</v>
      </c>
    </row>
    <row r="25" spans="1:19" x14ac:dyDescent="0.45">
      <c r="A25" s="105" t="s">
        <v>272</v>
      </c>
      <c r="B25" s="105" t="s">
        <v>225</v>
      </c>
      <c r="C25" s="102" t="s">
        <v>241</v>
      </c>
      <c r="D25" s="105" t="s">
        <v>261</v>
      </c>
      <c r="E25" s="102" t="s">
        <v>222</v>
      </c>
      <c r="F25" s="102" t="s">
        <v>243</v>
      </c>
      <c r="G25" s="146">
        <v>45566</v>
      </c>
      <c r="H25" s="105" t="s">
        <v>244</v>
      </c>
      <c r="I25" s="147">
        <v>123345</v>
      </c>
      <c r="J25" s="105" t="s">
        <v>245</v>
      </c>
      <c r="K25" s="148">
        <v>28.968499999999999</v>
      </c>
      <c r="L25" s="102">
        <v>123345</v>
      </c>
      <c r="M25" s="102">
        <v>120</v>
      </c>
      <c r="N25" s="148" t="s">
        <v>246</v>
      </c>
      <c r="O25" s="102">
        <v>1.5</v>
      </c>
      <c r="P25" s="102">
        <v>1</v>
      </c>
      <c r="Q25" s="102">
        <v>2000</v>
      </c>
      <c r="R25" s="102" t="s">
        <v>246</v>
      </c>
      <c r="S25" s="102" t="str" cm="1">
        <f t="array" ref="S25">_xlfn.IFS(AND('Rent Table'!$I25&gt;0,'Rent Table'!$I25&lt;=50000),"0-50,000",
AND('Rent Table'!$I25 &gt; 50000, 'Rent Table'!$I25 &lt;= 150000), "50,001-150,000",
AND('Rent Table'!$I25 &gt; 150000, 'Rent Table'!$I25 &lt;= 250000), "150,001-250,000",
AND('Rent Table'!$I25 &gt; 250000, 'Rent Table'!$I25 &lt;= 350000), "250,001-350,000",
AND('Rent Table'!$I25 &gt; 350000, 'Rent Table'!$I25 &lt;= 450000), "350,001-450,000",
AND('Rent Table'!$I25 &gt; 450000, 'Rent Table'!$I25 &lt;= 600000), "450,001-600,000",
AND('Rent Table'!$I25 &gt; 600000, 'Rent Table'!$I25 &lt;= 750000), "600,001-750,000",'Rent Table'!$I25 &gt; 750000, "750,000+",
TRUE, "Undefined"
         )</f>
        <v>50,001-150,000</v>
      </c>
    </row>
    <row r="26" spans="1:19" x14ac:dyDescent="0.45">
      <c r="A26" s="105" t="s">
        <v>273</v>
      </c>
      <c r="B26" s="105" t="s">
        <v>223</v>
      </c>
      <c r="C26" s="102" t="s">
        <v>241</v>
      </c>
      <c r="D26" s="105" t="s">
        <v>251</v>
      </c>
      <c r="E26" s="102" t="s">
        <v>222</v>
      </c>
      <c r="F26" s="102" t="s">
        <v>243</v>
      </c>
      <c r="G26" s="146">
        <v>45566</v>
      </c>
      <c r="H26" s="105" t="s">
        <v>252</v>
      </c>
      <c r="I26" s="103">
        <v>16863</v>
      </c>
      <c r="J26" s="105" t="s">
        <v>245</v>
      </c>
      <c r="K26" s="148">
        <v>11.3567</v>
      </c>
      <c r="L26" s="102">
        <v>1752</v>
      </c>
      <c r="M26" s="102">
        <v>24</v>
      </c>
      <c r="N26" s="148" t="s">
        <v>246</v>
      </c>
      <c r="O26" s="102" t="s">
        <v>246</v>
      </c>
      <c r="P26" s="102">
        <v>1</v>
      </c>
      <c r="Q26" s="102">
        <v>1970</v>
      </c>
      <c r="R26" s="102" t="s">
        <v>246</v>
      </c>
      <c r="S26" s="102" t="str" cm="1">
        <f t="array" ref="S26">_xlfn.IFS(AND('Rent Table'!$I26&gt;0,'Rent Table'!$I26&lt;=50000),"0-50,000",
AND('Rent Table'!$I26 &gt; 50000, 'Rent Table'!$I26 &lt;= 150000), "50,001-150,000",
AND('Rent Table'!$I26 &gt; 150000, 'Rent Table'!$I26 &lt;= 250000), "150,001-250,000",
AND('Rent Table'!$I26 &gt; 250000, 'Rent Table'!$I26 &lt;= 350000), "250,001-350,000",
AND('Rent Table'!$I26 &gt; 350000, 'Rent Table'!$I26 &lt;= 450000), "350,001-450,000",
AND('Rent Table'!$I26 &gt; 450000, 'Rent Table'!$I26 &lt;= 600000), "450,001-600,000",
AND('Rent Table'!$I26 &gt; 600000, 'Rent Table'!$I26 &lt;= 750000), "600,001-750,000",'Rent Table'!$I26 &gt; 750000, "750,000+",
TRUE, "Undefined"
         )</f>
        <v>0-50,000</v>
      </c>
    </row>
    <row r="27" spans="1:19" x14ac:dyDescent="0.45">
      <c r="A27" s="105" t="s">
        <v>274</v>
      </c>
      <c r="B27" s="105" t="s">
        <v>223</v>
      </c>
      <c r="C27" s="102" t="s">
        <v>241</v>
      </c>
      <c r="D27" s="105" t="s">
        <v>251</v>
      </c>
      <c r="E27" s="102" t="s">
        <v>222</v>
      </c>
      <c r="F27" s="102" t="s">
        <v>243</v>
      </c>
      <c r="G27" s="146">
        <v>45566</v>
      </c>
      <c r="H27" s="105" t="s">
        <v>252</v>
      </c>
      <c r="I27" s="103">
        <v>16862</v>
      </c>
      <c r="J27" s="105" t="s">
        <v>245</v>
      </c>
      <c r="K27" s="148">
        <v>10.7525</v>
      </c>
      <c r="L27" s="102">
        <v>2592</v>
      </c>
      <c r="M27" s="102">
        <v>36</v>
      </c>
      <c r="N27" s="148" t="s">
        <v>246</v>
      </c>
      <c r="O27" s="102" t="s">
        <v>246</v>
      </c>
      <c r="P27" s="102">
        <v>1</v>
      </c>
      <c r="Q27" s="102">
        <v>1970</v>
      </c>
      <c r="R27" s="102" t="s">
        <v>246</v>
      </c>
      <c r="S27" s="102" t="str" cm="1">
        <f t="array" ref="S27">_xlfn.IFS(AND('Rent Table'!$I27&gt;0,'Rent Table'!$I27&lt;=50000),"0-50,000",
AND('Rent Table'!$I27 &gt; 50000, 'Rent Table'!$I27 &lt;= 150000), "50,001-150,000",
AND('Rent Table'!$I27 &gt; 150000, 'Rent Table'!$I27 &lt;= 250000), "150,001-250,000",
AND('Rent Table'!$I27 &gt; 250000, 'Rent Table'!$I27 &lt;= 350000), "250,001-350,000",
AND('Rent Table'!$I27 &gt; 350000, 'Rent Table'!$I27 &lt;= 450000), "350,001-450,000",
AND('Rent Table'!$I27 &gt; 450000, 'Rent Table'!$I27 &lt;= 600000), "450,001-600,000",
AND('Rent Table'!$I27 &gt; 600000, 'Rent Table'!$I27 &lt;= 750000), "600,001-750,000",'Rent Table'!$I27 &gt; 750000, "750,000+",
TRUE, "Undefined"
         )</f>
        <v>0-50,000</v>
      </c>
    </row>
    <row r="28" spans="1:19" x14ac:dyDescent="0.45">
      <c r="A28" s="105" t="s">
        <v>275</v>
      </c>
      <c r="B28" s="105" t="s">
        <v>223</v>
      </c>
      <c r="C28" s="102" t="s">
        <v>241</v>
      </c>
      <c r="D28" s="105" t="s">
        <v>251</v>
      </c>
      <c r="E28" s="102" t="s">
        <v>222</v>
      </c>
      <c r="F28" s="102" t="s">
        <v>243</v>
      </c>
      <c r="G28" s="146">
        <v>45566</v>
      </c>
      <c r="H28" s="105" t="s">
        <v>252</v>
      </c>
      <c r="I28" s="103">
        <v>16882</v>
      </c>
      <c r="J28" s="105" t="s">
        <v>245</v>
      </c>
      <c r="K28" s="148">
        <v>12.214404999999999</v>
      </c>
      <c r="L28" s="102">
        <v>2555</v>
      </c>
      <c r="M28" s="102">
        <v>48.5</v>
      </c>
      <c r="N28" s="148" t="s">
        <v>246</v>
      </c>
      <c r="O28" s="102">
        <v>1</v>
      </c>
      <c r="P28" s="102">
        <v>1</v>
      </c>
      <c r="Q28" s="102">
        <v>1970</v>
      </c>
      <c r="R28" s="102" t="s">
        <v>246</v>
      </c>
      <c r="S28" s="102" t="str" cm="1">
        <f t="array" ref="S28">_xlfn.IFS(AND('Rent Table'!$I28&gt;0,'Rent Table'!$I28&lt;=50000),"0-50,000",
AND('Rent Table'!$I28 &gt; 50000, 'Rent Table'!$I28 &lt;= 150000), "50,001-150,000",
AND('Rent Table'!$I28 &gt; 150000, 'Rent Table'!$I28 &lt;= 250000), "150,001-250,000",
AND('Rent Table'!$I28 &gt; 250000, 'Rent Table'!$I28 &lt;= 350000), "250,001-350,000",
AND('Rent Table'!$I28 &gt; 350000, 'Rent Table'!$I28 &lt;= 450000), "350,001-450,000",
AND('Rent Table'!$I28 &gt; 450000, 'Rent Table'!$I28 &lt;= 600000), "450,001-600,000",
AND('Rent Table'!$I28 &gt; 600000, 'Rent Table'!$I28 &lt;= 750000), "600,001-750,000",'Rent Table'!$I28 &gt; 750000, "750,000+",
TRUE, "Undefined"
         )</f>
        <v>0-50,000</v>
      </c>
    </row>
    <row r="29" spans="1:19" x14ac:dyDescent="0.45">
      <c r="A29" s="105" t="s">
        <v>276</v>
      </c>
      <c r="B29" s="105" t="s">
        <v>223</v>
      </c>
      <c r="C29" s="102" t="s">
        <v>241</v>
      </c>
      <c r="D29" s="105" t="s">
        <v>251</v>
      </c>
      <c r="E29" s="102" t="s">
        <v>222</v>
      </c>
      <c r="F29" s="102" t="s">
        <v>243</v>
      </c>
      <c r="G29" s="146">
        <v>45566</v>
      </c>
      <c r="H29" s="105" t="s">
        <v>252</v>
      </c>
      <c r="I29" s="103">
        <v>16862</v>
      </c>
      <c r="J29" s="105" t="s">
        <v>245</v>
      </c>
      <c r="K29" s="148">
        <v>12.9391</v>
      </c>
      <c r="L29" s="102">
        <v>1752</v>
      </c>
      <c r="M29" s="102">
        <v>36</v>
      </c>
      <c r="N29" s="148" t="s">
        <v>246</v>
      </c>
      <c r="O29" s="102" t="s">
        <v>246</v>
      </c>
      <c r="P29" s="102">
        <v>1</v>
      </c>
      <c r="Q29" s="102">
        <v>1970</v>
      </c>
      <c r="R29" s="102" t="s">
        <v>246</v>
      </c>
      <c r="S29" s="102" t="str" cm="1">
        <f t="array" ref="S29">_xlfn.IFS(AND('Rent Table'!$I29&gt;0,'Rent Table'!$I29&lt;=50000),"0-50,000",
AND('Rent Table'!$I29 &gt; 50000, 'Rent Table'!$I29 &lt;= 150000), "50,001-150,000",
AND('Rent Table'!$I29 &gt; 150000, 'Rent Table'!$I29 &lt;= 250000), "150,001-250,000",
AND('Rent Table'!$I29 &gt; 250000, 'Rent Table'!$I29 &lt;= 350000), "250,001-350,000",
AND('Rent Table'!$I29 &gt; 350000, 'Rent Table'!$I29 &lt;= 450000), "350,001-450,000",
AND('Rent Table'!$I29 &gt; 450000, 'Rent Table'!$I29 &lt;= 600000), "450,001-600,000",
AND('Rent Table'!$I29 &gt; 600000, 'Rent Table'!$I29 &lt;= 750000), "600,001-750,000",'Rent Table'!$I29 &gt; 750000, "750,000+",
TRUE, "Undefined"
         )</f>
        <v>0-50,000</v>
      </c>
    </row>
    <row r="30" spans="1:19" x14ac:dyDescent="0.45">
      <c r="A30" s="105" t="s">
        <v>277</v>
      </c>
      <c r="B30" s="105" t="s">
        <v>223</v>
      </c>
      <c r="C30" s="102" t="s">
        <v>241</v>
      </c>
      <c r="D30" s="105" t="s">
        <v>251</v>
      </c>
      <c r="E30" s="102" t="s">
        <v>222</v>
      </c>
      <c r="F30" s="102" t="s">
        <v>243</v>
      </c>
      <c r="G30" s="146">
        <v>45566</v>
      </c>
      <c r="H30" s="105" t="s">
        <v>252</v>
      </c>
      <c r="I30" s="103">
        <v>40332</v>
      </c>
      <c r="J30" s="105" t="s">
        <v>245</v>
      </c>
      <c r="K30" s="148">
        <v>12.464399999999999</v>
      </c>
      <c r="L30" s="102">
        <v>1752</v>
      </c>
      <c r="M30" s="102">
        <v>36</v>
      </c>
      <c r="N30" s="148" t="s">
        <v>246</v>
      </c>
      <c r="O30" s="102" t="s">
        <v>246</v>
      </c>
      <c r="P30" s="102">
        <v>1</v>
      </c>
      <c r="Q30" s="102">
        <v>1970</v>
      </c>
      <c r="R30" s="102" t="s">
        <v>246</v>
      </c>
      <c r="S30" s="102" t="str" cm="1">
        <f t="array" ref="S30">_xlfn.IFS(AND('Rent Table'!$I30&gt;0,'Rent Table'!$I30&lt;=50000),"0-50,000",
AND('Rent Table'!$I30 &gt; 50000, 'Rent Table'!$I30 &lt;= 150000), "50,001-150,000",
AND('Rent Table'!$I30 &gt; 150000, 'Rent Table'!$I30 &lt;= 250000), "150,001-250,000",
AND('Rent Table'!$I30 &gt; 250000, 'Rent Table'!$I30 &lt;= 350000), "250,001-350,000",
AND('Rent Table'!$I30 &gt; 350000, 'Rent Table'!$I30 &lt;= 450000), "350,001-450,000",
AND('Rent Table'!$I30 &gt; 450000, 'Rent Table'!$I30 &lt;= 600000), "450,001-600,000",
AND('Rent Table'!$I30 &gt; 600000, 'Rent Table'!$I30 &lt;= 750000), "600,001-750,000",'Rent Table'!$I30 &gt; 750000, "750,000+",
TRUE, "Undefined"
         )</f>
        <v>0-50,000</v>
      </c>
    </row>
    <row r="31" spans="1:19" x14ac:dyDescent="0.45">
      <c r="A31" s="105" t="s">
        <v>278</v>
      </c>
      <c r="B31" s="105" t="s">
        <v>223</v>
      </c>
      <c r="C31" s="102" t="s">
        <v>241</v>
      </c>
      <c r="D31" s="105" t="s">
        <v>251</v>
      </c>
      <c r="E31" s="102" t="s">
        <v>222</v>
      </c>
      <c r="F31" s="102" t="s">
        <v>243</v>
      </c>
      <c r="G31" s="146">
        <v>45566</v>
      </c>
      <c r="H31" s="105" t="s">
        <v>252</v>
      </c>
      <c r="I31" s="103">
        <v>16863</v>
      </c>
      <c r="J31" s="105" t="s">
        <v>245</v>
      </c>
      <c r="K31" s="148">
        <v>13.015599999999999</v>
      </c>
      <c r="L31" s="102">
        <v>2336</v>
      </c>
      <c r="M31" s="102">
        <v>24</v>
      </c>
      <c r="N31" s="148" t="s">
        <v>246</v>
      </c>
      <c r="O31" s="102" t="s">
        <v>246</v>
      </c>
      <c r="P31" s="102">
        <v>1</v>
      </c>
      <c r="Q31" s="102">
        <v>1970</v>
      </c>
      <c r="R31" s="102" t="s">
        <v>246</v>
      </c>
      <c r="S31" s="102" t="str" cm="1">
        <f t="array" ref="S31">_xlfn.IFS(AND('Rent Table'!$I31&gt;0,'Rent Table'!$I31&lt;=50000),"0-50,000",
AND('Rent Table'!$I31 &gt; 50000, 'Rent Table'!$I31 &lt;= 150000), "50,001-150,000",
AND('Rent Table'!$I31 &gt; 150000, 'Rent Table'!$I31 &lt;= 250000), "150,001-250,000",
AND('Rent Table'!$I31 &gt; 250000, 'Rent Table'!$I31 &lt;= 350000), "250,001-350,000",
AND('Rent Table'!$I31 &gt; 350000, 'Rent Table'!$I31 &lt;= 450000), "350,001-450,000",
AND('Rent Table'!$I31 &gt; 450000, 'Rent Table'!$I31 &lt;= 600000), "450,001-600,000",
AND('Rent Table'!$I31 &gt; 600000, 'Rent Table'!$I31 &lt;= 750000), "600,001-750,000",'Rent Table'!$I31 &gt; 750000, "750,000+",
TRUE, "Undefined"
         )</f>
        <v>0-50,000</v>
      </c>
    </row>
    <row r="32" spans="1:19" x14ac:dyDescent="0.45">
      <c r="A32" s="105" t="s">
        <v>279</v>
      </c>
      <c r="B32" s="105" t="s">
        <v>225</v>
      </c>
      <c r="C32" s="102" t="s">
        <v>241</v>
      </c>
      <c r="D32" s="105" t="s">
        <v>261</v>
      </c>
      <c r="E32" s="102" t="s">
        <v>222</v>
      </c>
      <c r="F32" s="102" t="s">
        <v>243</v>
      </c>
      <c r="G32" s="146">
        <v>45566</v>
      </c>
      <c r="H32" s="105" t="s">
        <v>244</v>
      </c>
      <c r="I32" s="147">
        <v>107140</v>
      </c>
      <c r="J32" s="105" t="s">
        <v>245</v>
      </c>
      <c r="K32" s="148">
        <v>19.775300000000001</v>
      </c>
      <c r="L32" s="102">
        <v>107140</v>
      </c>
      <c r="M32" s="102">
        <v>123</v>
      </c>
      <c r="N32" s="148">
        <v>3</v>
      </c>
      <c r="O32" s="102">
        <v>3</v>
      </c>
      <c r="P32" s="102" t="s">
        <v>246</v>
      </c>
      <c r="Q32" s="102">
        <v>2022</v>
      </c>
      <c r="R32" s="102" t="s">
        <v>246</v>
      </c>
      <c r="S32" s="102" t="str" cm="1">
        <f t="array" ref="S32">_xlfn.IFS(AND('Rent Table'!$I32&gt;0,'Rent Table'!$I32&lt;=50000),"0-50,000",
AND('Rent Table'!$I32 &gt; 50000, 'Rent Table'!$I32 &lt;= 150000), "50,001-150,000",
AND('Rent Table'!$I32 &gt; 150000, 'Rent Table'!$I32 &lt;= 250000), "150,001-250,000",
AND('Rent Table'!$I32 &gt; 250000, 'Rent Table'!$I32 &lt;= 350000), "250,001-350,000",
AND('Rent Table'!$I32 &gt; 350000, 'Rent Table'!$I32 &lt;= 450000), "350,001-450,000",
AND('Rent Table'!$I32 &gt; 450000, 'Rent Table'!$I32 &lt;= 600000), "450,001-600,000",
AND('Rent Table'!$I32 &gt; 600000, 'Rent Table'!$I32 &lt;= 750000), "600,001-750,000",'Rent Table'!$I32 &gt; 750000, "750,000+",
TRUE, "Undefined"
         )</f>
        <v>50,001-150,000</v>
      </c>
    </row>
    <row r="33" spans="1:19" x14ac:dyDescent="0.45">
      <c r="A33" s="105" t="s">
        <v>280</v>
      </c>
      <c r="B33" s="105" t="s">
        <v>225</v>
      </c>
      <c r="C33" s="102" t="s">
        <v>241</v>
      </c>
      <c r="D33" s="105" t="s">
        <v>261</v>
      </c>
      <c r="E33" s="102" t="s">
        <v>222</v>
      </c>
      <c r="F33" s="102" t="s">
        <v>243</v>
      </c>
      <c r="G33" s="146">
        <v>45566</v>
      </c>
      <c r="H33" s="105" t="s">
        <v>244</v>
      </c>
      <c r="I33" s="147">
        <v>104544</v>
      </c>
      <c r="J33" s="105" t="s">
        <v>245</v>
      </c>
      <c r="K33" s="148">
        <v>20.2742</v>
      </c>
      <c r="L33" s="102">
        <v>104544</v>
      </c>
      <c r="M33" s="102">
        <v>123</v>
      </c>
      <c r="N33" s="148">
        <v>3</v>
      </c>
      <c r="O33" s="102">
        <v>3</v>
      </c>
      <c r="P33" s="102" t="s">
        <v>246</v>
      </c>
      <c r="Q33" s="102">
        <v>2022</v>
      </c>
      <c r="R33" s="102" t="s">
        <v>246</v>
      </c>
      <c r="S33" s="102" t="str" cm="1">
        <f t="array" ref="S33">_xlfn.IFS(AND('Rent Table'!$I33&gt;0,'Rent Table'!$I33&lt;=50000),"0-50,000",
AND('Rent Table'!$I33 &gt; 50000, 'Rent Table'!$I33 &lt;= 150000), "50,001-150,000",
AND('Rent Table'!$I33 &gt; 150000, 'Rent Table'!$I33 &lt;= 250000), "150,001-250,000",
AND('Rent Table'!$I33 &gt; 250000, 'Rent Table'!$I33 &lt;= 350000), "250,001-350,000",
AND('Rent Table'!$I33 &gt; 350000, 'Rent Table'!$I33 &lt;= 450000), "350,001-450,000",
AND('Rent Table'!$I33 &gt; 450000, 'Rent Table'!$I33 &lt;= 600000), "450,001-600,000",
AND('Rent Table'!$I33 &gt; 600000, 'Rent Table'!$I33 &lt;= 750000), "600,001-750,000",'Rent Table'!$I33 &gt; 750000, "750,000+",
TRUE, "Undefined"
         )</f>
        <v>50,001-150,000</v>
      </c>
    </row>
    <row r="34" spans="1:19" x14ac:dyDescent="0.45">
      <c r="A34" s="105" t="s">
        <v>281</v>
      </c>
      <c r="B34" s="105" t="s">
        <v>225</v>
      </c>
      <c r="C34" s="102" t="s">
        <v>241</v>
      </c>
      <c r="D34" s="105" t="s">
        <v>261</v>
      </c>
      <c r="E34" s="102" t="s">
        <v>222</v>
      </c>
      <c r="F34" s="102" t="s">
        <v>243</v>
      </c>
      <c r="G34" s="146">
        <v>45566</v>
      </c>
      <c r="H34" s="105" t="s">
        <v>244</v>
      </c>
      <c r="I34" s="147">
        <v>31505</v>
      </c>
      <c r="J34" s="105" t="s">
        <v>245</v>
      </c>
      <c r="K34" s="148">
        <v>24.827500000000001</v>
      </c>
      <c r="L34" s="102">
        <v>31505</v>
      </c>
      <c r="M34" s="102">
        <v>84</v>
      </c>
      <c r="N34" s="148">
        <v>7.94</v>
      </c>
      <c r="O34" s="102">
        <v>3</v>
      </c>
      <c r="P34" s="102">
        <v>1</v>
      </c>
      <c r="Q34" s="102">
        <v>1978</v>
      </c>
      <c r="R34" s="102">
        <v>1993</v>
      </c>
      <c r="S34" s="102" t="str" cm="1">
        <f t="array" ref="S34">_xlfn.IFS(AND('Rent Table'!$I34&gt;0,'Rent Table'!$I34&lt;=50000),"0-50,000",
AND('Rent Table'!$I34 &gt; 50000, 'Rent Table'!$I34 &lt;= 150000), "50,001-150,000",
AND('Rent Table'!$I34 &gt; 150000, 'Rent Table'!$I34 &lt;= 250000), "150,001-250,000",
AND('Rent Table'!$I34 &gt; 250000, 'Rent Table'!$I34 &lt;= 350000), "250,001-350,000",
AND('Rent Table'!$I34 &gt; 350000, 'Rent Table'!$I34 &lt;= 450000), "350,001-450,000",
AND('Rent Table'!$I34 &gt; 450000, 'Rent Table'!$I34 &lt;= 600000), "450,001-600,000",
AND('Rent Table'!$I34 &gt; 600000, 'Rent Table'!$I34 &lt;= 750000), "600,001-750,000",'Rent Table'!$I34 &gt; 750000, "750,000+",
TRUE, "Undefined"
         )</f>
        <v>0-50,000</v>
      </c>
    </row>
    <row r="35" spans="1:19" x14ac:dyDescent="0.45">
      <c r="A35" s="105" t="s">
        <v>282</v>
      </c>
      <c r="B35" s="105" t="s">
        <v>223</v>
      </c>
      <c r="C35" s="102" t="s">
        <v>241</v>
      </c>
      <c r="D35" s="105" t="s">
        <v>251</v>
      </c>
      <c r="E35" s="102" t="s">
        <v>222</v>
      </c>
      <c r="F35" s="102" t="s">
        <v>243</v>
      </c>
      <c r="G35" s="146">
        <v>45566</v>
      </c>
      <c r="H35" s="105" t="s">
        <v>252</v>
      </c>
      <c r="I35" s="103">
        <v>183473</v>
      </c>
      <c r="J35" s="105" t="s">
        <v>245</v>
      </c>
      <c r="K35" s="148">
        <v>18.754000000000001</v>
      </c>
      <c r="L35" s="102">
        <v>183473</v>
      </c>
      <c r="M35" s="102">
        <v>120</v>
      </c>
      <c r="N35" s="148" t="s">
        <v>246</v>
      </c>
      <c r="O35" s="102">
        <v>1</v>
      </c>
      <c r="P35" s="102">
        <v>1</v>
      </c>
      <c r="Q35" s="102">
        <v>2000</v>
      </c>
      <c r="R35" s="102" t="s">
        <v>246</v>
      </c>
      <c r="S35" s="102" t="str" cm="1">
        <f t="array" ref="S35">_xlfn.IFS(AND('Rent Table'!$I35&gt;0,'Rent Table'!$I35&lt;=50000),"0-50,000",
AND('Rent Table'!$I35 &gt; 50000, 'Rent Table'!$I35 &lt;= 150000), "50,001-150,000",
AND('Rent Table'!$I35 &gt; 150000, 'Rent Table'!$I35 &lt;= 250000), "150,001-250,000",
AND('Rent Table'!$I35 &gt; 250000, 'Rent Table'!$I35 &lt;= 350000), "250,001-350,000",
AND('Rent Table'!$I35 &gt; 350000, 'Rent Table'!$I35 &lt;= 450000), "350,001-450,000",
AND('Rent Table'!$I35 &gt; 450000, 'Rent Table'!$I35 &lt;= 600000), "450,001-600,000",
AND('Rent Table'!$I35 &gt; 600000, 'Rent Table'!$I35 &lt;= 750000), "600,001-750,000",'Rent Table'!$I35 &gt; 750000, "750,000+",
TRUE, "Undefined"
         )</f>
        <v>150,001-250,000</v>
      </c>
    </row>
    <row r="36" spans="1:19" x14ac:dyDescent="0.45">
      <c r="A36" s="105" t="s">
        <v>283</v>
      </c>
      <c r="B36" s="105" t="s">
        <v>225</v>
      </c>
      <c r="C36" s="102" t="s">
        <v>241</v>
      </c>
      <c r="D36" s="105" t="s">
        <v>261</v>
      </c>
      <c r="E36" s="102" t="s">
        <v>222</v>
      </c>
      <c r="F36" s="102" t="s">
        <v>243</v>
      </c>
      <c r="G36" s="146">
        <v>45566</v>
      </c>
      <c r="H36" s="105" t="s">
        <v>244</v>
      </c>
      <c r="I36" s="147">
        <v>34505</v>
      </c>
      <c r="J36" s="105" t="s">
        <v>245</v>
      </c>
      <c r="K36" s="148">
        <v>24.277000000000001</v>
      </c>
      <c r="L36" s="102">
        <v>25301</v>
      </c>
      <c r="M36" s="102">
        <v>89</v>
      </c>
      <c r="N36" s="148" t="s">
        <v>246</v>
      </c>
      <c r="O36" s="102">
        <v>4.34</v>
      </c>
      <c r="P36" s="102">
        <v>1</v>
      </c>
      <c r="Q36" s="102">
        <v>1978</v>
      </c>
      <c r="R36" s="102" t="s">
        <v>246</v>
      </c>
      <c r="S36" s="102" t="str" cm="1">
        <f t="array" ref="S36">_xlfn.IFS(AND('Rent Table'!$I36&gt;0,'Rent Table'!$I36&lt;=50000),"0-50,000",
AND('Rent Table'!$I36 &gt; 50000, 'Rent Table'!$I36 &lt;= 150000), "50,001-150,000",
AND('Rent Table'!$I36 &gt; 150000, 'Rent Table'!$I36 &lt;= 250000), "150,001-250,000",
AND('Rent Table'!$I36 &gt; 250000, 'Rent Table'!$I36 &lt;= 350000), "250,001-350,000",
AND('Rent Table'!$I36 &gt; 350000, 'Rent Table'!$I36 &lt;= 450000), "350,001-450,000",
AND('Rent Table'!$I36 &gt; 450000, 'Rent Table'!$I36 &lt;= 600000), "450,001-600,000",
AND('Rent Table'!$I36 &gt; 600000, 'Rent Table'!$I36 &lt;= 750000), "600,001-750,000",'Rent Table'!$I36 &gt; 750000, "750,000+",
TRUE, "Undefined"
         )</f>
        <v>0-50,000</v>
      </c>
    </row>
    <row r="37" spans="1:19" x14ac:dyDescent="0.45">
      <c r="A37" s="105" t="s">
        <v>284</v>
      </c>
      <c r="B37" s="105" t="s">
        <v>225</v>
      </c>
      <c r="C37" s="102" t="s">
        <v>241</v>
      </c>
      <c r="D37" s="105" t="s">
        <v>285</v>
      </c>
      <c r="E37" s="102" t="s">
        <v>222</v>
      </c>
      <c r="F37" s="102" t="s">
        <v>243</v>
      </c>
      <c r="G37" s="146">
        <v>45566</v>
      </c>
      <c r="H37" s="105" t="s">
        <v>244</v>
      </c>
      <c r="I37" s="147">
        <v>77843</v>
      </c>
      <c r="J37" s="105" t="s">
        <v>245</v>
      </c>
      <c r="K37" s="148">
        <v>16.751300000000001</v>
      </c>
      <c r="L37" s="102">
        <v>29978</v>
      </c>
      <c r="M37" s="102">
        <v>120</v>
      </c>
      <c r="N37" s="148" t="s">
        <v>246</v>
      </c>
      <c r="O37" s="102">
        <v>4</v>
      </c>
      <c r="P37" s="102">
        <v>1</v>
      </c>
      <c r="Q37" s="102">
        <v>1974</v>
      </c>
      <c r="R37" s="102" t="s">
        <v>246</v>
      </c>
      <c r="S37" s="102" t="str" cm="1">
        <f t="array" ref="S37">_xlfn.IFS(AND('Rent Table'!$I37&gt;0,'Rent Table'!$I37&lt;=50000),"0-50,000",
AND('Rent Table'!$I37 &gt; 50000, 'Rent Table'!$I37 &lt;= 150000), "50,001-150,000",
AND('Rent Table'!$I37 &gt; 150000, 'Rent Table'!$I37 &lt;= 250000), "150,001-250,000",
AND('Rent Table'!$I37 &gt; 250000, 'Rent Table'!$I37 &lt;= 350000), "250,001-350,000",
AND('Rent Table'!$I37 &gt; 350000, 'Rent Table'!$I37 &lt;= 450000), "350,001-450,000",
AND('Rent Table'!$I37 &gt; 450000, 'Rent Table'!$I37 &lt;= 600000), "450,001-600,000",
AND('Rent Table'!$I37 &gt; 600000, 'Rent Table'!$I37 &lt;= 750000), "600,001-750,000",'Rent Table'!$I37 &gt; 750000, "750,000+",
TRUE, "Undefined"
         )</f>
        <v>50,001-150,000</v>
      </c>
    </row>
    <row r="38" spans="1:19" x14ac:dyDescent="0.45">
      <c r="A38" s="105" t="s">
        <v>286</v>
      </c>
      <c r="B38" s="105" t="s">
        <v>224</v>
      </c>
      <c r="C38" s="102" t="s">
        <v>241</v>
      </c>
      <c r="D38" s="105" t="s">
        <v>287</v>
      </c>
      <c r="E38" s="102" t="s">
        <v>222</v>
      </c>
      <c r="F38" s="102" t="s">
        <v>243</v>
      </c>
      <c r="G38" s="146">
        <v>45505</v>
      </c>
      <c r="H38" s="105" t="s">
        <v>244</v>
      </c>
      <c r="I38" s="103">
        <v>45585</v>
      </c>
      <c r="J38" s="105" t="s">
        <v>245</v>
      </c>
      <c r="K38" s="148">
        <v>25.766400000000001</v>
      </c>
      <c r="L38" s="102">
        <v>20497</v>
      </c>
      <c r="M38" s="102">
        <v>120</v>
      </c>
      <c r="N38" s="148" t="s">
        <v>246</v>
      </c>
      <c r="O38" s="102" t="s">
        <v>246</v>
      </c>
      <c r="P38" s="102">
        <v>1</v>
      </c>
      <c r="Q38" s="102">
        <v>1970</v>
      </c>
      <c r="R38" s="102">
        <v>1982</v>
      </c>
      <c r="S38" s="102" t="str" cm="1">
        <f t="array" ref="S38">_xlfn.IFS(AND('Rent Table'!$I38&gt;0,'Rent Table'!$I38&lt;=50000),"0-50,000",
AND('Rent Table'!$I38 &gt; 50000, 'Rent Table'!$I38 &lt;= 150000), "50,001-150,000",
AND('Rent Table'!$I38 &gt; 150000, 'Rent Table'!$I38 &lt;= 250000), "150,001-250,000",
AND('Rent Table'!$I38 &gt; 250000, 'Rent Table'!$I38 &lt;= 350000), "250,001-350,000",
AND('Rent Table'!$I38 &gt; 350000, 'Rent Table'!$I38 &lt;= 450000), "350,001-450,000",
AND('Rent Table'!$I38 &gt; 450000, 'Rent Table'!$I38 &lt;= 600000), "450,001-600,000",
AND('Rent Table'!$I38 &gt; 600000, 'Rent Table'!$I38 &lt;= 750000), "600,001-750,000",'Rent Table'!$I38 &gt; 750000, "750,000+",
TRUE, "Undefined"
         )</f>
        <v>0-50,000</v>
      </c>
    </row>
    <row r="39" spans="1:19" x14ac:dyDescent="0.45">
      <c r="A39" s="105" t="s">
        <v>288</v>
      </c>
      <c r="B39" s="105" t="s">
        <v>224</v>
      </c>
      <c r="C39" s="102" t="s">
        <v>241</v>
      </c>
      <c r="D39" s="105" t="s">
        <v>287</v>
      </c>
      <c r="E39" s="102" t="s">
        <v>222</v>
      </c>
      <c r="F39" s="102" t="s">
        <v>243</v>
      </c>
      <c r="G39" s="146">
        <v>45566</v>
      </c>
      <c r="H39" s="105" t="s">
        <v>244</v>
      </c>
      <c r="I39" s="103">
        <v>100080</v>
      </c>
      <c r="J39" s="105" t="s">
        <v>245</v>
      </c>
      <c r="K39" s="148">
        <v>11.754099999999999</v>
      </c>
      <c r="L39" s="102">
        <v>33850</v>
      </c>
      <c r="M39" s="102">
        <v>24</v>
      </c>
      <c r="N39" s="148" t="s">
        <v>246</v>
      </c>
      <c r="O39" s="102" t="s">
        <v>246</v>
      </c>
      <c r="P39" s="102">
        <v>1</v>
      </c>
      <c r="Q39" s="102">
        <v>1970</v>
      </c>
      <c r="R39" s="102">
        <v>1972</v>
      </c>
      <c r="S39" s="102" t="str" cm="1">
        <f t="array" ref="S39">_xlfn.IFS(AND('Rent Table'!$I39&gt;0,'Rent Table'!$I39&lt;=50000),"0-50,000",
AND('Rent Table'!$I39 &gt; 50000, 'Rent Table'!$I39 &lt;= 150000), "50,001-150,000",
AND('Rent Table'!$I39 &gt; 150000, 'Rent Table'!$I39 &lt;= 250000), "150,001-250,000",
AND('Rent Table'!$I39 &gt; 250000, 'Rent Table'!$I39 &lt;= 350000), "250,001-350,000",
AND('Rent Table'!$I39 &gt; 350000, 'Rent Table'!$I39 &lt;= 450000), "350,001-450,000",
AND('Rent Table'!$I39 &gt; 450000, 'Rent Table'!$I39 &lt;= 600000), "450,001-600,000",
AND('Rent Table'!$I39 &gt; 600000, 'Rent Table'!$I39 &lt;= 750000), "600,001-750,000",'Rent Table'!$I39 &gt; 750000, "750,000+",
TRUE, "Undefined"
         )</f>
        <v>50,001-150,000</v>
      </c>
    </row>
    <row r="40" spans="1:19" x14ac:dyDescent="0.45">
      <c r="A40" s="105" t="s">
        <v>289</v>
      </c>
      <c r="B40" s="105" t="s">
        <v>224</v>
      </c>
      <c r="C40" s="102" t="s">
        <v>241</v>
      </c>
      <c r="D40" s="105" t="s">
        <v>287</v>
      </c>
      <c r="E40" s="102" t="s">
        <v>222</v>
      </c>
      <c r="F40" s="102" t="s">
        <v>243</v>
      </c>
      <c r="G40" s="146">
        <v>45566</v>
      </c>
      <c r="H40" s="105" t="s">
        <v>244</v>
      </c>
      <c r="I40" s="103">
        <v>100080</v>
      </c>
      <c r="J40" s="105" t="s">
        <v>245</v>
      </c>
      <c r="K40" s="148">
        <v>22.578399999999998</v>
      </c>
      <c r="L40" s="102">
        <v>49690</v>
      </c>
      <c r="M40" s="102">
        <v>120.5</v>
      </c>
      <c r="N40" s="148" t="s">
        <v>246</v>
      </c>
      <c r="O40" s="102" t="s">
        <v>246</v>
      </c>
      <c r="P40" s="102">
        <v>1</v>
      </c>
      <c r="Q40" s="102">
        <v>1970</v>
      </c>
      <c r="R40" s="102">
        <v>1972</v>
      </c>
      <c r="S40" s="102" t="str" cm="1">
        <f t="array" ref="S40">_xlfn.IFS(AND('Rent Table'!$I40&gt;0,'Rent Table'!$I40&lt;=50000),"0-50,000",
AND('Rent Table'!$I40 &gt; 50000, 'Rent Table'!$I40 &lt;= 150000), "50,001-150,000",
AND('Rent Table'!$I40 &gt; 150000, 'Rent Table'!$I40 &lt;= 250000), "150,001-250,000",
AND('Rent Table'!$I40 &gt; 250000, 'Rent Table'!$I40 &lt;= 350000), "250,001-350,000",
AND('Rent Table'!$I40 &gt; 350000, 'Rent Table'!$I40 &lt;= 450000), "350,001-450,000",
AND('Rent Table'!$I40 &gt; 450000, 'Rent Table'!$I40 &lt;= 600000), "450,001-600,000",
AND('Rent Table'!$I40 &gt; 600000, 'Rent Table'!$I40 &lt;= 750000), "600,001-750,000",'Rent Table'!$I40 &gt; 750000, "750,000+",
TRUE, "Undefined"
         )</f>
        <v>50,001-150,000</v>
      </c>
    </row>
    <row r="41" spans="1:19" x14ac:dyDescent="0.45">
      <c r="A41" s="105" t="s">
        <v>290</v>
      </c>
      <c r="B41" s="105" t="s">
        <v>225</v>
      </c>
      <c r="C41" s="102" t="s">
        <v>241</v>
      </c>
      <c r="D41" s="105" t="s">
        <v>261</v>
      </c>
      <c r="E41" s="102" t="s">
        <v>222</v>
      </c>
      <c r="F41" s="102" t="s">
        <v>243</v>
      </c>
      <c r="G41" s="146">
        <v>45566</v>
      </c>
      <c r="H41" s="105" t="s">
        <v>244</v>
      </c>
      <c r="I41" s="147">
        <v>102279</v>
      </c>
      <c r="J41" s="105" t="s">
        <v>245</v>
      </c>
      <c r="K41" s="148">
        <v>22.425999999999998</v>
      </c>
      <c r="L41" s="102">
        <v>102143</v>
      </c>
      <c r="M41" s="102">
        <v>120</v>
      </c>
      <c r="N41" s="148">
        <v>10</v>
      </c>
      <c r="O41" s="102">
        <v>2</v>
      </c>
      <c r="P41" s="102">
        <v>1</v>
      </c>
      <c r="Q41" s="102">
        <v>1982</v>
      </c>
      <c r="R41" s="102">
        <v>1983</v>
      </c>
      <c r="S41" s="102" t="str" cm="1">
        <f t="array" ref="S41">_xlfn.IFS(AND('Rent Table'!$I41&gt;0,'Rent Table'!$I41&lt;=50000),"0-50,000",
AND('Rent Table'!$I41 &gt; 50000, 'Rent Table'!$I41 &lt;= 150000), "50,001-150,000",
AND('Rent Table'!$I41 &gt; 150000, 'Rent Table'!$I41 &lt;= 250000), "150,001-250,000",
AND('Rent Table'!$I41 &gt; 250000, 'Rent Table'!$I41 &lt;= 350000), "250,001-350,000",
AND('Rent Table'!$I41 &gt; 350000, 'Rent Table'!$I41 &lt;= 450000), "350,001-450,000",
AND('Rent Table'!$I41 &gt; 450000, 'Rent Table'!$I41 &lt;= 600000), "450,001-600,000",
AND('Rent Table'!$I41 &gt; 600000, 'Rent Table'!$I41 &lt;= 750000), "600,001-750,000",'Rent Table'!$I41 &gt; 750000, "750,000+",
TRUE, "Undefined"
         )</f>
        <v>50,001-150,000</v>
      </c>
    </row>
    <row r="42" spans="1:19" x14ac:dyDescent="0.45">
      <c r="A42" s="105" t="s">
        <v>291</v>
      </c>
      <c r="B42" s="105" t="s">
        <v>225</v>
      </c>
      <c r="C42" s="102" t="s">
        <v>241</v>
      </c>
      <c r="D42" s="105" t="s">
        <v>261</v>
      </c>
      <c r="E42" s="102" t="s">
        <v>222</v>
      </c>
      <c r="F42" s="102" t="s">
        <v>243</v>
      </c>
      <c r="G42" s="146">
        <v>45566</v>
      </c>
      <c r="H42" s="105" t="s">
        <v>244</v>
      </c>
      <c r="I42" s="147">
        <v>684900</v>
      </c>
      <c r="J42" s="105" t="s">
        <v>245</v>
      </c>
      <c r="K42" s="148">
        <v>16.121200000000002</v>
      </c>
      <c r="L42" s="102">
        <v>342450</v>
      </c>
      <c r="M42" s="102">
        <v>91</v>
      </c>
      <c r="N42" s="148">
        <v>1</v>
      </c>
      <c r="O42" s="102">
        <v>2.5</v>
      </c>
      <c r="P42" s="102">
        <v>1</v>
      </c>
      <c r="Q42" s="102">
        <v>1998</v>
      </c>
      <c r="R42" s="102" t="s">
        <v>246</v>
      </c>
      <c r="S42" s="102" t="str" cm="1">
        <f t="array" ref="S42">_xlfn.IFS(AND('Rent Table'!$I42&gt;0,'Rent Table'!$I42&lt;=50000),"0-50,000",
AND('Rent Table'!$I42 &gt; 50000, 'Rent Table'!$I42 &lt;= 150000), "50,001-150,000",
AND('Rent Table'!$I42 &gt; 150000, 'Rent Table'!$I42 &lt;= 250000), "150,001-250,000",
AND('Rent Table'!$I42 &gt; 250000, 'Rent Table'!$I42 &lt;= 350000), "250,001-350,000",
AND('Rent Table'!$I42 &gt; 350000, 'Rent Table'!$I42 &lt;= 450000), "350,001-450,000",
AND('Rent Table'!$I42 &gt; 450000, 'Rent Table'!$I42 &lt;= 600000), "450,001-600,000",
AND('Rent Table'!$I42 &gt; 600000, 'Rent Table'!$I42 &lt;= 750000), "600,001-750,000",'Rent Table'!$I42 &gt; 750000, "750,000+",
TRUE, "Undefined"
         )</f>
        <v>600,001-750,000</v>
      </c>
    </row>
    <row r="43" spans="1:19" x14ac:dyDescent="0.45">
      <c r="A43" s="105" t="s">
        <v>292</v>
      </c>
      <c r="B43" s="105" t="s">
        <v>225</v>
      </c>
      <c r="C43" s="102" t="s">
        <v>241</v>
      </c>
      <c r="D43" s="105" t="s">
        <v>293</v>
      </c>
      <c r="E43" s="102" t="s">
        <v>222</v>
      </c>
      <c r="F43" s="102" t="s">
        <v>243</v>
      </c>
      <c r="G43" s="146">
        <v>45566</v>
      </c>
      <c r="H43" s="105" t="s">
        <v>244</v>
      </c>
      <c r="I43" s="147">
        <v>108320</v>
      </c>
      <c r="J43" s="105" t="s">
        <v>245</v>
      </c>
      <c r="K43" s="148">
        <v>25.825099999999999</v>
      </c>
      <c r="L43" s="102">
        <v>108320</v>
      </c>
      <c r="M43" s="102">
        <v>89</v>
      </c>
      <c r="N43" s="148">
        <v>6</v>
      </c>
      <c r="O43" s="102">
        <v>5</v>
      </c>
      <c r="P43" s="102" t="s">
        <v>246</v>
      </c>
      <c r="Q43" s="102">
        <v>2023</v>
      </c>
      <c r="R43" s="102" t="s">
        <v>246</v>
      </c>
      <c r="S43" s="102" t="str" cm="1">
        <f t="array" ref="S43">_xlfn.IFS(AND('Rent Table'!$I43&gt;0,'Rent Table'!$I43&lt;=50000),"0-50,000",
AND('Rent Table'!$I43 &gt; 50000, 'Rent Table'!$I43 &lt;= 150000), "50,001-150,000",
AND('Rent Table'!$I43 &gt; 150000, 'Rent Table'!$I43 &lt;= 250000), "150,001-250,000",
AND('Rent Table'!$I43 &gt; 250000, 'Rent Table'!$I43 &lt;= 350000), "250,001-350,000",
AND('Rent Table'!$I43 &gt; 350000, 'Rent Table'!$I43 &lt;= 450000), "350,001-450,000",
AND('Rent Table'!$I43 &gt; 450000, 'Rent Table'!$I43 &lt;= 600000), "450,001-600,000",
AND('Rent Table'!$I43 &gt; 600000, 'Rent Table'!$I43 &lt;= 750000), "600,001-750,000",'Rent Table'!$I43 &gt; 750000, "750,000+",
TRUE, "Undefined"
         )</f>
        <v>50,001-150,000</v>
      </c>
    </row>
    <row r="44" spans="1:19" x14ac:dyDescent="0.45">
      <c r="A44" s="105" t="s">
        <v>294</v>
      </c>
      <c r="B44" s="105" t="s">
        <v>225</v>
      </c>
      <c r="C44" s="102" t="s">
        <v>241</v>
      </c>
      <c r="D44" s="105" t="s">
        <v>261</v>
      </c>
      <c r="E44" s="102" t="s">
        <v>222</v>
      </c>
      <c r="F44" s="102" t="s">
        <v>243</v>
      </c>
      <c r="G44" s="146">
        <v>45505</v>
      </c>
      <c r="H44" s="105" t="s">
        <v>244</v>
      </c>
      <c r="I44" s="147">
        <v>43133</v>
      </c>
      <c r="J44" s="105" t="s">
        <v>245</v>
      </c>
      <c r="K44" s="148">
        <v>18.751349999999999</v>
      </c>
      <c r="L44" s="102">
        <v>24393</v>
      </c>
      <c r="M44" s="102">
        <v>48</v>
      </c>
      <c r="N44" s="148" t="s">
        <v>246</v>
      </c>
      <c r="O44" s="102">
        <v>3.5</v>
      </c>
      <c r="P44" s="102">
        <v>1</v>
      </c>
      <c r="Q44" s="102">
        <v>1977</v>
      </c>
      <c r="R44" s="102" t="s">
        <v>246</v>
      </c>
      <c r="S44" s="102" t="str" cm="1">
        <f t="array" ref="S44">_xlfn.IFS(AND('Rent Table'!$I44&gt;0,'Rent Table'!$I44&lt;=50000),"0-50,000",
AND('Rent Table'!$I44 &gt; 50000, 'Rent Table'!$I44 &lt;= 150000), "50,001-150,000",
AND('Rent Table'!$I44 &gt; 150000, 'Rent Table'!$I44 &lt;= 250000), "150,001-250,000",
AND('Rent Table'!$I44 &gt; 250000, 'Rent Table'!$I44 &lt;= 350000), "250,001-350,000",
AND('Rent Table'!$I44 &gt; 350000, 'Rent Table'!$I44 &lt;= 450000), "350,001-450,000",
AND('Rent Table'!$I44 &gt; 450000, 'Rent Table'!$I44 &lt;= 600000), "450,001-600,000",
AND('Rent Table'!$I44 &gt; 600000, 'Rent Table'!$I44 &lt;= 750000), "600,001-750,000",'Rent Table'!$I44 &gt; 750000, "750,000+",
TRUE, "Undefined"
         )</f>
        <v>0-50,000</v>
      </c>
    </row>
    <row r="45" spans="1:19" x14ac:dyDescent="0.45">
      <c r="A45" s="105" t="s">
        <v>295</v>
      </c>
      <c r="B45" s="105" t="s">
        <v>225</v>
      </c>
      <c r="C45" s="102" t="s">
        <v>241</v>
      </c>
      <c r="D45" s="105" t="s">
        <v>261</v>
      </c>
      <c r="E45" s="102" t="s">
        <v>222</v>
      </c>
      <c r="F45" s="102" t="s">
        <v>243</v>
      </c>
      <c r="G45" s="146">
        <v>45566</v>
      </c>
      <c r="H45" s="105" t="s">
        <v>244</v>
      </c>
      <c r="I45" s="147">
        <v>860000</v>
      </c>
      <c r="J45" s="105" t="s">
        <v>245</v>
      </c>
      <c r="K45" s="148">
        <v>17.2818</v>
      </c>
      <c r="L45" s="102">
        <v>127608</v>
      </c>
      <c r="M45" s="102">
        <v>130</v>
      </c>
      <c r="N45" s="148" t="s">
        <v>246</v>
      </c>
      <c r="O45" s="102" t="s">
        <v>246</v>
      </c>
      <c r="P45" s="102" t="s">
        <v>246</v>
      </c>
      <c r="Q45" s="102">
        <v>2003</v>
      </c>
      <c r="R45" s="102">
        <v>2004</v>
      </c>
      <c r="S45" s="102" t="str" cm="1">
        <f t="array" ref="S45">_xlfn.IFS(AND('Rent Table'!$I45&gt;0,'Rent Table'!$I45&lt;=50000),"0-50,000",
AND('Rent Table'!$I45 &gt; 50000, 'Rent Table'!$I45 &lt;= 150000), "50,001-150,000",
AND('Rent Table'!$I45 &gt; 150000, 'Rent Table'!$I45 &lt;= 250000), "150,001-250,000",
AND('Rent Table'!$I45 &gt; 250000, 'Rent Table'!$I45 &lt;= 350000), "250,001-350,000",
AND('Rent Table'!$I45 &gt; 350000, 'Rent Table'!$I45 &lt;= 450000), "350,001-450,000",
AND('Rent Table'!$I45 &gt; 450000, 'Rent Table'!$I45 &lt;= 600000), "450,001-600,000",
AND('Rent Table'!$I45 &gt; 600000, 'Rent Table'!$I45 &lt;= 750000), "600,001-750,000",'Rent Table'!$I45 &gt; 750000, "750,000+",
TRUE, "Undefined"
         )</f>
        <v>750,000+</v>
      </c>
    </row>
    <row r="46" spans="1:19" x14ac:dyDescent="0.45">
      <c r="A46" s="105" t="s">
        <v>296</v>
      </c>
      <c r="B46" s="105" t="s">
        <v>225</v>
      </c>
      <c r="C46" s="102" t="s">
        <v>241</v>
      </c>
      <c r="D46" s="105" t="s">
        <v>261</v>
      </c>
      <c r="E46" s="102" t="s">
        <v>222</v>
      </c>
      <c r="F46" s="102" t="s">
        <v>243</v>
      </c>
      <c r="G46" s="146">
        <v>45566</v>
      </c>
      <c r="H46" s="105" t="s">
        <v>244</v>
      </c>
      <c r="I46" s="147">
        <v>259327</v>
      </c>
      <c r="J46" s="105" t="s">
        <v>245</v>
      </c>
      <c r="K46" s="148">
        <v>17.7651</v>
      </c>
      <c r="L46" s="102">
        <v>259327</v>
      </c>
      <c r="M46" s="102">
        <v>62</v>
      </c>
      <c r="N46" s="148">
        <v>1.75</v>
      </c>
      <c r="O46" s="102">
        <v>1</v>
      </c>
      <c r="P46" s="102">
        <v>1</v>
      </c>
      <c r="Q46" s="102">
        <v>1998</v>
      </c>
      <c r="R46" s="102" t="s">
        <v>246</v>
      </c>
      <c r="S46" s="102" t="str" cm="1">
        <f t="array" ref="S46">_xlfn.IFS(AND('Rent Table'!$I46&gt;0,'Rent Table'!$I46&lt;=50000),"0-50,000",
AND('Rent Table'!$I46 &gt; 50000, 'Rent Table'!$I46 &lt;= 150000), "50,001-150,000",
AND('Rent Table'!$I46 &gt; 150000, 'Rent Table'!$I46 &lt;= 250000), "150,001-250,000",
AND('Rent Table'!$I46 &gt; 250000, 'Rent Table'!$I46 &lt;= 350000), "250,001-350,000",
AND('Rent Table'!$I46 &gt; 350000, 'Rent Table'!$I46 &lt;= 450000), "350,001-450,000",
AND('Rent Table'!$I46 &gt; 450000, 'Rent Table'!$I46 &lt;= 600000), "450,001-600,000",
AND('Rent Table'!$I46 &gt; 600000, 'Rent Table'!$I46 &lt;= 750000), "600,001-750,000",'Rent Table'!$I46 &gt; 750000, "750,000+",
TRUE, "Undefined"
         )</f>
        <v>250,001-350,000</v>
      </c>
    </row>
    <row r="47" spans="1:19" x14ac:dyDescent="0.45">
      <c r="A47" s="105" t="s">
        <v>297</v>
      </c>
      <c r="B47" s="105" t="s">
        <v>225</v>
      </c>
      <c r="C47" s="102" t="s">
        <v>241</v>
      </c>
      <c r="D47" s="105" t="s">
        <v>242</v>
      </c>
      <c r="E47" s="102" t="s">
        <v>222</v>
      </c>
      <c r="F47" s="102" t="s">
        <v>243</v>
      </c>
      <c r="G47" s="146">
        <v>45566</v>
      </c>
      <c r="H47" s="105" t="s">
        <v>244</v>
      </c>
      <c r="I47" s="147">
        <v>208896</v>
      </c>
      <c r="J47" s="105" t="s">
        <v>245</v>
      </c>
      <c r="K47" s="148">
        <v>20.376950000000001</v>
      </c>
      <c r="L47" s="102">
        <v>101767</v>
      </c>
      <c r="M47" s="102">
        <v>69</v>
      </c>
      <c r="N47" s="148">
        <v>2</v>
      </c>
      <c r="O47" s="102">
        <v>3</v>
      </c>
      <c r="P47" s="102">
        <v>1</v>
      </c>
      <c r="Q47" s="102">
        <v>1980</v>
      </c>
      <c r="R47" s="102" t="s">
        <v>246</v>
      </c>
      <c r="S47" s="102" t="str" cm="1">
        <f t="array" ref="S47">_xlfn.IFS(AND('Rent Table'!$I47&gt;0,'Rent Table'!$I47&lt;=50000),"0-50,000",
AND('Rent Table'!$I47 &gt; 50000, 'Rent Table'!$I47 &lt;= 150000), "50,001-150,000",
AND('Rent Table'!$I47 &gt; 150000, 'Rent Table'!$I47 &lt;= 250000), "150,001-250,000",
AND('Rent Table'!$I47 &gt; 250000, 'Rent Table'!$I47 &lt;= 350000), "250,001-350,000",
AND('Rent Table'!$I47 &gt; 350000, 'Rent Table'!$I47 &lt;= 450000), "350,001-450,000",
AND('Rent Table'!$I47 &gt; 450000, 'Rent Table'!$I47 &lt;= 600000), "450,001-600,000",
AND('Rent Table'!$I47 &gt; 600000, 'Rent Table'!$I47 &lt;= 750000), "600,001-750,000",'Rent Table'!$I47 &gt; 750000, "750,000+",
TRUE, "Undefined"
         )</f>
        <v>150,001-250,000</v>
      </c>
    </row>
    <row r="48" spans="1:19" x14ac:dyDescent="0.45">
      <c r="A48" s="105" t="s">
        <v>298</v>
      </c>
      <c r="B48" s="105" t="s">
        <v>225</v>
      </c>
      <c r="C48" s="102" t="s">
        <v>241</v>
      </c>
      <c r="D48" s="105" t="s">
        <v>261</v>
      </c>
      <c r="E48" s="102" t="s">
        <v>222</v>
      </c>
      <c r="F48" s="102" t="s">
        <v>243</v>
      </c>
      <c r="G48" s="146">
        <v>45566</v>
      </c>
      <c r="H48" s="105" t="s">
        <v>244</v>
      </c>
      <c r="I48" s="147">
        <v>314559</v>
      </c>
      <c r="J48" s="105" t="s">
        <v>245</v>
      </c>
      <c r="K48" s="148">
        <v>17.581600000000002</v>
      </c>
      <c r="L48" s="102">
        <v>314559</v>
      </c>
      <c r="M48" s="102">
        <v>95.5</v>
      </c>
      <c r="N48" s="148">
        <v>3.25</v>
      </c>
      <c r="O48" s="102">
        <v>2</v>
      </c>
      <c r="P48" s="102">
        <v>1</v>
      </c>
      <c r="Q48" s="102">
        <v>1998</v>
      </c>
      <c r="R48" s="102" t="s">
        <v>246</v>
      </c>
      <c r="S48" s="102" t="str" cm="1">
        <f t="array" ref="S48">_xlfn.IFS(AND('Rent Table'!$I48&gt;0,'Rent Table'!$I48&lt;=50000),"0-50,000",
AND('Rent Table'!$I48 &gt; 50000, 'Rent Table'!$I48 &lt;= 150000), "50,001-150,000",
AND('Rent Table'!$I48 &gt; 150000, 'Rent Table'!$I48 &lt;= 250000), "150,001-250,000",
AND('Rent Table'!$I48 &gt; 250000, 'Rent Table'!$I48 &lt;= 350000), "250,001-350,000",
AND('Rent Table'!$I48 &gt; 350000, 'Rent Table'!$I48 &lt;= 450000), "350,001-450,000",
AND('Rent Table'!$I48 &gt; 450000, 'Rent Table'!$I48 &lt;= 600000), "450,001-600,000",
AND('Rent Table'!$I48 &gt; 600000, 'Rent Table'!$I48 &lt;= 750000), "600,001-750,000",'Rent Table'!$I48 &gt; 750000, "750,000+",
TRUE, "Undefined"
         )</f>
        <v>250,001-350,000</v>
      </c>
    </row>
    <row r="49" spans="1:19" x14ac:dyDescent="0.45">
      <c r="A49" s="105" t="s">
        <v>299</v>
      </c>
      <c r="B49" s="105" t="s">
        <v>225</v>
      </c>
      <c r="C49" s="102" t="s">
        <v>241</v>
      </c>
      <c r="D49" s="105" t="s">
        <v>261</v>
      </c>
      <c r="E49" s="102" t="s">
        <v>222</v>
      </c>
      <c r="F49" s="102" t="s">
        <v>243</v>
      </c>
      <c r="G49" s="146">
        <v>45566</v>
      </c>
      <c r="H49" s="105" t="s">
        <v>244</v>
      </c>
      <c r="I49" s="147">
        <v>177372</v>
      </c>
      <c r="J49" s="105" t="s">
        <v>245</v>
      </c>
      <c r="K49" s="148">
        <v>19.518049999999999</v>
      </c>
      <c r="L49" s="102">
        <v>88660</v>
      </c>
      <c r="M49" s="102">
        <v>96.5</v>
      </c>
      <c r="N49" s="148" t="s">
        <v>246</v>
      </c>
      <c r="O49" s="102">
        <v>2</v>
      </c>
      <c r="P49" s="102">
        <v>1</v>
      </c>
      <c r="Q49" s="102">
        <v>2001</v>
      </c>
      <c r="R49" s="102" t="s">
        <v>246</v>
      </c>
      <c r="S49" s="102" t="str" cm="1">
        <f t="array" ref="S49">_xlfn.IFS(AND('Rent Table'!$I49&gt;0,'Rent Table'!$I49&lt;=50000),"0-50,000",
AND('Rent Table'!$I49 &gt; 50000, 'Rent Table'!$I49 &lt;= 150000), "50,001-150,000",
AND('Rent Table'!$I49 &gt; 150000, 'Rent Table'!$I49 &lt;= 250000), "150,001-250,000",
AND('Rent Table'!$I49 &gt; 250000, 'Rent Table'!$I49 &lt;= 350000), "250,001-350,000",
AND('Rent Table'!$I49 &gt; 350000, 'Rent Table'!$I49 &lt;= 450000), "350,001-450,000",
AND('Rent Table'!$I49 &gt; 450000, 'Rent Table'!$I49 &lt;= 600000), "450,001-600,000",
AND('Rent Table'!$I49 &gt; 600000, 'Rent Table'!$I49 &lt;= 750000), "600,001-750,000",'Rent Table'!$I49 &gt; 750000, "750,000+",
TRUE, "Undefined"
         )</f>
        <v>150,001-250,000</v>
      </c>
    </row>
    <row r="50" spans="1:19" x14ac:dyDescent="0.45">
      <c r="A50" s="105" t="s">
        <v>300</v>
      </c>
      <c r="B50" s="105" t="s">
        <v>225</v>
      </c>
      <c r="C50" s="102" t="s">
        <v>241</v>
      </c>
      <c r="D50" s="105" t="s">
        <v>242</v>
      </c>
      <c r="E50" s="102" t="s">
        <v>222</v>
      </c>
      <c r="F50" s="102" t="s">
        <v>243</v>
      </c>
      <c r="G50" s="146">
        <v>45566</v>
      </c>
      <c r="H50" s="105" t="s">
        <v>244</v>
      </c>
      <c r="I50" s="147">
        <v>72808</v>
      </c>
      <c r="J50" s="105" t="s">
        <v>245</v>
      </c>
      <c r="K50" s="148">
        <v>17.341999999999999</v>
      </c>
      <c r="L50" s="102">
        <v>72808</v>
      </c>
      <c r="M50" s="102">
        <v>61</v>
      </c>
      <c r="N50" s="148">
        <v>6.5</v>
      </c>
      <c r="O50" s="102">
        <v>1</v>
      </c>
      <c r="P50" s="102">
        <v>2</v>
      </c>
      <c r="Q50" s="102">
        <v>1985</v>
      </c>
      <c r="R50" s="102">
        <v>2005</v>
      </c>
      <c r="S50" s="102" t="str" cm="1">
        <f t="array" ref="S50">_xlfn.IFS(AND('Rent Table'!$I50&gt;0,'Rent Table'!$I50&lt;=50000),"0-50,000",
AND('Rent Table'!$I50 &gt; 50000, 'Rent Table'!$I50 &lt;= 150000), "50,001-150,000",
AND('Rent Table'!$I50 &gt; 150000, 'Rent Table'!$I50 &lt;= 250000), "150,001-250,000",
AND('Rent Table'!$I50 &gt; 250000, 'Rent Table'!$I50 &lt;= 350000), "250,001-350,000",
AND('Rent Table'!$I50 &gt; 350000, 'Rent Table'!$I50 &lt;= 450000), "350,001-450,000",
AND('Rent Table'!$I50 &gt; 450000, 'Rent Table'!$I50 &lt;= 600000), "450,001-600,000",
AND('Rent Table'!$I50 &gt; 600000, 'Rent Table'!$I50 &lt;= 750000), "600,001-750,000",'Rent Table'!$I50 &gt; 750000, "750,000+",
TRUE, "Undefined"
         )</f>
        <v>50,001-150,000</v>
      </c>
    </row>
    <row r="51" spans="1:19" x14ac:dyDescent="0.45">
      <c r="A51" s="105" t="s">
        <v>301</v>
      </c>
      <c r="B51" s="105" t="s">
        <v>225</v>
      </c>
      <c r="C51" s="102" t="s">
        <v>241</v>
      </c>
      <c r="D51" s="105" t="s">
        <v>242</v>
      </c>
      <c r="E51" s="102" t="s">
        <v>222</v>
      </c>
      <c r="F51" s="102" t="s">
        <v>243</v>
      </c>
      <c r="G51" s="146">
        <v>45566</v>
      </c>
      <c r="H51" s="105" t="s">
        <v>244</v>
      </c>
      <c r="I51" s="147">
        <v>251606</v>
      </c>
      <c r="J51" s="105" t="s">
        <v>245</v>
      </c>
      <c r="K51" s="148">
        <v>18.353000000000002</v>
      </c>
      <c r="L51" s="102">
        <v>251606</v>
      </c>
      <c r="M51" s="102">
        <v>124</v>
      </c>
      <c r="N51" s="148">
        <v>10</v>
      </c>
      <c r="O51" s="102">
        <v>4</v>
      </c>
      <c r="P51" s="102">
        <v>1</v>
      </c>
      <c r="Q51" s="102">
        <v>2021</v>
      </c>
      <c r="R51" s="102" t="s">
        <v>246</v>
      </c>
      <c r="S51" s="102" t="str" cm="1">
        <f t="array" ref="S51">_xlfn.IFS(AND('Rent Table'!$I51&gt;0,'Rent Table'!$I51&lt;=50000),"0-50,000",
AND('Rent Table'!$I51 &gt; 50000, 'Rent Table'!$I51 &lt;= 150000), "50,001-150,000",
AND('Rent Table'!$I51 &gt; 150000, 'Rent Table'!$I51 &lt;= 250000), "150,001-250,000",
AND('Rent Table'!$I51 &gt; 250000, 'Rent Table'!$I51 &lt;= 350000), "250,001-350,000",
AND('Rent Table'!$I51 &gt; 350000, 'Rent Table'!$I51 &lt;= 450000), "350,001-450,000",
AND('Rent Table'!$I51 &gt; 450000, 'Rent Table'!$I51 &lt;= 600000), "450,001-600,000",
AND('Rent Table'!$I51 &gt; 600000, 'Rent Table'!$I51 &lt;= 750000), "600,001-750,000",'Rent Table'!$I51 &gt; 750000, "750,000+",
TRUE, "Undefined"
         )</f>
        <v>250,001-350,000</v>
      </c>
    </row>
    <row r="52" spans="1:19" x14ac:dyDescent="0.45">
      <c r="A52" s="105" t="s">
        <v>302</v>
      </c>
      <c r="B52" s="105" t="s">
        <v>211</v>
      </c>
      <c r="C52" s="102" t="s">
        <v>241</v>
      </c>
      <c r="D52" s="105" t="s">
        <v>303</v>
      </c>
      <c r="E52" s="102" t="s">
        <v>210</v>
      </c>
      <c r="F52" s="102" t="s">
        <v>243</v>
      </c>
      <c r="G52" s="146">
        <v>45566</v>
      </c>
      <c r="H52" s="105" t="s">
        <v>304</v>
      </c>
      <c r="I52" s="103">
        <v>331000</v>
      </c>
      <c r="J52" s="105" t="s">
        <v>245</v>
      </c>
      <c r="K52" s="148">
        <v>10.203900000000001</v>
      </c>
      <c r="L52" s="102">
        <v>169143</v>
      </c>
      <c r="M52" s="102">
        <v>60</v>
      </c>
      <c r="N52" s="148">
        <v>0.59</v>
      </c>
      <c r="O52" s="102">
        <v>1</v>
      </c>
      <c r="P52" s="102">
        <v>2</v>
      </c>
      <c r="Q52" s="102">
        <v>2014</v>
      </c>
      <c r="R52" s="102">
        <v>2015</v>
      </c>
      <c r="S52" s="102" t="str" cm="1">
        <f t="array" ref="S52">_xlfn.IFS(AND('Rent Table'!$I52&gt;0,'Rent Table'!$I52&lt;=50000),"0-50,000",
AND('Rent Table'!$I52 &gt; 50000, 'Rent Table'!$I52 &lt;= 150000), "50,001-150,000",
AND('Rent Table'!$I52 &gt; 150000, 'Rent Table'!$I52 &lt;= 250000), "150,001-250,000",
AND('Rent Table'!$I52 &gt; 250000, 'Rent Table'!$I52 &lt;= 350000), "250,001-350,000",
AND('Rent Table'!$I52 &gt; 350000, 'Rent Table'!$I52 &lt;= 450000), "350,001-450,000",
AND('Rent Table'!$I52 &gt; 450000, 'Rent Table'!$I52 &lt;= 600000), "450,001-600,000",
AND('Rent Table'!$I52 &gt; 600000, 'Rent Table'!$I52 &lt;= 750000), "600,001-750,000",'Rent Table'!$I52 &gt; 750000, "750,000+",
TRUE, "Undefined"
         )</f>
        <v>250,001-350,000</v>
      </c>
    </row>
    <row r="53" spans="1:19" x14ac:dyDescent="0.45">
      <c r="A53" s="105" t="s">
        <v>305</v>
      </c>
      <c r="B53" s="105" t="s">
        <v>213</v>
      </c>
      <c r="C53" s="102" t="s">
        <v>241</v>
      </c>
      <c r="D53" s="105" t="s">
        <v>306</v>
      </c>
      <c r="E53" s="102" t="s">
        <v>210</v>
      </c>
      <c r="F53" s="102" t="s">
        <v>243</v>
      </c>
      <c r="G53" s="146">
        <v>45566</v>
      </c>
      <c r="H53" s="105" t="s">
        <v>304</v>
      </c>
      <c r="I53" s="103">
        <v>114057</v>
      </c>
      <c r="J53" s="105" t="s">
        <v>245</v>
      </c>
      <c r="K53" s="148">
        <v>14.1289</v>
      </c>
      <c r="L53" s="102">
        <v>114057</v>
      </c>
      <c r="M53" s="102">
        <v>62</v>
      </c>
      <c r="N53" s="148">
        <v>2</v>
      </c>
      <c r="O53" s="102">
        <v>2</v>
      </c>
      <c r="P53" s="102">
        <v>1</v>
      </c>
      <c r="Q53" s="102">
        <v>2022</v>
      </c>
      <c r="R53" s="102">
        <v>2023</v>
      </c>
      <c r="S53" s="102" t="str" cm="1">
        <f t="array" ref="S53">_xlfn.IFS(AND('Rent Table'!$I53&gt;0,'Rent Table'!$I53&lt;=50000),"0-50,000",
AND('Rent Table'!$I53 &gt; 50000, 'Rent Table'!$I53 &lt;= 150000), "50,001-150,000",
AND('Rent Table'!$I53 &gt; 150000, 'Rent Table'!$I53 &lt;= 250000), "150,001-250,000",
AND('Rent Table'!$I53 &gt; 250000, 'Rent Table'!$I53 &lt;= 350000), "250,001-350,000",
AND('Rent Table'!$I53 &gt; 350000, 'Rent Table'!$I53 &lt;= 450000), "350,001-450,000",
AND('Rent Table'!$I53 &gt; 450000, 'Rent Table'!$I53 &lt;= 600000), "450,001-600,000",
AND('Rent Table'!$I53 &gt; 600000, 'Rent Table'!$I53 &lt;= 750000), "600,001-750,000",'Rent Table'!$I53 &gt; 750000, "750,000+",
TRUE, "Undefined"
         )</f>
        <v>50,001-150,000</v>
      </c>
    </row>
    <row r="54" spans="1:19" x14ac:dyDescent="0.45">
      <c r="A54" s="105" t="s">
        <v>307</v>
      </c>
      <c r="B54" s="105" t="s">
        <v>213</v>
      </c>
      <c r="C54" s="102" t="s">
        <v>241</v>
      </c>
      <c r="D54" s="105" t="s">
        <v>306</v>
      </c>
      <c r="E54" s="102" t="s">
        <v>210</v>
      </c>
      <c r="F54" s="102" t="s">
        <v>243</v>
      </c>
      <c r="G54" s="146">
        <v>45566</v>
      </c>
      <c r="H54" s="105" t="s">
        <v>304</v>
      </c>
      <c r="I54" s="103">
        <v>304262</v>
      </c>
      <c r="J54" s="105" t="s">
        <v>245</v>
      </c>
      <c r="K54" s="148">
        <v>13.735900000000001</v>
      </c>
      <c r="L54" s="102">
        <v>304262</v>
      </c>
      <c r="M54" s="102">
        <v>123</v>
      </c>
      <c r="N54" s="148">
        <v>6</v>
      </c>
      <c r="O54" s="102">
        <v>3</v>
      </c>
      <c r="P54" s="102">
        <v>1</v>
      </c>
      <c r="Q54" s="102">
        <v>2022</v>
      </c>
      <c r="R54" s="102">
        <v>2023</v>
      </c>
      <c r="S54" s="102" t="str" cm="1">
        <f t="array" ref="S54">_xlfn.IFS(AND('Rent Table'!$I54&gt;0,'Rent Table'!$I54&lt;=50000),"0-50,000",
AND('Rent Table'!$I54 &gt; 50000, 'Rent Table'!$I54 &lt;= 150000), "50,001-150,000",
AND('Rent Table'!$I54 &gt; 150000, 'Rent Table'!$I54 &lt;= 250000), "150,001-250,000",
AND('Rent Table'!$I54 &gt; 250000, 'Rent Table'!$I54 &lt;= 350000), "250,001-350,000",
AND('Rent Table'!$I54 &gt; 350000, 'Rent Table'!$I54 &lt;= 450000), "350,001-450,000",
AND('Rent Table'!$I54 &gt; 450000, 'Rent Table'!$I54 &lt;= 600000), "450,001-600,000",
AND('Rent Table'!$I54 &gt; 600000, 'Rent Table'!$I54 &lt;= 750000), "600,001-750,000",'Rent Table'!$I54 &gt; 750000, "750,000+",
TRUE, "Undefined"
         )</f>
        <v>250,001-350,000</v>
      </c>
    </row>
    <row r="55" spans="1:19" x14ac:dyDescent="0.45">
      <c r="A55" s="105" t="s">
        <v>308</v>
      </c>
      <c r="B55" s="105" t="s">
        <v>213</v>
      </c>
      <c r="C55" s="102" t="s">
        <v>241</v>
      </c>
      <c r="D55" s="105" t="s">
        <v>306</v>
      </c>
      <c r="E55" s="102" t="s">
        <v>210</v>
      </c>
      <c r="F55" s="102" t="s">
        <v>243</v>
      </c>
      <c r="G55" s="146">
        <v>45566</v>
      </c>
      <c r="H55" s="105" t="s">
        <v>304</v>
      </c>
      <c r="I55" s="103">
        <v>80000</v>
      </c>
      <c r="J55" s="105" t="s">
        <v>245</v>
      </c>
      <c r="K55" s="148">
        <v>13.0548</v>
      </c>
      <c r="L55" s="102">
        <v>80000</v>
      </c>
      <c r="M55" s="102">
        <v>122</v>
      </c>
      <c r="N55" s="148" t="s">
        <v>246</v>
      </c>
      <c r="O55" s="102">
        <v>2</v>
      </c>
      <c r="P55" s="102" t="s">
        <v>246</v>
      </c>
      <c r="Q55" s="102">
        <v>1944</v>
      </c>
      <c r="R55" s="102" t="s">
        <v>246</v>
      </c>
      <c r="S55" s="102" t="str" cm="1">
        <f t="array" ref="S55">_xlfn.IFS(AND('Rent Table'!$I55&gt;0,'Rent Table'!$I55&lt;=50000),"0-50,000",
AND('Rent Table'!$I55 &gt; 50000, 'Rent Table'!$I55 &lt;= 150000), "50,001-150,000",
AND('Rent Table'!$I55 &gt; 150000, 'Rent Table'!$I55 &lt;= 250000), "150,001-250,000",
AND('Rent Table'!$I55 &gt; 250000, 'Rent Table'!$I55 &lt;= 350000), "250,001-350,000",
AND('Rent Table'!$I55 &gt; 350000, 'Rent Table'!$I55 &lt;= 450000), "350,001-450,000",
AND('Rent Table'!$I55 &gt; 450000, 'Rent Table'!$I55 &lt;= 600000), "450,001-600,000",
AND('Rent Table'!$I55 &gt; 600000, 'Rent Table'!$I55 &lt;= 750000), "600,001-750,000",'Rent Table'!$I55 &gt; 750000, "750,000+",
TRUE, "Undefined"
         )</f>
        <v>50,001-150,000</v>
      </c>
    </row>
    <row r="56" spans="1:19" x14ac:dyDescent="0.45">
      <c r="A56" s="105" t="s">
        <v>309</v>
      </c>
      <c r="B56" s="105" t="s">
        <v>64</v>
      </c>
      <c r="C56" s="102" t="s">
        <v>241</v>
      </c>
      <c r="D56" s="105" t="s">
        <v>310</v>
      </c>
      <c r="E56" s="102" t="s">
        <v>210</v>
      </c>
      <c r="F56" s="102" t="s">
        <v>243</v>
      </c>
      <c r="G56" s="146">
        <v>45566</v>
      </c>
      <c r="H56" s="105" t="s">
        <v>304</v>
      </c>
      <c r="I56" s="103">
        <v>23120</v>
      </c>
      <c r="J56" s="105" t="s">
        <v>245</v>
      </c>
      <c r="K56" s="148">
        <v>9.0724099999999996</v>
      </c>
      <c r="L56" s="102">
        <v>23120</v>
      </c>
      <c r="M56" s="102">
        <v>72</v>
      </c>
      <c r="N56" s="148" t="s">
        <v>246</v>
      </c>
      <c r="O56" s="102">
        <v>2</v>
      </c>
      <c r="P56" s="102" t="s">
        <v>246</v>
      </c>
      <c r="Q56" s="102">
        <v>1987</v>
      </c>
      <c r="R56" s="102" t="s">
        <v>246</v>
      </c>
      <c r="S56" s="102" t="str" cm="1">
        <f t="array" ref="S56">_xlfn.IFS(AND('Rent Table'!$I56&gt;0,'Rent Table'!$I56&lt;=50000),"0-50,000",
AND('Rent Table'!$I56 &gt; 50000, 'Rent Table'!$I56 &lt;= 150000), "50,001-150,000",
AND('Rent Table'!$I56 &gt; 150000, 'Rent Table'!$I56 &lt;= 250000), "150,001-250,000",
AND('Rent Table'!$I56 &gt; 250000, 'Rent Table'!$I56 &lt;= 350000), "250,001-350,000",
AND('Rent Table'!$I56 &gt; 350000, 'Rent Table'!$I56 &lt;= 450000), "350,001-450,000",
AND('Rent Table'!$I56 &gt; 450000, 'Rent Table'!$I56 &lt;= 600000), "450,001-600,000",
AND('Rent Table'!$I56 &gt; 600000, 'Rent Table'!$I56 &lt;= 750000), "600,001-750,000",'Rent Table'!$I56 &gt; 750000, "750,000+",
TRUE, "Undefined"
         )</f>
        <v>0-50,000</v>
      </c>
    </row>
    <row r="57" spans="1:19" x14ac:dyDescent="0.45">
      <c r="A57" s="105" t="s">
        <v>311</v>
      </c>
      <c r="B57" s="105" t="s">
        <v>64</v>
      </c>
      <c r="C57" s="102" t="s">
        <v>241</v>
      </c>
      <c r="D57" s="105" t="s">
        <v>310</v>
      </c>
      <c r="E57" s="102" t="s">
        <v>210</v>
      </c>
      <c r="F57" s="102" t="s">
        <v>243</v>
      </c>
      <c r="G57" s="146">
        <v>45566</v>
      </c>
      <c r="H57" s="105" t="s">
        <v>304</v>
      </c>
      <c r="I57" s="103">
        <v>9670</v>
      </c>
      <c r="J57" s="105" t="s">
        <v>245</v>
      </c>
      <c r="K57" s="148">
        <v>9.8571100000000005</v>
      </c>
      <c r="L57" s="102">
        <v>9670</v>
      </c>
      <c r="M57" s="102">
        <v>36</v>
      </c>
      <c r="N57" s="148" t="s">
        <v>246</v>
      </c>
      <c r="O57" s="102">
        <v>1</v>
      </c>
      <c r="P57" s="102">
        <v>1</v>
      </c>
      <c r="Q57" s="102">
        <v>1991</v>
      </c>
      <c r="R57" s="102" t="s">
        <v>246</v>
      </c>
      <c r="S57" s="102" t="str" cm="1">
        <f t="array" ref="S57">_xlfn.IFS(AND('Rent Table'!$I57&gt;0,'Rent Table'!$I57&lt;=50000),"0-50,000",
AND('Rent Table'!$I57 &gt; 50000, 'Rent Table'!$I57 &lt;= 150000), "50,001-150,000",
AND('Rent Table'!$I57 &gt; 150000, 'Rent Table'!$I57 &lt;= 250000), "150,001-250,000",
AND('Rent Table'!$I57 &gt; 250000, 'Rent Table'!$I57 &lt;= 350000), "250,001-350,000",
AND('Rent Table'!$I57 &gt; 350000, 'Rent Table'!$I57 &lt;= 450000), "350,001-450,000",
AND('Rent Table'!$I57 &gt; 450000, 'Rent Table'!$I57 &lt;= 600000), "450,001-600,000",
AND('Rent Table'!$I57 &gt; 600000, 'Rent Table'!$I57 &lt;= 750000), "600,001-750,000",'Rent Table'!$I57 &gt; 750000, "750,000+",
TRUE, "Undefined"
         )</f>
        <v>0-50,000</v>
      </c>
    </row>
    <row r="58" spans="1:19" x14ac:dyDescent="0.45">
      <c r="A58" s="105" t="s">
        <v>312</v>
      </c>
      <c r="B58" s="105" t="s">
        <v>64</v>
      </c>
      <c r="C58" s="102" t="s">
        <v>241</v>
      </c>
      <c r="D58" s="105" t="s">
        <v>310</v>
      </c>
      <c r="E58" s="102" t="s">
        <v>210</v>
      </c>
      <c r="F58" s="102" t="s">
        <v>243</v>
      </c>
      <c r="G58" s="146">
        <v>45566</v>
      </c>
      <c r="H58" s="105" t="s">
        <v>304</v>
      </c>
      <c r="I58" s="103">
        <v>31000</v>
      </c>
      <c r="J58" s="105" t="s">
        <v>245</v>
      </c>
      <c r="K58" s="148">
        <v>12.7346</v>
      </c>
      <c r="L58" s="102">
        <v>8946</v>
      </c>
      <c r="M58" s="102">
        <v>64</v>
      </c>
      <c r="N58" s="148" t="s">
        <v>246</v>
      </c>
      <c r="O58" s="102" t="s">
        <v>246</v>
      </c>
      <c r="P58" s="102">
        <v>1</v>
      </c>
      <c r="Q58" s="102">
        <v>1991</v>
      </c>
      <c r="R58" s="102" t="s">
        <v>246</v>
      </c>
      <c r="S58" s="102" t="str" cm="1">
        <f t="array" ref="S58">_xlfn.IFS(AND('Rent Table'!$I58&gt;0,'Rent Table'!$I58&lt;=50000),"0-50,000",
AND('Rent Table'!$I58 &gt; 50000, 'Rent Table'!$I58 &lt;= 150000), "50,001-150,000",
AND('Rent Table'!$I58 &gt; 150000, 'Rent Table'!$I58 &lt;= 250000), "150,001-250,000",
AND('Rent Table'!$I58 &gt; 250000, 'Rent Table'!$I58 &lt;= 350000), "250,001-350,000",
AND('Rent Table'!$I58 &gt; 350000, 'Rent Table'!$I58 &lt;= 450000), "350,001-450,000",
AND('Rent Table'!$I58 &gt; 450000, 'Rent Table'!$I58 &lt;= 600000), "450,001-600,000",
AND('Rent Table'!$I58 &gt; 600000, 'Rent Table'!$I58 &lt;= 750000), "600,001-750,000",'Rent Table'!$I58 &gt; 750000, "750,000+",
TRUE, "Undefined"
         )</f>
        <v>0-50,000</v>
      </c>
    </row>
    <row r="59" spans="1:19" x14ac:dyDescent="0.45">
      <c r="A59" s="105" t="s">
        <v>313</v>
      </c>
      <c r="B59" s="105" t="s">
        <v>64</v>
      </c>
      <c r="C59" s="102" t="s">
        <v>241</v>
      </c>
      <c r="D59" s="105" t="s">
        <v>310</v>
      </c>
      <c r="E59" s="102" t="s">
        <v>210</v>
      </c>
      <c r="F59" s="102" t="s">
        <v>243</v>
      </c>
      <c r="G59" s="146">
        <v>45566</v>
      </c>
      <c r="H59" s="105" t="s">
        <v>304</v>
      </c>
      <c r="I59" s="103">
        <v>32135</v>
      </c>
      <c r="J59" s="105" t="s">
        <v>245</v>
      </c>
      <c r="K59" s="148">
        <v>12.3047</v>
      </c>
      <c r="L59" s="102">
        <v>15643</v>
      </c>
      <c r="M59" s="102">
        <v>63</v>
      </c>
      <c r="N59" s="148" t="s">
        <v>246</v>
      </c>
      <c r="O59" s="102">
        <v>3</v>
      </c>
      <c r="P59" s="102">
        <v>1</v>
      </c>
      <c r="Q59" s="102">
        <v>1991</v>
      </c>
      <c r="R59" s="102" t="s">
        <v>246</v>
      </c>
      <c r="S59" s="102" t="str" cm="1">
        <f t="array" ref="S59">_xlfn.IFS(AND('Rent Table'!$I59&gt;0,'Rent Table'!$I59&lt;=50000),"0-50,000",
AND('Rent Table'!$I59 &gt; 50000, 'Rent Table'!$I59 &lt;= 150000), "50,001-150,000",
AND('Rent Table'!$I59 &gt; 150000, 'Rent Table'!$I59 &lt;= 250000), "150,001-250,000",
AND('Rent Table'!$I59 &gt; 250000, 'Rent Table'!$I59 &lt;= 350000), "250,001-350,000",
AND('Rent Table'!$I59 &gt; 350000, 'Rent Table'!$I59 &lt;= 450000), "350,001-450,000",
AND('Rent Table'!$I59 &gt; 450000, 'Rent Table'!$I59 &lt;= 600000), "450,001-600,000",
AND('Rent Table'!$I59 &gt; 600000, 'Rent Table'!$I59 &lt;= 750000), "600,001-750,000",'Rent Table'!$I59 &gt; 750000, "750,000+",
TRUE, "Undefined"
         )</f>
        <v>0-50,000</v>
      </c>
    </row>
    <row r="60" spans="1:19" x14ac:dyDescent="0.45">
      <c r="A60" s="105" t="s">
        <v>314</v>
      </c>
      <c r="B60" s="105" t="s">
        <v>64</v>
      </c>
      <c r="C60" s="102" t="s">
        <v>241</v>
      </c>
      <c r="D60" s="105" t="s">
        <v>310</v>
      </c>
      <c r="E60" s="102" t="s">
        <v>210</v>
      </c>
      <c r="F60" s="102" t="s">
        <v>243</v>
      </c>
      <c r="G60" s="146">
        <v>45566</v>
      </c>
      <c r="H60" s="105" t="s">
        <v>304</v>
      </c>
      <c r="I60" s="103">
        <v>27516</v>
      </c>
      <c r="J60" s="105" t="s">
        <v>245</v>
      </c>
      <c r="K60" s="148">
        <v>20.4175</v>
      </c>
      <c r="L60" s="102">
        <v>1207</v>
      </c>
      <c r="M60" s="102">
        <v>60</v>
      </c>
      <c r="N60" s="148" t="s">
        <v>246</v>
      </c>
      <c r="O60" s="102" t="s">
        <v>246</v>
      </c>
      <c r="P60" s="102" t="s">
        <v>246</v>
      </c>
      <c r="Q60" s="102">
        <v>1990</v>
      </c>
      <c r="R60" s="102" t="s">
        <v>246</v>
      </c>
      <c r="S60" s="102" t="str" cm="1">
        <f t="array" ref="S60">_xlfn.IFS(AND('Rent Table'!$I60&gt;0,'Rent Table'!$I60&lt;=50000),"0-50,000",
AND('Rent Table'!$I60 &gt; 50000, 'Rent Table'!$I60 &lt;= 150000), "50,001-150,000",
AND('Rent Table'!$I60 &gt; 150000, 'Rent Table'!$I60 &lt;= 250000), "150,001-250,000",
AND('Rent Table'!$I60 &gt; 250000, 'Rent Table'!$I60 &lt;= 350000), "250,001-350,000",
AND('Rent Table'!$I60 &gt; 350000, 'Rent Table'!$I60 &lt;= 450000), "350,001-450,000",
AND('Rent Table'!$I60 &gt; 450000, 'Rent Table'!$I60 &lt;= 600000), "450,001-600,000",
AND('Rent Table'!$I60 &gt; 600000, 'Rent Table'!$I60 &lt;= 750000), "600,001-750,000",'Rent Table'!$I60 &gt; 750000, "750,000+",
TRUE, "Undefined"
         )</f>
        <v>0-50,000</v>
      </c>
    </row>
    <row r="61" spans="1:19" x14ac:dyDescent="0.45">
      <c r="A61" s="105" t="s">
        <v>315</v>
      </c>
      <c r="B61" s="105" t="s">
        <v>64</v>
      </c>
      <c r="C61" s="102" t="s">
        <v>241</v>
      </c>
      <c r="D61" s="105" t="s">
        <v>316</v>
      </c>
      <c r="E61" s="102" t="s">
        <v>210</v>
      </c>
      <c r="F61" s="102" t="s">
        <v>243</v>
      </c>
      <c r="G61" s="146">
        <v>45566</v>
      </c>
      <c r="H61" s="105" t="s">
        <v>304</v>
      </c>
      <c r="I61" s="103">
        <v>17659</v>
      </c>
      <c r="J61" s="105" t="s">
        <v>245</v>
      </c>
      <c r="K61" s="148">
        <v>10.5063</v>
      </c>
      <c r="L61" s="102">
        <v>17659</v>
      </c>
      <c r="M61" s="102">
        <v>62</v>
      </c>
      <c r="N61" s="148" t="s">
        <v>246</v>
      </c>
      <c r="O61" s="102">
        <v>2</v>
      </c>
      <c r="P61" s="102">
        <v>1</v>
      </c>
      <c r="Q61" s="102">
        <v>1987</v>
      </c>
      <c r="R61" s="102">
        <v>1988</v>
      </c>
      <c r="S61" s="102" t="str" cm="1">
        <f t="array" ref="S61">_xlfn.IFS(AND('Rent Table'!$I61&gt;0,'Rent Table'!$I61&lt;=50000),"0-50,000",
AND('Rent Table'!$I61 &gt; 50000, 'Rent Table'!$I61 &lt;= 150000), "50,001-150,000",
AND('Rent Table'!$I61 &gt; 150000, 'Rent Table'!$I61 &lt;= 250000), "150,001-250,000",
AND('Rent Table'!$I61 &gt; 250000, 'Rent Table'!$I61 &lt;= 350000), "250,001-350,000",
AND('Rent Table'!$I61 &gt; 350000, 'Rent Table'!$I61 &lt;= 450000), "350,001-450,000",
AND('Rent Table'!$I61 &gt; 450000, 'Rent Table'!$I61 &lt;= 600000), "450,001-600,000",
AND('Rent Table'!$I61 &gt; 600000, 'Rent Table'!$I61 &lt;= 750000), "600,001-750,000",'Rent Table'!$I61 &gt; 750000, "750,000+",
TRUE, "Undefined"
         )</f>
        <v>0-50,000</v>
      </c>
    </row>
    <row r="62" spans="1:19" x14ac:dyDescent="0.45">
      <c r="A62" s="105" t="s">
        <v>317</v>
      </c>
      <c r="B62" s="105" t="s">
        <v>64</v>
      </c>
      <c r="C62" s="102" t="s">
        <v>241</v>
      </c>
      <c r="D62" s="105" t="s">
        <v>316</v>
      </c>
      <c r="E62" s="102" t="s">
        <v>210</v>
      </c>
      <c r="F62" s="102" t="s">
        <v>243</v>
      </c>
      <c r="G62" s="146">
        <v>45566</v>
      </c>
      <c r="H62" s="105" t="s">
        <v>304</v>
      </c>
      <c r="I62" s="103">
        <v>40800</v>
      </c>
      <c r="J62" s="105" t="s">
        <v>245</v>
      </c>
      <c r="K62" s="148">
        <v>12.377800000000001</v>
      </c>
      <c r="L62" s="102">
        <v>20400</v>
      </c>
      <c r="M62" s="102">
        <v>61</v>
      </c>
      <c r="N62" s="148" t="s">
        <v>246</v>
      </c>
      <c r="O62" s="102" t="s">
        <v>246</v>
      </c>
      <c r="P62" s="102">
        <v>1</v>
      </c>
      <c r="Q62" s="102">
        <v>2017</v>
      </c>
      <c r="R62" s="102" t="s">
        <v>246</v>
      </c>
      <c r="S62" s="102" t="str" cm="1">
        <f t="array" ref="S62">_xlfn.IFS(AND('Rent Table'!$I62&gt;0,'Rent Table'!$I62&lt;=50000),"0-50,000",
AND('Rent Table'!$I62 &gt; 50000, 'Rent Table'!$I62 &lt;= 150000), "50,001-150,000",
AND('Rent Table'!$I62 &gt; 150000, 'Rent Table'!$I62 &lt;= 250000), "150,001-250,000",
AND('Rent Table'!$I62 &gt; 250000, 'Rent Table'!$I62 &lt;= 350000), "250,001-350,000",
AND('Rent Table'!$I62 &gt; 350000, 'Rent Table'!$I62 &lt;= 450000), "350,001-450,000",
AND('Rent Table'!$I62 &gt; 450000, 'Rent Table'!$I62 &lt;= 600000), "450,001-600,000",
AND('Rent Table'!$I62 &gt; 600000, 'Rent Table'!$I62 &lt;= 750000), "600,001-750,000",'Rent Table'!$I62 &gt; 750000, "750,000+",
TRUE, "Undefined"
         )</f>
        <v>0-50,000</v>
      </c>
    </row>
    <row r="63" spans="1:19" x14ac:dyDescent="0.45">
      <c r="A63" s="105" t="s">
        <v>318</v>
      </c>
      <c r="B63" s="105" t="s">
        <v>64</v>
      </c>
      <c r="C63" s="102" t="s">
        <v>241</v>
      </c>
      <c r="D63" s="105" t="s">
        <v>316</v>
      </c>
      <c r="E63" s="102" t="s">
        <v>210</v>
      </c>
      <c r="F63" s="102" t="s">
        <v>243</v>
      </c>
      <c r="G63" s="146">
        <v>45566</v>
      </c>
      <c r="H63" s="105" t="s">
        <v>304</v>
      </c>
      <c r="I63" s="103">
        <v>29000</v>
      </c>
      <c r="J63" s="105" t="s">
        <v>245</v>
      </c>
      <c r="K63" s="148">
        <v>13.4695</v>
      </c>
      <c r="L63" s="102">
        <v>29000</v>
      </c>
      <c r="M63" s="102">
        <v>48</v>
      </c>
      <c r="N63" s="148" t="s">
        <v>246</v>
      </c>
      <c r="O63" s="102" t="s">
        <v>246</v>
      </c>
      <c r="P63" s="102" t="s">
        <v>246</v>
      </c>
      <c r="Q63" s="102">
        <v>2017</v>
      </c>
      <c r="R63" s="102">
        <v>2018</v>
      </c>
      <c r="S63" s="102" t="str" cm="1">
        <f t="array" ref="S63">_xlfn.IFS(AND('Rent Table'!$I63&gt;0,'Rent Table'!$I63&lt;=50000),"0-50,000",
AND('Rent Table'!$I63 &gt; 50000, 'Rent Table'!$I63 &lt;= 150000), "50,001-150,000",
AND('Rent Table'!$I63 &gt; 150000, 'Rent Table'!$I63 &lt;= 250000), "150,001-250,000",
AND('Rent Table'!$I63 &gt; 250000, 'Rent Table'!$I63 &lt;= 350000), "250,001-350,000",
AND('Rent Table'!$I63 &gt; 350000, 'Rent Table'!$I63 &lt;= 450000), "350,001-450,000",
AND('Rent Table'!$I63 &gt; 450000, 'Rent Table'!$I63 &lt;= 600000), "450,001-600,000",
AND('Rent Table'!$I63 &gt; 600000, 'Rent Table'!$I63 &lt;= 750000), "600,001-750,000",'Rent Table'!$I63 &gt; 750000, "750,000+",
TRUE, "Undefined"
         )</f>
        <v>0-50,000</v>
      </c>
    </row>
    <row r="64" spans="1:19" x14ac:dyDescent="0.45">
      <c r="A64" s="105" t="s">
        <v>319</v>
      </c>
      <c r="B64" s="105" t="s">
        <v>64</v>
      </c>
      <c r="C64" s="102" t="s">
        <v>241</v>
      </c>
      <c r="D64" s="105" t="s">
        <v>316</v>
      </c>
      <c r="E64" s="102" t="s">
        <v>210</v>
      </c>
      <c r="F64" s="102" t="s">
        <v>243</v>
      </c>
      <c r="G64" s="146">
        <v>45566</v>
      </c>
      <c r="H64" s="105" t="s">
        <v>304</v>
      </c>
      <c r="I64" s="103">
        <v>21612</v>
      </c>
      <c r="J64" s="105" t="s">
        <v>245</v>
      </c>
      <c r="K64" s="148">
        <v>11.757899999999999</v>
      </c>
      <c r="L64" s="102">
        <v>21612</v>
      </c>
      <c r="M64" s="102">
        <v>48</v>
      </c>
      <c r="N64" s="148" t="s">
        <v>246</v>
      </c>
      <c r="O64" s="102" t="s">
        <v>246</v>
      </c>
      <c r="P64" s="102">
        <v>1</v>
      </c>
      <c r="Q64" s="102">
        <v>2007</v>
      </c>
      <c r="R64" s="102" t="s">
        <v>246</v>
      </c>
      <c r="S64" s="102" t="str" cm="1">
        <f t="array" ref="S64">_xlfn.IFS(AND('Rent Table'!$I64&gt;0,'Rent Table'!$I64&lt;=50000),"0-50,000",
AND('Rent Table'!$I64 &gt; 50000, 'Rent Table'!$I64 &lt;= 150000), "50,001-150,000",
AND('Rent Table'!$I64 &gt; 150000, 'Rent Table'!$I64 &lt;= 250000), "150,001-250,000",
AND('Rent Table'!$I64 &gt; 250000, 'Rent Table'!$I64 &lt;= 350000), "250,001-350,000",
AND('Rent Table'!$I64 &gt; 350000, 'Rent Table'!$I64 &lt;= 450000), "350,001-450,000",
AND('Rent Table'!$I64 &gt; 450000, 'Rent Table'!$I64 &lt;= 600000), "450,001-600,000",
AND('Rent Table'!$I64 &gt; 600000, 'Rent Table'!$I64 &lt;= 750000), "600,001-750,000",'Rent Table'!$I64 &gt; 750000, "750,000+",
TRUE, "Undefined"
         )</f>
        <v>0-50,000</v>
      </c>
    </row>
    <row r="65" spans="1:19" x14ac:dyDescent="0.45">
      <c r="A65" s="105" t="s">
        <v>320</v>
      </c>
      <c r="B65" s="105" t="s">
        <v>64</v>
      </c>
      <c r="C65" s="102" t="s">
        <v>241</v>
      </c>
      <c r="D65" s="105" t="s">
        <v>316</v>
      </c>
      <c r="E65" s="102" t="s">
        <v>210</v>
      </c>
      <c r="F65" s="102" t="s">
        <v>243</v>
      </c>
      <c r="G65" s="146">
        <v>45566</v>
      </c>
      <c r="H65" s="105" t="s">
        <v>304</v>
      </c>
      <c r="I65" s="103">
        <v>19370</v>
      </c>
      <c r="J65" s="105" t="s">
        <v>245</v>
      </c>
      <c r="K65" s="148">
        <v>14.148999999999999</v>
      </c>
      <c r="L65" s="102">
        <v>19370</v>
      </c>
      <c r="M65" s="102">
        <v>61</v>
      </c>
      <c r="N65" s="148">
        <v>1.17</v>
      </c>
      <c r="O65" s="102">
        <v>1</v>
      </c>
      <c r="P65" s="102">
        <v>1</v>
      </c>
      <c r="Q65" s="102">
        <v>2023</v>
      </c>
      <c r="R65" s="102" t="s">
        <v>246</v>
      </c>
      <c r="S65" s="102" t="str" cm="1">
        <f t="array" ref="S65">_xlfn.IFS(AND('Rent Table'!$I65&gt;0,'Rent Table'!$I65&lt;=50000),"0-50,000",
AND('Rent Table'!$I65 &gt; 50000, 'Rent Table'!$I65 &lt;= 150000), "50,001-150,000",
AND('Rent Table'!$I65 &gt; 150000, 'Rent Table'!$I65 &lt;= 250000), "150,001-250,000",
AND('Rent Table'!$I65 &gt; 250000, 'Rent Table'!$I65 &lt;= 350000), "250,001-350,000",
AND('Rent Table'!$I65 &gt; 350000, 'Rent Table'!$I65 &lt;= 450000), "350,001-450,000",
AND('Rent Table'!$I65 &gt; 450000, 'Rent Table'!$I65 &lt;= 600000), "450,001-600,000",
AND('Rent Table'!$I65 &gt; 600000, 'Rent Table'!$I65 &lt;= 750000), "600,001-750,000",'Rent Table'!$I65 &gt; 750000, "750,000+",
TRUE, "Undefined"
         )</f>
        <v>0-50,000</v>
      </c>
    </row>
    <row r="66" spans="1:19" x14ac:dyDescent="0.45">
      <c r="A66" s="105" t="s">
        <v>321</v>
      </c>
      <c r="B66" s="105" t="s">
        <v>64</v>
      </c>
      <c r="C66" s="102" t="s">
        <v>241</v>
      </c>
      <c r="D66" s="105" t="s">
        <v>316</v>
      </c>
      <c r="E66" s="102" t="s">
        <v>210</v>
      </c>
      <c r="F66" s="102" t="s">
        <v>243</v>
      </c>
      <c r="G66" s="146">
        <v>45566</v>
      </c>
      <c r="H66" s="105" t="s">
        <v>304</v>
      </c>
      <c r="I66" s="103">
        <v>15636</v>
      </c>
      <c r="J66" s="105" t="s">
        <v>245</v>
      </c>
      <c r="K66" s="148">
        <v>12.548500000000001</v>
      </c>
      <c r="L66" s="102">
        <v>15636</v>
      </c>
      <c r="M66" s="102">
        <v>60</v>
      </c>
      <c r="N66" s="148" t="s">
        <v>246</v>
      </c>
      <c r="O66" s="102" t="s">
        <v>246</v>
      </c>
      <c r="P66" s="102">
        <v>1</v>
      </c>
      <c r="Q66" s="102">
        <v>2002</v>
      </c>
      <c r="R66" s="102" t="s">
        <v>246</v>
      </c>
      <c r="S66" s="102" t="str" cm="1">
        <f t="array" ref="S66">_xlfn.IFS(AND('Rent Table'!$I66&gt;0,'Rent Table'!$I66&lt;=50000),"0-50,000",
AND('Rent Table'!$I66 &gt; 50000, 'Rent Table'!$I66 &lt;= 150000), "50,001-150,000",
AND('Rent Table'!$I66 &gt; 150000, 'Rent Table'!$I66 &lt;= 250000), "150,001-250,000",
AND('Rent Table'!$I66 &gt; 250000, 'Rent Table'!$I66 &lt;= 350000), "250,001-350,000",
AND('Rent Table'!$I66 &gt; 350000, 'Rent Table'!$I66 &lt;= 450000), "350,001-450,000",
AND('Rent Table'!$I66 &gt; 450000, 'Rent Table'!$I66 &lt;= 600000), "450,001-600,000",
AND('Rent Table'!$I66 &gt; 600000, 'Rent Table'!$I66 &lt;= 750000), "600,001-750,000",'Rent Table'!$I66 &gt; 750000, "750,000+",
TRUE, "Undefined"
         )</f>
        <v>0-50,000</v>
      </c>
    </row>
    <row r="67" spans="1:19" x14ac:dyDescent="0.45">
      <c r="A67" s="105" t="s">
        <v>322</v>
      </c>
      <c r="B67" s="105" t="s">
        <v>64</v>
      </c>
      <c r="C67" s="102" t="s">
        <v>241</v>
      </c>
      <c r="D67" s="105" t="s">
        <v>310</v>
      </c>
      <c r="E67" s="102" t="s">
        <v>210</v>
      </c>
      <c r="F67" s="102" t="s">
        <v>243</v>
      </c>
      <c r="G67" s="146">
        <v>45566</v>
      </c>
      <c r="H67" s="105" t="s">
        <v>304</v>
      </c>
      <c r="I67" s="103">
        <v>28681</v>
      </c>
      <c r="J67" s="105" t="s">
        <v>245</v>
      </c>
      <c r="K67" s="148">
        <v>9.6563599999999994</v>
      </c>
      <c r="L67" s="102">
        <v>28181</v>
      </c>
      <c r="M67" s="102">
        <v>45</v>
      </c>
      <c r="N67" s="148" t="s">
        <v>246</v>
      </c>
      <c r="O67" s="102" t="s">
        <v>246</v>
      </c>
      <c r="P67" s="102">
        <v>1</v>
      </c>
      <c r="Q67" s="102">
        <v>2003</v>
      </c>
      <c r="R67" s="102" t="s">
        <v>246</v>
      </c>
      <c r="S67" s="102" t="str" cm="1">
        <f t="array" ref="S67">_xlfn.IFS(AND('Rent Table'!$I67&gt;0,'Rent Table'!$I67&lt;=50000),"0-50,000",
AND('Rent Table'!$I67 &gt; 50000, 'Rent Table'!$I67 &lt;= 150000), "50,001-150,000",
AND('Rent Table'!$I67 &gt; 150000, 'Rent Table'!$I67 &lt;= 250000), "150,001-250,000",
AND('Rent Table'!$I67 &gt; 250000, 'Rent Table'!$I67 &lt;= 350000), "250,001-350,000",
AND('Rent Table'!$I67 &gt; 350000, 'Rent Table'!$I67 &lt;= 450000), "350,001-450,000",
AND('Rent Table'!$I67 &gt; 450000, 'Rent Table'!$I67 &lt;= 600000), "450,001-600,000",
AND('Rent Table'!$I67 &gt; 600000, 'Rent Table'!$I67 &lt;= 750000), "600,001-750,000",'Rent Table'!$I67 &gt; 750000, "750,000+",
TRUE, "Undefined"
         )</f>
        <v>0-50,000</v>
      </c>
    </row>
    <row r="68" spans="1:19" x14ac:dyDescent="0.45">
      <c r="A68" s="105" t="s">
        <v>323</v>
      </c>
      <c r="B68" s="105" t="s">
        <v>64</v>
      </c>
      <c r="C68" s="102" t="s">
        <v>241</v>
      </c>
      <c r="D68" s="105" t="s">
        <v>310</v>
      </c>
      <c r="E68" s="102" t="s">
        <v>210</v>
      </c>
      <c r="F68" s="102" t="s">
        <v>243</v>
      </c>
      <c r="G68" s="146">
        <v>45566</v>
      </c>
      <c r="H68" s="105" t="s">
        <v>304</v>
      </c>
      <c r="I68" s="103">
        <v>118000</v>
      </c>
      <c r="J68" s="105" t="s">
        <v>245</v>
      </c>
      <c r="K68" s="148">
        <v>9.983765</v>
      </c>
      <c r="L68" s="102">
        <v>70318</v>
      </c>
      <c r="M68" s="102">
        <v>92.5</v>
      </c>
      <c r="N68" s="148">
        <v>1</v>
      </c>
      <c r="O68" s="102">
        <v>2.5</v>
      </c>
      <c r="P68" s="102">
        <v>1</v>
      </c>
      <c r="Q68" s="102">
        <v>1990</v>
      </c>
      <c r="R68" s="102" t="s">
        <v>246</v>
      </c>
      <c r="S68" s="102" t="str" cm="1">
        <f t="array" ref="S68">_xlfn.IFS(AND('Rent Table'!$I68&gt;0,'Rent Table'!$I68&lt;=50000),"0-50,000",
AND('Rent Table'!$I68 &gt; 50000, 'Rent Table'!$I68 &lt;= 150000), "50,001-150,000",
AND('Rent Table'!$I68 &gt; 150000, 'Rent Table'!$I68 &lt;= 250000), "150,001-250,000",
AND('Rent Table'!$I68 &gt; 250000, 'Rent Table'!$I68 &lt;= 350000), "250,001-350,000",
AND('Rent Table'!$I68 &gt; 350000, 'Rent Table'!$I68 &lt;= 450000), "350,001-450,000",
AND('Rent Table'!$I68 &gt; 450000, 'Rent Table'!$I68 &lt;= 600000), "450,001-600,000",
AND('Rent Table'!$I68 &gt; 600000, 'Rent Table'!$I68 &lt;= 750000), "600,001-750,000",'Rent Table'!$I68 &gt; 750000, "750,000+",
TRUE, "Undefined"
         )</f>
        <v>50,001-150,000</v>
      </c>
    </row>
    <row r="69" spans="1:19" x14ac:dyDescent="0.45">
      <c r="A69" s="105" t="s">
        <v>324</v>
      </c>
      <c r="B69" s="105" t="s">
        <v>64</v>
      </c>
      <c r="C69" s="102" t="s">
        <v>241</v>
      </c>
      <c r="D69" s="105" t="s">
        <v>310</v>
      </c>
      <c r="E69" s="102" t="s">
        <v>210</v>
      </c>
      <c r="F69" s="102" t="s">
        <v>243</v>
      </c>
      <c r="G69" s="146">
        <v>45566</v>
      </c>
      <c r="H69" s="105" t="s">
        <v>304</v>
      </c>
      <c r="I69" s="103">
        <v>147677</v>
      </c>
      <c r="J69" s="105" t="s">
        <v>245</v>
      </c>
      <c r="K69" s="148">
        <v>14.7399</v>
      </c>
      <c r="L69" s="102">
        <v>73838</v>
      </c>
      <c r="M69" s="102">
        <v>62</v>
      </c>
      <c r="N69" s="148" t="s">
        <v>246</v>
      </c>
      <c r="O69" s="102">
        <v>2</v>
      </c>
      <c r="P69" s="102">
        <v>1</v>
      </c>
      <c r="Q69" s="102">
        <v>2006</v>
      </c>
      <c r="R69" s="102" t="s">
        <v>246</v>
      </c>
      <c r="S69" s="102" t="str" cm="1">
        <f t="array" ref="S69">_xlfn.IFS(AND('Rent Table'!$I69&gt;0,'Rent Table'!$I69&lt;=50000),"0-50,000",
AND('Rent Table'!$I69 &gt; 50000, 'Rent Table'!$I69 &lt;= 150000), "50,001-150,000",
AND('Rent Table'!$I69 &gt; 150000, 'Rent Table'!$I69 &lt;= 250000), "150,001-250,000",
AND('Rent Table'!$I69 &gt; 250000, 'Rent Table'!$I69 &lt;= 350000), "250,001-350,000",
AND('Rent Table'!$I69 &gt; 350000, 'Rent Table'!$I69 &lt;= 450000), "350,001-450,000",
AND('Rent Table'!$I69 &gt; 450000, 'Rent Table'!$I69 &lt;= 600000), "450,001-600,000",
AND('Rent Table'!$I69 &gt; 600000, 'Rent Table'!$I69 &lt;= 750000), "600,001-750,000",'Rent Table'!$I69 &gt; 750000, "750,000+",
TRUE, "Undefined"
         )</f>
        <v>50,001-150,000</v>
      </c>
    </row>
    <row r="70" spans="1:19" x14ac:dyDescent="0.45">
      <c r="A70" s="105" t="s">
        <v>325</v>
      </c>
      <c r="B70" s="105" t="s">
        <v>64</v>
      </c>
      <c r="C70" s="102" t="s">
        <v>241</v>
      </c>
      <c r="D70" s="105" t="s">
        <v>310</v>
      </c>
      <c r="E70" s="102" t="s">
        <v>210</v>
      </c>
      <c r="F70" s="102" t="s">
        <v>243</v>
      </c>
      <c r="G70" s="146">
        <v>45566</v>
      </c>
      <c r="H70" s="105" t="s">
        <v>304</v>
      </c>
      <c r="I70" s="103">
        <v>128141</v>
      </c>
      <c r="J70" s="105" t="s">
        <v>245</v>
      </c>
      <c r="K70" s="148">
        <v>9.0859000000000005</v>
      </c>
      <c r="L70" s="102">
        <v>128141</v>
      </c>
      <c r="M70" s="102">
        <v>123</v>
      </c>
      <c r="N70" s="148" t="s">
        <v>246</v>
      </c>
      <c r="O70" s="102">
        <v>3</v>
      </c>
      <c r="P70" s="102">
        <v>1</v>
      </c>
      <c r="Q70" s="102">
        <v>2008</v>
      </c>
      <c r="R70" s="102" t="s">
        <v>246</v>
      </c>
      <c r="S70" s="102" t="str" cm="1">
        <f t="array" ref="S70">_xlfn.IFS(AND('Rent Table'!$I70&gt;0,'Rent Table'!$I70&lt;=50000),"0-50,000",
AND('Rent Table'!$I70 &gt; 50000, 'Rent Table'!$I70 &lt;= 150000), "50,001-150,000",
AND('Rent Table'!$I70 &gt; 150000, 'Rent Table'!$I70 &lt;= 250000), "150,001-250,000",
AND('Rent Table'!$I70 &gt; 250000, 'Rent Table'!$I70 &lt;= 350000), "250,001-350,000",
AND('Rent Table'!$I70 &gt; 350000, 'Rent Table'!$I70 &lt;= 450000), "350,001-450,000",
AND('Rent Table'!$I70 &gt; 450000, 'Rent Table'!$I70 &lt;= 600000), "450,001-600,000",
AND('Rent Table'!$I70 &gt; 600000, 'Rent Table'!$I70 &lt;= 750000), "600,001-750,000",'Rent Table'!$I70 &gt; 750000, "750,000+",
TRUE, "Undefined"
         )</f>
        <v>50,001-150,000</v>
      </c>
    </row>
    <row r="71" spans="1:19" x14ac:dyDescent="0.45">
      <c r="A71" s="105" t="s">
        <v>326</v>
      </c>
      <c r="B71" s="105" t="s">
        <v>64</v>
      </c>
      <c r="C71" s="102" t="s">
        <v>241</v>
      </c>
      <c r="D71" s="105" t="s">
        <v>310</v>
      </c>
      <c r="E71" s="102" t="s">
        <v>210</v>
      </c>
      <c r="F71" s="102" t="s">
        <v>243</v>
      </c>
      <c r="G71" s="146">
        <v>45566</v>
      </c>
      <c r="H71" s="105" t="s">
        <v>304</v>
      </c>
      <c r="I71" s="103">
        <v>149275</v>
      </c>
      <c r="J71" s="105" t="s">
        <v>245</v>
      </c>
      <c r="K71" s="148">
        <v>9.8959799999999998</v>
      </c>
      <c r="L71" s="102">
        <v>149275</v>
      </c>
      <c r="M71" s="102">
        <v>62</v>
      </c>
      <c r="N71" s="148">
        <v>1</v>
      </c>
      <c r="O71" s="102">
        <v>2</v>
      </c>
      <c r="P71" s="102">
        <v>2</v>
      </c>
      <c r="Q71" s="102">
        <v>2008</v>
      </c>
      <c r="R71" s="102" t="s">
        <v>246</v>
      </c>
      <c r="S71" s="102" t="str" cm="1">
        <f t="array" ref="S71">_xlfn.IFS(AND('Rent Table'!$I71&gt;0,'Rent Table'!$I71&lt;=50000),"0-50,000",
AND('Rent Table'!$I71 &gt; 50000, 'Rent Table'!$I71 &lt;= 150000), "50,001-150,000",
AND('Rent Table'!$I71 &gt; 150000, 'Rent Table'!$I71 &lt;= 250000), "150,001-250,000",
AND('Rent Table'!$I71 &gt; 250000, 'Rent Table'!$I71 &lt;= 350000), "250,001-350,000",
AND('Rent Table'!$I71 &gt; 350000, 'Rent Table'!$I71 &lt;= 450000), "350,001-450,000",
AND('Rent Table'!$I71 &gt; 450000, 'Rent Table'!$I71 &lt;= 600000), "450,001-600,000",
AND('Rent Table'!$I71 &gt; 600000, 'Rent Table'!$I71 &lt;= 750000), "600,001-750,000",'Rent Table'!$I71 &gt; 750000, "750,000+",
TRUE, "Undefined"
         )</f>
        <v>50,001-150,000</v>
      </c>
    </row>
    <row r="72" spans="1:19" x14ac:dyDescent="0.45">
      <c r="A72" s="105" t="s">
        <v>327</v>
      </c>
      <c r="B72" s="105" t="s">
        <v>64</v>
      </c>
      <c r="C72" s="102" t="s">
        <v>241</v>
      </c>
      <c r="D72" s="105" t="s">
        <v>310</v>
      </c>
      <c r="E72" s="102" t="s">
        <v>210</v>
      </c>
      <c r="F72" s="102" t="s">
        <v>243</v>
      </c>
      <c r="G72" s="146">
        <v>45566</v>
      </c>
      <c r="H72" s="105" t="s">
        <v>304</v>
      </c>
      <c r="I72" s="103">
        <v>104072</v>
      </c>
      <c r="J72" s="105" t="s">
        <v>245</v>
      </c>
      <c r="K72" s="148">
        <v>14.514200000000001</v>
      </c>
      <c r="L72" s="102">
        <v>104072</v>
      </c>
      <c r="M72" s="102">
        <v>61</v>
      </c>
      <c r="N72" s="148" t="s">
        <v>246</v>
      </c>
      <c r="O72" s="102">
        <v>1</v>
      </c>
      <c r="P72" s="102">
        <v>1</v>
      </c>
      <c r="Q72" s="102">
        <v>2008</v>
      </c>
      <c r="R72" s="102" t="s">
        <v>246</v>
      </c>
      <c r="S72" s="102" t="str" cm="1">
        <f t="array" ref="S72">_xlfn.IFS(AND('Rent Table'!$I72&gt;0,'Rent Table'!$I72&lt;=50000),"0-50,000",
AND('Rent Table'!$I72 &gt; 50000, 'Rent Table'!$I72 &lt;= 150000), "50,001-150,000",
AND('Rent Table'!$I72 &gt; 150000, 'Rent Table'!$I72 &lt;= 250000), "150,001-250,000",
AND('Rent Table'!$I72 &gt; 250000, 'Rent Table'!$I72 &lt;= 350000), "250,001-350,000",
AND('Rent Table'!$I72 &gt; 350000, 'Rent Table'!$I72 &lt;= 450000), "350,001-450,000",
AND('Rent Table'!$I72 &gt; 450000, 'Rent Table'!$I72 &lt;= 600000), "450,001-600,000",
AND('Rent Table'!$I72 &gt; 600000, 'Rent Table'!$I72 &lt;= 750000), "600,001-750,000",'Rent Table'!$I72 &gt; 750000, "750,000+",
TRUE, "Undefined"
         )</f>
        <v>50,001-150,000</v>
      </c>
    </row>
    <row r="73" spans="1:19" x14ac:dyDescent="0.45">
      <c r="A73" s="105" t="s">
        <v>328</v>
      </c>
      <c r="B73" s="105" t="s">
        <v>64</v>
      </c>
      <c r="C73" s="102" t="s">
        <v>241</v>
      </c>
      <c r="D73" s="105" t="s">
        <v>316</v>
      </c>
      <c r="E73" s="102" t="s">
        <v>210</v>
      </c>
      <c r="F73" s="102" t="s">
        <v>243</v>
      </c>
      <c r="G73" s="146">
        <v>45566</v>
      </c>
      <c r="H73" s="105" t="s">
        <v>304</v>
      </c>
      <c r="I73" s="103">
        <v>179400</v>
      </c>
      <c r="J73" s="105" t="s">
        <v>245</v>
      </c>
      <c r="K73" s="148">
        <v>14.9824</v>
      </c>
      <c r="L73" s="102">
        <v>179400</v>
      </c>
      <c r="M73" s="102">
        <v>86</v>
      </c>
      <c r="N73" s="148">
        <v>12</v>
      </c>
      <c r="O73" s="102">
        <v>2</v>
      </c>
      <c r="P73" s="102" t="s">
        <v>246</v>
      </c>
      <c r="Q73" s="102">
        <v>2022</v>
      </c>
      <c r="R73" s="102" t="s">
        <v>246</v>
      </c>
      <c r="S73" s="102" t="str" cm="1">
        <f t="array" ref="S73">_xlfn.IFS(AND('Rent Table'!$I73&gt;0,'Rent Table'!$I73&lt;=50000),"0-50,000",
AND('Rent Table'!$I73 &gt; 50000, 'Rent Table'!$I73 &lt;= 150000), "50,001-150,000",
AND('Rent Table'!$I73 &gt; 150000, 'Rent Table'!$I73 &lt;= 250000), "150,001-250,000",
AND('Rent Table'!$I73 &gt; 250000, 'Rent Table'!$I73 &lt;= 350000), "250,001-350,000",
AND('Rent Table'!$I73 &gt; 350000, 'Rent Table'!$I73 &lt;= 450000), "350,001-450,000",
AND('Rent Table'!$I73 &gt; 450000, 'Rent Table'!$I73 &lt;= 600000), "450,001-600,000",
AND('Rent Table'!$I73 &gt; 600000, 'Rent Table'!$I73 &lt;= 750000), "600,001-750,000",'Rent Table'!$I73 &gt; 750000, "750,000+",
TRUE, "Undefined"
         )</f>
        <v>150,001-250,000</v>
      </c>
    </row>
    <row r="74" spans="1:19" x14ac:dyDescent="0.45">
      <c r="A74" s="105" t="s">
        <v>329</v>
      </c>
      <c r="B74" s="105" t="s">
        <v>64</v>
      </c>
      <c r="C74" s="102" t="s">
        <v>241</v>
      </c>
      <c r="D74" s="105" t="s">
        <v>316</v>
      </c>
      <c r="E74" s="102" t="s">
        <v>210</v>
      </c>
      <c r="F74" s="102" t="s">
        <v>243</v>
      </c>
      <c r="G74" s="146">
        <v>45566</v>
      </c>
      <c r="H74" s="105" t="s">
        <v>304</v>
      </c>
      <c r="I74" s="103">
        <v>156694</v>
      </c>
      <c r="J74" s="105" t="s">
        <v>245</v>
      </c>
      <c r="K74" s="148">
        <v>9.18398</v>
      </c>
      <c r="L74" s="102">
        <v>156694</v>
      </c>
      <c r="M74" s="102">
        <v>88</v>
      </c>
      <c r="N74" s="148">
        <v>6.75</v>
      </c>
      <c r="O74" s="102">
        <v>4</v>
      </c>
      <c r="P74" s="102">
        <v>1</v>
      </c>
      <c r="Q74" s="102">
        <v>2019</v>
      </c>
      <c r="R74" s="102" t="s">
        <v>246</v>
      </c>
      <c r="S74" s="102" t="str" cm="1">
        <f t="array" ref="S74">_xlfn.IFS(AND('Rent Table'!$I74&gt;0,'Rent Table'!$I74&lt;=50000),"0-50,000",
AND('Rent Table'!$I74 &gt; 50000, 'Rent Table'!$I74 &lt;= 150000), "50,001-150,000",
AND('Rent Table'!$I74 &gt; 150000, 'Rent Table'!$I74 &lt;= 250000), "150,001-250,000",
AND('Rent Table'!$I74 &gt; 250000, 'Rent Table'!$I74 &lt;= 350000), "250,001-350,000",
AND('Rent Table'!$I74 &gt; 350000, 'Rent Table'!$I74 &lt;= 450000), "350,001-450,000",
AND('Rent Table'!$I74 &gt; 450000, 'Rent Table'!$I74 &lt;= 600000), "450,001-600,000",
AND('Rent Table'!$I74 &gt; 600000, 'Rent Table'!$I74 &lt;= 750000), "600,001-750,000",'Rent Table'!$I74 &gt; 750000, "750,000+",
TRUE, "Undefined"
         )</f>
        <v>150,001-250,000</v>
      </c>
    </row>
    <row r="75" spans="1:19" x14ac:dyDescent="0.45">
      <c r="A75" s="105" t="s">
        <v>330</v>
      </c>
      <c r="B75" s="105" t="s">
        <v>64</v>
      </c>
      <c r="C75" s="102" t="s">
        <v>241</v>
      </c>
      <c r="D75" s="105" t="s">
        <v>310</v>
      </c>
      <c r="E75" s="102" t="s">
        <v>210</v>
      </c>
      <c r="F75" s="102" t="s">
        <v>243</v>
      </c>
      <c r="G75" s="146">
        <v>45566</v>
      </c>
      <c r="H75" s="105" t="s">
        <v>304</v>
      </c>
      <c r="I75" s="103">
        <v>771839</v>
      </c>
      <c r="J75" s="105" t="s">
        <v>245</v>
      </c>
      <c r="K75" s="148">
        <v>6.8924200000000004</v>
      </c>
      <c r="L75" s="102">
        <v>771839</v>
      </c>
      <c r="M75" s="102">
        <v>84</v>
      </c>
      <c r="N75" s="148">
        <v>4</v>
      </c>
      <c r="O75" s="102">
        <v>7.25</v>
      </c>
      <c r="P75" s="102">
        <v>1</v>
      </c>
      <c r="Q75" s="102">
        <v>2015</v>
      </c>
      <c r="R75" s="102" t="s">
        <v>246</v>
      </c>
      <c r="S75" s="102" t="str" cm="1">
        <f t="array" ref="S75">_xlfn.IFS(AND('Rent Table'!$I75&gt;0,'Rent Table'!$I75&lt;=50000),"0-50,000",
AND('Rent Table'!$I75 &gt; 50000, 'Rent Table'!$I75 &lt;= 150000), "50,001-150,000",
AND('Rent Table'!$I75 &gt; 150000, 'Rent Table'!$I75 &lt;= 250000), "150,001-250,000",
AND('Rent Table'!$I75 &gt; 250000, 'Rent Table'!$I75 &lt;= 350000), "250,001-350,000",
AND('Rent Table'!$I75 &gt; 350000, 'Rent Table'!$I75 &lt;= 450000), "350,001-450,000",
AND('Rent Table'!$I75 &gt; 450000, 'Rent Table'!$I75 &lt;= 600000), "450,001-600,000",
AND('Rent Table'!$I75 &gt; 600000, 'Rent Table'!$I75 &lt;= 750000), "600,001-750,000",'Rent Table'!$I75 &gt; 750000, "750,000+",
TRUE, "Undefined"
         )</f>
        <v>750,000+</v>
      </c>
    </row>
    <row r="76" spans="1:19" x14ac:dyDescent="0.45">
      <c r="A76" s="105" t="s">
        <v>331</v>
      </c>
      <c r="B76" s="105" t="s">
        <v>64</v>
      </c>
      <c r="C76" s="102" t="s">
        <v>241</v>
      </c>
      <c r="D76" s="105" t="s">
        <v>310</v>
      </c>
      <c r="E76" s="102" t="s">
        <v>210</v>
      </c>
      <c r="F76" s="102" t="s">
        <v>243</v>
      </c>
      <c r="G76" s="146">
        <v>45566</v>
      </c>
      <c r="H76" s="105" t="s">
        <v>304</v>
      </c>
      <c r="I76" s="103">
        <v>328000</v>
      </c>
      <c r="J76" s="105" t="s">
        <v>245</v>
      </c>
      <c r="K76" s="148">
        <v>12.901</v>
      </c>
      <c r="L76" s="102">
        <v>327790</v>
      </c>
      <c r="M76" s="102">
        <v>64</v>
      </c>
      <c r="N76" s="148">
        <v>2.5</v>
      </c>
      <c r="O76" s="102">
        <v>2</v>
      </c>
      <c r="P76" s="102">
        <v>1</v>
      </c>
      <c r="Q76" s="102">
        <v>2008</v>
      </c>
      <c r="R76" s="102" t="s">
        <v>246</v>
      </c>
      <c r="S76" s="102" t="str" cm="1">
        <f t="array" ref="S76">_xlfn.IFS(AND('Rent Table'!$I76&gt;0,'Rent Table'!$I76&lt;=50000),"0-50,000",
AND('Rent Table'!$I76 &gt; 50000, 'Rent Table'!$I76 &lt;= 150000), "50,001-150,000",
AND('Rent Table'!$I76 &gt; 150000, 'Rent Table'!$I76 &lt;= 250000), "150,001-250,000",
AND('Rent Table'!$I76 &gt; 250000, 'Rent Table'!$I76 &lt;= 350000), "250,001-350,000",
AND('Rent Table'!$I76 &gt; 350000, 'Rent Table'!$I76 &lt;= 450000), "350,001-450,000",
AND('Rent Table'!$I76 &gt; 450000, 'Rent Table'!$I76 &lt;= 600000), "450,001-600,000",
AND('Rent Table'!$I76 &gt; 600000, 'Rent Table'!$I76 &lt;= 750000), "600,001-750,000",'Rent Table'!$I76 &gt; 750000, "750,000+",
TRUE, "Undefined"
         )</f>
        <v>250,001-350,000</v>
      </c>
    </row>
    <row r="77" spans="1:19" x14ac:dyDescent="0.45">
      <c r="A77" s="105" t="s">
        <v>332</v>
      </c>
      <c r="B77" s="105" t="s">
        <v>64</v>
      </c>
      <c r="C77" s="102" t="s">
        <v>241</v>
      </c>
      <c r="D77" s="105" t="s">
        <v>310</v>
      </c>
      <c r="E77" s="102" t="s">
        <v>210</v>
      </c>
      <c r="F77" s="102" t="s">
        <v>243</v>
      </c>
      <c r="G77" s="146">
        <v>45566</v>
      </c>
      <c r="H77" s="105" t="s">
        <v>304</v>
      </c>
      <c r="I77" s="103">
        <v>500602</v>
      </c>
      <c r="J77" s="105" t="s">
        <v>245</v>
      </c>
      <c r="K77" s="148">
        <v>13.674950000000001</v>
      </c>
      <c r="L77" s="102">
        <v>500602</v>
      </c>
      <c r="M77" s="102">
        <v>55.25</v>
      </c>
      <c r="N77" s="148" t="s">
        <v>246</v>
      </c>
      <c r="O77" s="102" t="s">
        <v>246</v>
      </c>
      <c r="P77" s="102">
        <v>2</v>
      </c>
      <c r="Q77" s="102">
        <v>2016</v>
      </c>
      <c r="R77" s="102" t="s">
        <v>246</v>
      </c>
      <c r="S77" s="102" t="str" cm="1">
        <f t="array" ref="S77">_xlfn.IFS(AND('Rent Table'!$I77&gt;0,'Rent Table'!$I77&lt;=50000),"0-50,000",
AND('Rent Table'!$I77 &gt; 50000, 'Rent Table'!$I77 &lt;= 150000), "50,001-150,000",
AND('Rent Table'!$I77 &gt; 150000, 'Rent Table'!$I77 &lt;= 250000), "150,001-250,000",
AND('Rent Table'!$I77 &gt; 250000, 'Rent Table'!$I77 &lt;= 350000), "250,001-350,000",
AND('Rent Table'!$I77 &gt; 350000, 'Rent Table'!$I77 &lt;= 450000), "350,001-450,000",
AND('Rent Table'!$I77 &gt; 450000, 'Rent Table'!$I77 &lt;= 600000), "450,001-600,000",
AND('Rent Table'!$I77 &gt; 600000, 'Rent Table'!$I77 &lt;= 750000), "600,001-750,000",'Rent Table'!$I77 &gt; 750000, "750,000+",
TRUE, "Undefined"
         )</f>
        <v>450,001-600,000</v>
      </c>
    </row>
    <row r="78" spans="1:19" x14ac:dyDescent="0.45">
      <c r="A78" s="105" t="s">
        <v>333</v>
      </c>
      <c r="B78" s="105" t="s">
        <v>64</v>
      </c>
      <c r="C78" s="102" t="s">
        <v>241</v>
      </c>
      <c r="D78" s="105" t="s">
        <v>310</v>
      </c>
      <c r="E78" s="102" t="s">
        <v>210</v>
      </c>
      <c r="F78" s="102" t="s">
        <v>243</v>
      </c>
      <c r="G78" s="146">
        <v>45566</v>
      </c>
      <c r="H78" s="105" t="s">
        <v>304</v>
      </c>
      <c r="I78" s="103">
        <v>412000</v>
      </c>
      <c r="J78" s="105" t="s">
        <v>245</v>
      </c>
      <c r="K78" s="148">
        <v>10.017099999999999</v>
      </c>
      <c r="L78" s="102">
        <v>411879</v>
      </c>
      <c r="M78" s="102">
        <v>122</v>
      </c>
      <c r="N78" s="148">
        <v>0.55000000000000004</v>
      </c>
      <c r="O78" s="102">
        <v>2</v>
      </c>
      <c r="P78" s="102">
        <v>1</v>
      </c>
      <c r="Q78" s="102">
        <v>2007</v>
      </c>
      <c r="R78" s="102" t="s">
        <v>246</v>
      </c>
      <c r="S78" s="102" t="str" cm="1">
        <f t="array" ref="S78">_xlfn.IFS(AND('Rent Table'!$I78&gt;0,'Rent Table'!$I78&lt;=50000),"0-50,000",
AND('Rent Table'!$I78 &gt; 50000, 'Rent Table'!$I78 &lt;= 150000), "50,001-150,000",
AND('Rent Table'!$I78 &gt; 150000, 'Rent Table'!$I78 &lt;= 250000), "150,001-250,000",
AND('Rent Table'!$I78 &gt; 250000, 'Rent Table'!$I78 &lt;= 350000), "250,001-350,000",
AND('Rent Table'!$I78 &gt; 350000, 'Rent Table'!$I78 &lt;= 450000), "350,001-450,000",
AND('Rent Table'!$I78 &gt; 450000, 'Rent Table'!$I78 &lt;= 600000), "450,001-600,000",
AND('Rent Table'!$I78 &gt; 600000, 'Rent Table'!$I78 &lt;= 750000), "600,001-750,000",'Rent Table'!$I78 &gt; 750000, "750,000+",
TRUE, "Undefined"
         )</f>
        <v>350,001-450,000</v>
      </c>
    </row>
    <row r="79" spans="1:19" x14ac:dyDescent="0.45">
      <c r="A79" s="105" t="s">
        <v>334</v>
      </c>
      <c r="B79" s="105" t="s">
        <v>64</v>
      </c>
      <c r="C79" s="102" t="s">
        <v>241</v>
      </c>
      <c r="D79" s="105" t="s">
        <v>310</v>
      </c>
      <c r="E79" s="102" t="s">
        <v>210</v>
      </c>
      <c r="F79" s="102" t="s">
        <v>243</v>
      </c>
      <c r="G79" s="146">
        <v>45566</v>
      </c>
      <c r="H79" s="105" t="s">
        <v>304</v>
      </c>
      <c r="I79" s="103">
        <v>983986</v>
      </c>
      <c r="J79" s="105" t="s">
        <v>245</v>
      </c>
      <c r="K79" s="148">
        <v>10.09254</v>
      </c>
      <c r="L79" s="102">
        <v>896662</v>
      </c>
      <c r="M79" s="102">
        <v>63.5</v>
      </c>
      <c r="N79" s="148">
        <v>0.875</v>
      </c>
      <c r="O79" s="102">
        <v>2</v>
      </c>
      <c r="P79" s="102">
        <v>1</v>
      </c>
      <c r="Q79" s="102">
        <v>2004</v>
      </c>
      <c r="R79" s="102" t="s">
        <v>246</v>
      </c>
      <c r="S79" s="102" t="str" cm="1">
        <f t="array" ref="S79">_xlfn.IFS(AND('Rent Table'!$I79&gt;0,'Rent Table'!$I79&lt;=50000),"0-50,000",
AND('Rent Table'!$I79 &gt; 50000, 'Rent Table'!$I79 &lt;= 150000), "50,001-150,000",
AND('Rent Table'!$I79 &gt; 150000, 'Rent Table'!$I79 &lt;= 250000), "150,001-250,000",
AND('Rent Table'!$I79 &gt; 250000, 'Rent Table'!$I79 &lt;= 350000), "250,001-350,000",
AND('Rent Table'!$I79 &gt; 350000, 'Rent Table'!$I79 &lt;= 450000), "350,001-450,000",
AND('Rent Table'!$I79 &gt; 450000, 'Rent Table'!$I79 &lt;= 600000), "450,001-600,000",
AND('Rent Table'!$I79 &gt; 600000, 'Rent Table'!$I79 &lt;= 750000), "600,001-750,000",'Rent Table'!$I79 &gt; 750000, "750,000+",
TRUE, "Undefined"
         )</f>
        <v>750,000+</v>
      </c>
    </row>
    <row r="80" spans="1:19" x14ac:dyDescent="0.45">
      <c r="A80" s="105" t="s">
        <v>335</v>
      </c>
      <c r="B80" s="105" t="s">
        <v>64</v>
      </c>
      <c r="C80" s="102" t="s">
        <v>241</v>
      </c>
      <c r="D80" s="105" t="s">
        <v>310</v>
      </c>
      <c r="E80" s="102" t="s">
        <v>210</v>
      </c>
      <c r="F80" s="102" t="s">
        <v>243</v>
      </c>
      <c r="G80" s="146">
        <v>45566</v>
      </c>
      <c r="H80" s="105" t="s">
        <v>304</v>
      </c>
      <c r="I80" s="103">
        <v>683269</v>
      </c>
      <c r="J80" s="105" t="s">
        <v>245</v>
      </c>
      <c r="K80" s="148">
        <v>8.7058599999999995</v>
      </c>
      <c r="L80" s="102">
        <v>683269</v>
      </c>
      <c r="M80" s="102">
        <v>120</v>
      </c>
      <c r="N80" s="148">
        <v>2</v>
      </c>
      <c r="O80" s="102">
        <v>3</v>
      </c>
      <c r="P80" s="102">
        <v>1</v>
      </c>
      <c r="Q80" s="102">
        <v>2005</v>
      </c>
      <c r="R80" s="102" t="s">
        <v>246</v>
      </c>
      <c r="S80" s="102" t="str" cm="1">
        <f t="array" ref="S80">_xlfn.IFS(AND('Rent Table'!$I80&gt;0,'Rent Table'!$I80&lt;=50000),"0-50,000",
AND('Rent Table'!$I80 &gt; 50000, 'Rent Table'!$I80 &lt;= 150000), "50,001-150,000",
AND('Rent Table'!$I80 &gt; 150000, 'Rent Table'!$I80 &lt;= 250000), "150,001-250,000",
AND('Rent Table'!$I80 &gt; 250000, 'Rent Table'!$I80 &lt;= 350000), "250,001-350,000",
AND('Rent Table'!$I80 &gt; 350000, 'Rent Table'!$I80 &lt;= 450000), "350,001-450,000",
AND('Rent Table'!$I80 &gt; 450000, 'Rent Table'!$I80 &lt;= 600000), "450,001-600,000",
AND('Rent Table'!$I80 &gt; 600000, 'Rent Table'!$I80 &lt;= 750000), "600,001-750,000",'Rent Table'!$I80 &gt; 750000, "750,000+",
TRUE, "Undefined"
         )</f>
        <v>600,001-750,000</v>
      </c>
    </row>
    <row r="81" spans="1:19" x14ac:dyDescent="0.45">
      <c r="A81" s="105" t="s">
        <v>336</v>
      </c>
      <c r="B81" s="105" t="s">
        <v>64</v>
      </c>
      <c r="C81" s="102" t="s">
        <v>241</v>
      </c>
      <c r="D81" s="105" t="s">
        <v>310</v>
      </c>
      <c r="E81" s="102" t="s">
        <v>210</v>
      </c>
      <c r="F81" s="102" t="s">
        <v>243</v>
      </c>
      <c r="G81" s="146">
        <v>45566</v>
      </c>
      <c r="H81" s="105" t="s">
        <v>304</v>
      </c>
      <c r="I81" s="103">
        <v>375839</v>
      </c>
      <c r="J81" s="105" t="s">
        <v>245</v>
      </c>
      <c r="K81" s="148">
        <v>13.1526</v>
      </c>
      <c r="L81" s="102">
        <v>375839</v>
      </c>
      <c r="M81" s="102">
        <v>60</v>
      </c>
      <c r="N81" s="148" t="s">
        <v>246</v>
      </c>
      <c r="O81" s="102" t="s">
        <v>246</v>
      </c>
      <c r="P81" s="102">
        <v>1</v>
      </c>
      <c r="Q81" s="102">
        <v>2014</v>
      </c>
      <c r="R81" s="102" t="s">
        <v>246</v>
      </c>
      <c r="S81" s="102" t="str" cm="1">
        <f t="array" ref="S81">_xlfn.IFS(AND('Rent Table'!$I81&gt;0,'Rent Table'!$I81&lt;=50000),"0-50,000",
AND('Rent Table'!$I81 &gt; 50000, 'Rent Table'!$I81 &lt;= 150000), "50,001-150,000",
AND('Rent Table'!$I81 &gt; 150000, 'Rent Table'!$I81 &lt;= 250000), "150,001-250,000",
AND('Rent Table'!$I81 &gt; 250000, 'Rent Table'!$I81 &lt;= 350000), "250,001-350,000",
AND('Rent Table'!$I81 &gt; 350000, 'Rent Table'!$I81 &lt;= 450000), "350,001-450,000",
AND('Rent Table'!$I81 &gt; 450000, 'Rent Table'!$I81 &lt;= 600000), "450,001-600,000",
AND('Rent Table'!$I81 &gt; 600000, 'Rent Table'!$I81 &lt;= 750000), "600,001-750,000",'Rent Table'!$I81 &gt; 750000, "750,000+",
TRUE, "Undefined"
         )</f>
        <v>350,001-450,000</v>
      </c>
    </row>
    <row r="82" spans="1:19" x14ac:dyDescent="0.45">
      <c r="A82" s="105" t="s">
        <v>337</v>
      </c>
      <c r="B82" s="105" t="s">
        <v>64</v>
      </c>
      <c r="C82" s="102" t="s">
        <v>241</v>
      </c>
      <c r="D82" s="105" t="s">
        <v>310</v>
      </c>
      <c r="E82" s="102" t="s">
        <v>210</v>
      </c>
      <c r="F82" s="102" t="s">
        <v>243</v>
      </c>
      <c r="G82" s="146">
        <v>45566</v>
      </c>
      <c r="H82" s="105" t="s">
        <v>304</v>
      </c>
      <c r="I82" s="103">
        <v>557213</v>
      </c>
      <c r="J82" s="105" t="s">
        <v>245</v>
      </c>
      <c r="K82" s="148">
        <v>10.069100000000001</v>
      </c>
      <c r="L82" s="102">
        <v>557213</v>
      </c>
      <c r="M82" s="102">
        <v>60</v>
      </c>
      <c r="N82" s="148" t="s">
        <v>246</v>
      </c>
      <c r="O82" s="102" t="s">
        <v>246</v>
      </c>
      <c r="P82" s="102">
        <v>1</v>
      </c>
      <c r="Q82" s="102">
        <v>2012</v>
      </c>
      <c r="R82" s="102" t="s">
        <v>246</v>
      </c>
      <c r="S82" s="102" t="str" cm="1">
        <f t="array" ref="S82">_xlfn.IFS(AND('Rent Table'!$I82&gt;0,'Rent Table'!$I82&lt;=50000),"0-50,000",
AND('Rent Table'!$I82 &gt; 50000, 'Rent Table'!$I82 &lt;= 150000), "50,001-150,000",
AND('Rent Table'!$I82 &gt; 150000, 'Rent Table'!$I82 &lt;= 250000), "150,001-250,000",
AND('Rent Table'!$I82 &gt; 250000, 'Rent Table'!$I82 &lt;= 350000), "250,001-350,000",
AND('Rent Table'!$I82 &gt; 350000, 'Rent Table'!$I82 &lt;= 450000), "350,001-450,000",
AND('Rent Table'!$I82 &gt; 450000, 'Rent Table'!$I82 &lt;= 600000), "450,001-600,000",
AND('Rent Table'!$I82 &gt; 600000, 'Rent Table'!$I82 &lt;= 750000), "600,001-750,000",'Rent Table'!$I82 &gt; 750000, "750,000+",
TRUE, "Undefined"
         )</f>
        <v>450,001-600,000</v>
      </c>
    </row>
    <row r="83" spans="1:19" x14ac:dyDescent="0.45">
      <c r="A83" s="105" t="s">
        <v>338</v>
      </c>
      <c r="B83" s="105" t="s">
        <v>64</v>
      </c>
      <c r="C83" s="102" t="s">
        <v>241</v>
      </c>
      <c r="D83" s="105" t="s">
        <v>310</v>
      </c>
      <c r="E83" s="102" t="s">
        <v>210</v>
      </c>
      <c r="F83" s="102" t="s">
        <v>243</v>
      </c>
      <c r="G83" s="146">
        <v>45566</v>
      </c>
      <c r="H83" s="105" t="s">
        <v>304</v>
      </c>
      <c r="I83" s="103">
        <v>616542</v>
      </c>
      <c r="J83" s="105" t="s">
        <v>245</v>
      </c>
      <c r="K83" s="148">
        <v>8.7487100000000009</v>
      </c>
      <c r="L83" s="102">
        <v>616542</v>
      </c>
      <c r="M83" s="102">
        <v>61</v>
      </c>
      <c r="N83" s="148">
        <v>1</v>
      </c>
      <c r="O83" s="102">
        <v>1</v>
      </c>
      <c r="P83" s="102">
        <v>1</v>
      </c>
      <c r="Q83" s="102">
        <v>2011</v>
      </c>
      <c r="R83" s="102" t="s">
        <v>246</v>
      </c>
      <c r="S83" s="102" t="str" cm="1">
        <f t="array" ref="S83">_xlfn.IFS(AND('Rent Table'!$I83&gt;0,'Rent Table'!$I83&lt;=50000),"0-50,000",
AND('Rent Table'!$I83 &gt; 50000, 'Rent Table'!$I83 &lt;= 150000), "50,001-150,000",
AND('Rent Table'!$I83 &gt; 150000, 'Rent Table'!$I83 &lt;= 250000), "150,001-250,000",
AND('Rent Table'!$I83 &gt; 250000, 'Rent Table'!$I83 &lt;= 350000), "250,001-350,000",
AND('Rent Table'!$I83 &gt; 350000, 'Rent Table'!$I83 &lt;= 450000), "350,001-450,000",
AND('Rent Table'!$I83 &gt; 450000, 'Rent Table'!$I83 &lt;= 600000), "450,001-600,000",
AND('Rent Table'!$I83 &gt; 600000, 'Rent Table'!$I83 &lt;= 750000), "600,001-750,000",'Rent Table'!$I83 &gt; 750000, "750,000+",
TRUE, "Undefined"
         )</f>
        <v>600,001-750,000</v>
      </c>
    </row>
    <row r="84" spans="1:19" x14ac:dyDescent="0.45">
      <c r="A84" s="105" t="s">
        <v>339</v>
      </c>
      <c r="B84" s="105" t="s">
        <v>64</v>
      </c>
      <c r="C84" s="102" t="s">
        <v>241</v>
      </c>
      <c r="D84" s="105" t="s">
        <v>316</v>
      </c>
      <c r="E84" s="102" t="s">
        <v>210</v>
      </c>
      <c r="F84" s="102" t="s">
        <v>243</v>
      </c>
      <c r="G84" s="146">
        <v>45566</v>
      </c>
      <c r="H84" s="105" t="s">
        <v>304</v>
      </c>
      <c r="I84" s="103">
        <v>88967</v>
      </c>
      <c r="J84" s="105" t="s">
        <v>245</v>
      </c>
      <c r="K84" s="148">
        <v>13.672499999999999</v>
      </c>
      <c r="L84" s="102">
        <v>88967</v>
      </c>
      <c r="M84" s="102">
        <v>63</v>
      </c>
      <c r="N84" s="148" t="s">
        <v>246</v>
      </c>
      <c r="O84" s="102">
        <v>4</v>
      </c>
      <c r="P84" s="102">
        <v>1</v>
      </c>
      <c r="Q84" s="102">
        <v>2023</v>
      </c>
      <c r="R84" s="102" t="s">
        <v>246</v>
      </c>
      <c r="S84" s="102" t="str" cm="1">
        <f t="array" ref="S84">_xlfn.IFS(AND('Rent Table'!$I84&gt;0,'Rent Table'!$I84&lt;=50000),"0-50,000",
AND('Rent Table'!$I84 &gt; 50000, 'Rent Table'!$I84 &lt;= 150000), "50,001-150,000",
AND('Rent Table'!$I84 &gt; 150000, 'Rent Table'!$I84 &lt;= 250000), "150,001-250,000",
AND('Rent Table'!$I84 &gt; 250000, 'Rent Table'!$I84 &lt;= 350000), "250,001-350,000",
AND('Rent Table'!$I84 &gt; 350000, 'Rent Table'!$I84 &lt;= 450000), "350,001-450,000",
AND('Rent Table'!$I84 &gt; 450000, 'Rent Table'!$I84 &lt;= 600000), "450,001-600,000",
AND('Rent Table'!$I84 &gt; 600000, 'Rent Table'!$I84 &lt;= 750000), "600,001-750,000",'Rent Table'!$I84 &gt; 750000, "750,000+",
TRUE, "Undefined"
         )</f>
        <v>50,001-150,000</v>
      </c>
    </row>
    <row r="85" spans="1:19" x14ac:dyDescent="0.45">
      <c r="A85" s="105" t="s">
        <v>340</v>
      </c>
      <c r="B85" s="105" t="s">
        <v>64</v>
      </c>
      <c r="C85" s="102" t="s">
        <v>241</v>
      </c>
      <c r="D85" s="105" t="s">
        <v>316</v>
      </c>
      <c r="E85" s="102" t="s">
        <v>210</v>
      </c>
      <c r="F85" s="102" t="s">
        <v>243</v>
      </c>
      <c r="G85" s="146">
        <v>45566</v>
      </c>
      <c r="H85" s="105" t="s">
        <v>304</v>
      </c>
      <c r="I85" s="103">
        <v>83451</v>
      </c>
      <c r="J85" s="105" t="s">
        <v>245</v>
      </c>
      <c r="K85" s="148">
        <v>12.642232999999999</v>
      </c>
      <c r="L85" s="102">
        <v>19145</v>
      </c>
      <c r="M85" s="102">
        <v>84</v>
      </c>
      <c r="N85" s="148">
        <v>2</v>
      </c>
      <c r="O85" s="102" t="s">
        <v>246</v>
      </c>
      <c r="P85" s="102">
        <v>1</v>
      </c>
      <c r="Q85" s="102">
        <v>2007</v>
      </c>
      <c r="R85" s="102" t="s">
        <v>246</v>
      </c>
      <c r="S85" s="102" t="str" cm="1">
        <f t="array" ref="S85">_xlfn.IFS(AND('Rent Table'!$I85&gt;0,'Rent Table'!$I85&lt;=50000),"0-50,000",
AND('Rent Table'!$I85 &gt; 50000, 'Rent Table'!$I85 &lt;= 150000), "50,001-150,000",
AND('Rent Table'!$I85 &gt; 150000, 'Rent Table'!$I85 &lt;= 250000), "150,001-250,000",
AND('Rent Table'!$I85 &gt; 250000, 'Rent Table'!$I85 &lt;= 350000), "250,001-350,000",
AND('Rent Table'!$I85 &gt; 350000, 'Rent Table'!$I85 &lt;= 450000), "350,001-450,000",
AND('Rent Table'!$I85 &gt; 450000, 'Rent Table'!$I85 &lt;= 600000), "450,001-600,000",
AND('Rent Table'!$I85 &gt; 600000, 'Rent Table'!$I85 &lt;= 750000), "600,001-750,000",'Rent Table'!$I85 &gt; 750000, "750,000+",
TRUE, "Undefined"
         )</f>
        <v>50,001-150,000</v>
      </c>
    </row>
    <row r="86" spans="1:19" x14ac:dyDescent="0.45">
      <c r="A86" s="105" t="s">
        <v>341</v>
      </c>
      <c r="B86" s="105" t="s">
        <v>64</v>
      </c>
      <c r="C86" s="102" t="s">
        <v>241</v>
      </c>
      <c r="D86" s="105" t="s">
        <v>310</v>
      </c>
      <c r="E86" s="102" t="s">
        <v>210</v>
      </c>
      <c r="F86" s="102" t="s">
        <v>243</v>
      </c>
      <c r="G86" s="146">
        <v>45566</v>
      </c>
      <c r="H86" s="105" t="s">
        <v>304</v>
      </c>
      <c r="I86" s="103">
        <v>99582</v>
      </c>
      <c r="J86" s="105" t="s">
        <v>245</v>
      </c>
      <c r="K86" s="148">
        <v>11.653499999999999</v>
      </c>
      <c r="L86" s="102">
        <v>99580</v>
      </c>
      <c r="M86" s="102">
        <v>124</v>
      </c>
      <c r="N86" s="148">
        <v>1.6</v>
      </c>
      <c r="O86" s="102">
        <v>4</v>
      </c>
      <c r="P86" s="102">
        <v>1</v>
      </c>
      <c r="Q86" s="102">
        <v>2008</v>
      </c>
      <c r="R86" s="102" t="s">
        <v>246</v>
      </c>
      <c r="S86" s="102" t="str" cm="1">
        <f t="array" ref="S86">_xlfn.IFS(AND('Rent Table'!$I86&gt;0,'Rent Table'!$I86&lt;=50000),"0-50,000",
AND('Rent Table'!$I86 &gt; 50000, 'Rent Table'!$I86 &lt;= 150000), "50,001-150,000",
AND('Rent Table'!$I86 &gt; 150000, 'Rent Table'!$I86 &lt;= 250000), "150,001-250,000",
AND('Rent Table'!$I86 &gt; 250000, 'Rent Table'!$I86 &lt;= 350000), "250,001-350,000",
AND('Rent Table'!$I86 &gt; 350000, 'Rent Table'!$I86 &lt;= 450000), "350,001-450,000",
AND('Rent Table'!$I86 &gt; 450000, 'Rent Table'!$I86 &lt;= 600000), "450,001-600,000",
AND('Rent Table'!$I86 &gt; 600000, 'Rent Table'!$I86 &lt;= 750000), "600,001-750,000",'Rent Table'!$I86 &gt; 750000, "750,000+",
TRUE, "Undefined"
         )</f>
        <v>50,001-150,000</v>
      </c>
    </row>
    <row r="87" spans="1:19" x14ac:dyDescent="0.45">
      <c r="A87" s="105" t="s">
        <v>342</v>
      </c>
      <c r="B87" s="105" t="s">
        <v>64</v>
      </c>
      <c r="C87" s="102" t="s">
        <v>241</v>
      </c>
      <c r="D87" s="105" t="s">
        <v>310</v>
      </c>
      <c r="E87" s="102" t="s">
        <v>210</v>
      </c>
      <c r="F87" s="102" t="s">
        <v>243</v>
      </c>
      <c r="G87" s="146">
        <v>45566</v>
      </c>
      <c r="H87" s="105" t="s">
        <v>304</v>
      </c>
      <c r="I87" s="103">
        <v>99363</v>
      </c>
      <c r="J87" s="105" t="s">
        <v>245</v>
      </c>
      <c r="K87" s="148">
        <v>10.044700000000001</v>
      </c>
      <c r="L87" s="102">
        <v>99363</v>
      </c>
      <c r="M87" s="102">
        <v>61</v>
      </c>
      <c r="N87" s="148" t="s">
        <v>246</v>
      </c>
      <c r="O87" s="102">
        <v>1</v>
      </c>
      <c r="P87" s="102">
        <v>1</v>
      </c>
      <c r="Q87" s="102">
        <v>2008</v>
      </c>
      <c r="R87" s="102" t="s">
        <v>246</v>
      </c>
      <c r="S87" s="102" t="str" cm="1">
        <f t="array" ref="S87">_xlfn.IFS(AND('Rent Table'!$I87&gt;0,'Rent Table'!$I87&lt;=50000),"0-50,000",
AND('Rent Table'!$I87 &gt; 50000, 'Rent Table'!$I87 &lt;= 150000), "50,001-150,000",
AND('Rent Table'!$I87 &gt; 150000, 'Rent Table'!$I87 &lt;= 250000), "150,001-250,000",
AND('Rent Table'!$I87 &gt; 250000, 'Rent Table'!$I87 &lt;= 350000), "250,001-350,000",
AND('Rent Table'!$I87 &gt; 350000, 'Rent Table'!$I87 &lt;= 450000), "350,001-450,000",
AND('Rent Table'!$I87 &gt; 450000, 'Rent Table'!$I87 &lt;= 600000), "450,001-600,000",
AND('Rent Table'!$I87 &gt; 600000, 'Rent Table'!$I87 &lt;= 750000), "600,001-750,000",'Rent Table'!$I87 &gt; 750000, "750,000+",
TRUE, "Undefined"
         )</f>
        <v>50,001-150,000</v>
      </c>
    </row>
    <row r="88" spans="1:19" x14ac:dyDescent="0.45">
      <c r="A88" s="105" t="s">
        <v>343</v>
      </c>
      <c r="B88" s="105" t="s">
        <v>221</v>
      </c>
      <c r="C88" s="102" t="s">
        <v>241</v>
      </c>
      <c r="D88" s="105" t="s">
        <v>344</v>
      </c>
      <c r="E88" s="102" t="s">
        <v>210</v>
      </c>
      <c r="F88" s="102" t="s">
        <v>243</v>
      </c>
      <c r="G88" s="146">
        <v>45566</v>
      </c>
      <c r="H88" s="105" t="s">
        <v>304</v>
      </c>
      <c r="I88" s="103">
        <v>72000</v>
      </c>
      <c r="J88" s="105" t="s">
        <v>245</v>
      </c>
      <c r="K88" s="148">
        <v>12.299099999999999</v>
      </c>
      <c r="L88" s="102">
        <v>72000</v>
      </c>
      <c r="M88" s="102">
        <v>89</v>
      </c>
      <c r="N88" s="148">
        <v>2.33</v>
      </c>
      <c r="O88" s="102">
        <v>2</v>
      </c>
      <c r="P88" s="102" t="s">
        <v>246</v>
      </c>
      <c r="Q88" s="102">
        <v>1986</v>
      </c>
      <c r="R88" s="102" t="s">
        <v>246</v>
      </c>
      <c r="S88" s="102" t="str" cm="1">
        <f t="array" ref="S88">_xlfn.IFS(AND('Rent Table'!$I88&gt;0,'Rent Table'!$I88&lt;=50000),"0-50,000",
AND('Rent Table'!$I88 &gt; 50000, 'Rent Table'!$I88 &lt;= 150000), "50,001-150,000",
AND('Rent Table'!$I88 &gt; 150000, 'Rent Table'!$I88 &lt;= 250000), "150,001-250,000",
AND('Rent Table'!$I88 &gt; 250000, 'Rent Table'!$I88 &lt;= 350000), "250,001-350,000",
AND('Rent Table'!$I88 &gt; 350000, 'Rent Table'!$I88 &lt;= 450000), "350,001-450,000",
AND('Rent Table'!$I88 &gt; 450000, 'Rent Table'!$I88 &lt;= 600000), "450,001-600,000",
AND('Rent Table'!$I88 &gt; 600000, 'Rent Table'!$I88 &lt;= 750000), "600,001-750,000",'Rent Table'!$I88 &gt; 750000, "750,000+",
TRUE, "Undefined"
         )</f>
        <v>50,001-150,000</v>
      </c>
    </row>
    <row r="89" spans="1:19" x14ac:dyDescent="0.45">
      <c r="A89" s="105" t="s">
        <v>345</v>
      </c>
      <c r="B89" s="105" t="s">
        <v>221</v>
      </c>
      <c r="C89" s="102" t="s">
        <v>241</v>
      </c>
      <c r="D89" s="105" t="s">
        <v>344</v>
      </c>
      <c r="E89" s="102" t="s">
        <v>210</v>
      </c>
      <c r="F89" s="102" t="s">
        <v>243</v>
      </c>
      <c r="G89" s="146">
        <v>45566</v>
      </c>
      <c r="H89" s="105" t="s">
        <v>304</v>
      </c>
      <c r="I89" s="103">
        <v>19142</v>
      </c>
      <c r="J89" s="105" t="s">
        <v>245</v>
      </c>
      <c r="K89" s="148">
        <v>11.850199999999999</v>
      </c>
      <c r="L89" s="102">
        <v>19142</v>
      </c>
      <c r="M89" s="102">
        <v>120</v>
      </c>
      <c r="N89" s="148" t="s">
        <v>246</v>
      </c>
      <c r="O89" s="102">
        <v>4</v>
      </c>
      <c r="P89" s="102">
        <v>1</v>
      </c>
      <c r="Q89" s="102">
        <v>2008</v>
      </c>
      <c r="R89" s="102" t="s">
        <v>246</v>
      </c>
      <c r="S89" s="102" t="str" cm="1">
        <f t="array" ref="S89">_xlfn.IFS(AND('Rent Table'!$I89&gt;0,'Rent Table'!$I89&lt;=50000),"0-50,000",
AND('Rent Table'!$I89 &gt; 50000, 'Rent Table'!$I89 &lt;= 150000), "50,001-150,000",
AND('Rent Table'!$I89 &gt; 150000, 'Rent Table'!$I89 &lt;= 250000), "150,001-250,000",
AND('Rent Table'!$I89 &gt; 250000, 'Rent Table'!$I89 &lt;= 350000), "250,001-350,000",
AND('Rent Table'!$I89 &gt; 350000, 'Rent Table'!$I89 &lt;= 450000), "350,001-450,000",
AND('Rent Table'!$I89 &gt; 450000, 'Rent Table'!$I89 &lt;= 600000), "450,001-600,000",
AND('Rent Table'!$I89 &gt; 600000, 'Rent Table'!$I89 &lt;= 750000), "600,001-750,000",'Rent Table'!$I89 &gt; 750000, "750,000+",
TRUE, "Undefined"
         )</f>
        <v>0-50,000</v>
      </c>
    </row>
    <row r="90" spans="1:19" x14ac:dyDescent="0.45">
      <c r="A90" s="105" t="s">
        <v>346</v>
      </c>
      <c r="B90" s="105" t="s">
        <v>221</v>
      </c>
      <c r="C90" s="102" t="s">
        <v>241</v>
      </c>
      <c r="D90" s="105" t="s">
        <v>344</v>
      </c>
      <c r="E90" s="102" t="s">
        <v>210</v>
      </c>
      <c r="F90" s="102" t="s">
        <v>243</v>
      </c>
      <c r="G90" s="146">
        <v>45566</v>
      </c>
      <c r="H90" s="105" t="s">
        <v>304</v>
      </c>
      <c r="I90" s="103">
        <v>553592</v>
      </c>
      <c r="J90" s="105" t="s">
        <v>245</v>
      </c>
      <c r="K90" s="148">
        <v>7.35182</v>
      </c>
      <c r="L90" s="102">
        <v>553592</v>
      </c>
      <c r="M90" s="102">
        <v>88</v>
      </c>
      <c r="N90" s="148">
        <v>7</v>
      </c>
      <c r="O90" s="102">
        <v>4</v>
      </c>
      <c r="P90" s="102">
        <v>1</v>
      </c>
      <c r="Q90" s="102">
        <v>2018</v>
      </c>
      <c r="R90" s="102" t="s">
        <v>246</v>
      </c>
      <c r="S90" s="102" t="str" cm="1">
        <f t="array" ref="S90">_xlfn.IFS(AND('Rent Table'!$I90&gt;0,'Rent Table'!$I90&lt;=50000),"0-50,000",
AND('Rent Table'!$I90 &gt; 50000, 'Rent Table'!$I90 &lt;= 150000), "50,001-150,000",
AND('Rent Table'!$I90 &gt; 150000, 'Rent Table'!$I90 &lt;= 250000), "150,001-250,000",
AND('Rent Table'!$I90 &gt; 250000, 'Rent Table'!$I90 &lt;= 350000), "250,001-350,000",
AND('Rent Table'!$I90 &gt; 350000, 'Rent Table'!$I90 &lt;= 450000), "350,001-450,000",
AND('Rent Table'!$I90 &gt; 450000, 'Rent Table'!$I90 &lt;= 600000), "450,001-600,000",
AND('Rent Table'!$I90 &gt; 600000, 'Rent Table'!$I90 &lt;= 750000), "600,001-750,000",'Rent Table'!$I90 &gt; 750000, "750,000+",
TRUE, "Undefined"
         )</f>
        <v>450,001-600,000</v>
      </c>
    </row>
    <row r="91" spans="1:19" x14ac:dyDescent="0.45">
      <c r="A91" s="105" t="s">
        <v>347</v>
      </c>
      <c r="B91" s="105" t="s">
        <v>221</v>
      </c>
      <c r="C91" s="102" t="s">
        <v>241</v>
      </c>
      <c r="D91" s="105" t="s">
        <v>344</v>
      </c>
      <c r="E91" s="102" t="s">
        <v>210</v>
      </c>
      <c r="F91" s="102" t="s">
        <v>243</v>
      </c>
      <c r="G91" s="146">
        <v>45566</v>
      </c>
      <c r="H91" s="105" t="s">
        <v>304</v>
      </c>
      <c r="I91" s="103">
        <v>81286</v>
      </c>
      <c r="J91" s="105" t="s">
        <v>245</v>
      </c>
      <c r="K91" s="148">
        <v>14.355</v>
      </c>
      <c r="L91" s="102">
        <v>81286</v>
      </c>
      <c r="M91" s="102">
        <v>37</v>
      </c>
      <c r="N91" s="148" t="s">
        <v>246</v>
      </c>
      <c r="O91" s="102">
        <v>1</v>
      </c>
      <c r="P91" s="102">
        <v>2</v>
      </c>
      <c r="Q91" s="102">
        <v>2018</v>
      </c>
      <c r="R91" s="102" t="s">
        <v>246</v>
      </c>
      <c r="S91" s="102" t="str" cm="1">
        <f t="array" ref="S91">_xlfn.IFS(AND('Rent Table'!$I91&gt;0,'Rent Table'!$I91&lt;=50000),"0-50,000",
AND('Rent Table'!$I91 &gt; 50000, 'Rent Table'!$I91 &lt;= 150000), "50,001-150,000",
AND('Rent Table'!$I91 &gt; 150000, 'Rent Table'!$I91 &lt;= 250000), "150,001-250,000",
AND('Rent Table'!$I91 &gt; 250000, 'Rent Table'!$I91 &lt;= 350000), "250,001-350,000",
AND('Rent Table'!$I91 &gt; 350000, 'Rent Table'!$I91 &lt;= 450000), "350,001-450,000",
AND('Rent Table'!$I91 &gt; 450000, 'Rent Table'!$I91 &lt;= 600000), "450,001-600,000",
AND('Rent Table'!$I91 &gt; 600000, 'Rent Table'!$I91 &lt;= 750000), "600,001-750,000",'Rent Table'!$I91 &gt; 750000, "750,000+",
TRUE, "Undefined"
         )</f>
        <v>50,001-150,000</v>
      </c>
    </row>
    <row r="92" spans="1:19" x14ac:dyDescent="0.45">
      <c r="A92" s="105" t="s">
        <v>348</v>
      </c>
      <c r="B92" s="105" t="s">
        <v>221</v>
      </c>
      <c r="C92" s="102" t="s">
        <v>241</v>
      </c>
      <c r="D92" s="105" t="s">
        <v>344</v>
      </c>
      <c r="E92" s="102" t="s">
        <v>210</v>
      </c>
      <c r="F92" s="102" t="s">
        <v>243</v>
      </c>
      <c r="G92" s="146">
        <v>45566</v>
      </c>
      <c r="H92" s="105" t="s">
        <v>304</v>
      </c>
      <c r="I92" s="103">
        <v>65360</v>
      </c>
      <c r="J92" s="105" t="s">
        <v>245</v>
      </c>
      <c r="K92" s="148">
        <v>11.1859</v>
      </c>
      <c r="L92" s="102">
        <v>43600</v>
      </c>
      <c r="M92" s="102">
        <v>89</v>
      </c>
      <c r="N92" s="148" t="s">
        <v>246</v>
      </c>
      <c r="O92" s="102">
        <v>4</v>
      </c>
      <c r="P92" s="102" t="s">
        <v>246</v>
      </c>
      <c r="Q92" s="102">
        <v>1989</v>
      </c>
      <c r="R92" s="102" t="s">
        <v>246</v>
      </c>
      <c r="S92" s="102" t="str" cm="1">
        <f t="array" ref="S92">_xlfn.IFS(AND('Rent Table'!$I92&gt;0,'Rent Table'!$I92&lt;=50000),"0-50,000",
AND('Rent Table'!$I92 &gt; 50000, 'Rent Table'!$I92 &lt;= 150000), "50,001-150,000",
AND('Rent Table'!$I92 &gt; 150000, 'Rent Table'!$I92 &lt;= 250000), "150,001-250,000",
AND('Rent Table'!$I92 &gt; 250000, 'Rent Table'!$I92 &lt;= 350000), "250,001-350,000",
AND('Rent Table'!$I92 &gt; 350000, 'Rent Table'!$I92 &lt;= 450000), "350,001-450,000",
AND('Rent Table'!$I92 &gt; 450000, 'Rent Table'!$I92 &lt;= 600000), "450,001-600,000",
AND('Rent Table'!$I92 &gt; 600000, 'Rent Table'!$I92 &lt;= 750000), "600,001-750,000",'Rent Table'!$I92 &gt; 750000, "750,000+",
TRUE, "Undefined"
         )</f>
        <v>50,001-150,000</v>
      </c>
    </row>
    <row r="93" spans="1:19" x14ac:dyDescent="0.45">
      <c r="A93" s="105" t="s">
        <v>349</v>
      </c>
      <c r="B93" s="105" t="s">
        <v>221</v>
      </c>
      <c r="C93" s="102" t="s">
        <v>241</v>
      </c>
      <c r="D93" s="105" t="s">
        <v>344</v>
      </c>
      <c r="E93" s="102" t="s">
        <v>210</v>
      </c>
      <c r="F93" s="102" t="s">
        <v>243</v>
      </c>
      <c r="G93" s="146">
        <v>45566</v>
      </c>
      <c r="H93" s="105" t="s">
        <v>304</v>
      </c>
      <c r="I93" s="103">
        <v>23748</v>
      </c>
      <c r="J93" s="105" t="s">
        <v>245</v>
      </c>
      <c r="K93" s="148">
        <v>11.743167</v>
      </c>
      <c r="L93" s="102">
        <v>8246.6669999999995</v>
      </c>
      <c r="M93" s="102">
        <v>61</v>
      </c>
      <c r="N93" s="148" t="s">
        <v>246</v>
      </c>
      <c r="O93" s="102">
        <v>2.3333333000000001</v>
      </c>
      <c r="P93" s="102" t="s">
        <v>246</v>
      </c>
      <c r="Q93" s="102">
        <v>1988</v>
      </c>
      <c r="R93" s="102" t="s">
        <v>246</v>
      </c>
      <c r="S93" s="102" t="str" cm="1">
        <f t="array" ref="S93">_xlfn.IFS(AND('Rent Table'!$I93&gt;0,'Rent Table'!$I93&lt;=50000),"0-50,000",
AND('Rent Table'!$I93 &gt; 50000, 'Rent Table'!$I93 &lt;= 150000), "50,001-150,000",
AND('Rent Table'!$I93 &gt; 150000, 'Rent Table'!$I93 &lt;= 250000), "150,001-250,000",
AND('Rent Table'!$I93 &gt; 250000, 'Rent Table'!$I93 &lt;= 350000), "250,001-350,000",
AND('Rent Table'!$I93 &gt; 350000, 'Rent Table'!$I93 &lt;= 450000), "350,001-450,000",
AND('Rent Table'!$I93 &gt; 450000, 'Rent Table'!$I93 &lt;= 600000), "450,001-600,000",
AND('Rent Table'!$I93 &gt; 600000, 'Rent Table'!$I93 &lt;= 750000), "600,001-750,000",'Rent Table'!$I93 &gt; 750000, "750,000+",
TRUE, "Undefined"
         )</f>
        <v>0-50,000</v>
      </c>
    </row>
    <row r="94" spans="1:19" x14ac:dyDescent="0.45">
      <c r="A94" s="105" t="s">
        <v>350</v>
      </c>
      <c r="B94" s="105" t="s">
        <v>221</v>
      </c>
      <c r="C94" s="102" t="s">
        <v>241</v>
      </c>
      <c r="D94" s="105" t="s">
        <v>344</v>
      </c>
      <c r="E94" s="102" t="s">
        <v>210</v>
      </c>
      <c r="F94" s="102" t="s">
        <v>243</v>
      </c>
      <c r="G94" s="146">
        <v>45566</v>
      </c>
      <c r="H94" s="105" t="s">
        <v>304</v>
      </c>
      <c r="I94" s="103">
        <v>6600</v>
      </c>
      <c r="J94" s="105" t="s">
        <v>245</v>
      </c>
      <c r="K94" s="148">
        <v>10.9107</v>
      </c>
      <c r="L94" s="102">
        <v>6600</v>
      </c>
      <c r="M94" s="102">
        <v>36</v>
      </c>
      <c r="N94" s="148" t="s">
        <v>246</v>
      </c>
      <c r="O94" s="102" t="s">
        <v>246</v>
      </c>
      <c r="P94" s="102">
        <v>1</v>
      </c>
      <c r="Q94" s="102">
        <v>1989</v>
      </c>
      <c r="R94" s="102" t="s">
        <v>246</v>
      </c>
      <c r="S94" s="102" t="str" cm="1">
        <f t="array" ref="S94">_xlfn.IFS(AND('Rent Table'!$I94&gt;0,'Rent Table'!$I94&lt;=50000),"0-50,000",
AND('Rent Table'!$I94 &gt; 50000, 'Rent Table'!$I94 &lt;= 150000), "50,001-150,000",
AND('Rent Table'!$I94 &gt; 150000, 'Rent Table'!$I94 &lt;= 250000), "150,001-250,000",
AND('Rent Table'!$I94 &gt; 250000, 'Rent Table'!$I94 &lt;= 350000), "250,001-350,000",
AND('Rent Table'!$I94 &gt; 350000, 'Rent Table'!$I94 &lt;= 450000), "350,001-450,000",
AND('Rent Table'!$I94 &gt; 450000, 'Rent Table'!$I94 &lt;= 600000), "450,001-600,000",
AND('Rent Table'!$I94 &gt; 600000, 'Rent Table'!$I94 &lt;= 750000), "600,001-750,000",'Rent Table'!$I94 &gt; 750000, "750,000+",
TRUE, "Undefined"
         )</f>
        <v>0-50,000</v>
      </c>
    </row>
    <row r="95" spans="1:19" x14ac:dyDescent="0.45">
      <c r="A95" s="105" t="s">
        <v>351</v>
      </c>
      <c r="B95" s="105" t="s">
        <v>221</v>
      </c>
      <c r="C95" s="102" t="s">
        <v>241</v>
      </c>
      <c r="D95" s="105" t="s">
        <v>344</v>
      </c>
      <c r="E95" s="102" t="s">
        <v>210</v>
      </c>
      <c r="F95" s="102" t="s">
        <v>243</v>
      </c>
      <c r="G95" s="146">
        <v>45566</v>
      </c>
      <c r="H95" s="105" t="s">
        <v>304</v>
      </c>
      <c r="I95" s="103">
        <v>344000</v>
      </c>
      <c r="J95" s="105" t="s">
        <v>245</v>
      </c>
      <c r="K95" s="148">
        <v>8.3992699999999996</v>
      </c>
      <c r="L95" s="102">
        <v>205398</v>
      </c>
      <c r="M95" s="102">
        <v>126</v>
      </c>
      <c r="N95" s="148">
        <v>5</v>
      </c>
      <c r="O95" s="102">
        <v>6</v>
      </c>
      <c r="P95" s="102">
        <v>1</v>
      </c>
      <c r="Q95" s="102">
        <v>2018</v>
      </c>
      <c r="R95" s="102" t="s">
        <v>246</v>
      </c>
      <c r="S95" s="102" t="str" cm="1">
        <f t="array" ref="S95">_xlfn.IFS(AND('Rent Table'!$I95&gt;0,'Rent Table'!$I95&lt;=50000),"0-50,000",
AND('Rent Table'!$I95 &gt; 50000, 'Rent Table'!$I95 &lt;= 150000), "50,001-150,000",
AND('Rent Table'!$I95 &gt; 150000, 'Rent Table'!$I95 &lt;= 250000), "150,001-250,000",
AND('Rent Table'!$I95 &gt; 250000, 'Rent Table'!$I95 &lt;= 350000), "250,001-350,000",
AND('Rent Table'!$I95 &gt; 350000, 'Rent Table'!$I95 &lt;= 450000), "350,001-450,000",
AND('Rent Table'!$I95 &gt; 450000, 'Rent Table'!$I95 &lt;= 600000), "450,001-600,000",
AND('Rent Table'!$I95 &gt; 600000, 'Rent Table'!$I95 &lt;= 750000), "600,001-750,000",'Rent Table'!$I95 &gt; 750000, "750,000+",
TRUE, "Undefined"
         )</f>
        <v>250,001-350,000</v>
      </c>
    </row>
    <row r="96" spans="1:19" x14ac:dyDescent="0.45">
      <c r="A96" s="105" t="s">
        <v>352</v>
      </c>
      <c r="B96" s="105" t="s">
        <v>221</v>
      </c>
      <c r="C96" s="102" t="s">
        <v>241</v>
      </c>
      <c r="D96" s="105" t="s">
        <v>344</v>
      </c>
      <c r="E96" s="102" t="s">
        <v>210</v>
      </c>
      <c r="F96" s="102" t="s">
        <v>243</v>
      </c>
      <c r="G96" s="146">
        <v>45566</v>
      </c>
      <c r="H96" s="105" t="s">
        <v>304</v>
      </c>
      <c r="I96" s="103">
        <v>116645</v>
      </c>
      <c r="J96" s="105" t="s">
        <v>245</v>
      </c>
      <c r="K96" s="148">
        <v>16.582999999999998</v>
      </c>
      <c r="L96" s="102">
        <v>116645</v>
      </c>
      <c r="M96" s="102">
        <v>36</v>
      </c>
      <c r="N96" s="148" t="s">
        <v>246</v>
      </c>
      <c r="O96" s="102" t="s">
        <v>246</v>
      </c>
      <c r="P96" s="102">
        <v>1</v>
      </c>
      <c r="Q96" s="102">
        <v>1980</v>
      </c>
      <c r="R96" s="102" t="s">
        <v>246</v>
      </c>
      <c r="S96" s="102" t="str" cm="1">
        <f t="array" ref="S96">_xlfn.IFS(AND('Rent Table'!$I96&gt;0,'Rent Table'!$I96&lt;=50000),"0-50,000",
AND('Rent Table'!$I96 &gt; 50000, 'Rent Table'!$I96 &lt;= 150000), "50,001-150,000",
AND('Rent Table'!$I96 &gt; 150000, 'Rent Table'!$I96 &lt;= 250000), "150,001-250,000",
AND('Rent Table'!$I96 &gt; 250000, 'Rent Table'!$I96 &lt;= 350000), "250,001-350,000",
AND('Rent Table'!$I96 &gt; 350000, 'Rent Table'!$I96 &lt;= 450000), "350,001-450,000",
AND('Rent Table'!$I96 &gt; 450000, 'Rent Table'!$I96 &lt;= 600000), "450,001-600,000",
AND('Rent Table'!$I96 &gt; 600000, 'Rent Table'!$I96 &lt;= 750000), "600,001-750,000",'Rent Table'!$I96 &gt; 750000, "750,000+",
TRUE, "Undefined"
         )</f>
        <v>50,001-150,000</v>
      </c>
    </row>
    <row r="97" spans="1:19" x14ac:dyDescent="0.45">
      <c r="A97" s="105" t="s">
        <v>353</v>
      </c>
      <c r="B97" s="105" t="s">
        <v>221</v>
      </c>
      <c r="C97" s="102" t="s">
        <v>241</v>
      </c>
      <c r="D97" s="105" t="s">
        <v>344</v>
      </c>
      <c r="E97" s="102" t="s">
        <v>210</v>
      </c>
      <c r="F97" s="102" t="s">
        <v>243</v>
      </c>
      <c r="G97" s="146">
        <v>45566</v>
      </c>
      <c r="H97" s="105" t="s">
        <v>304</v>
      </c>
      <c r="I97" s="103">
        <v>18710</v>
      </c>
      <c r="J97" s="105" t="s">
        <v>245</v>
      </c>
      <c r="K97" s="148">
        <v>10.7996</v>
      </c>
      <c r="L97" s="102">
        <v>8160</v>
      </c>
      <c r="M97" s="102">
        <v>36</v>
      </c>
      <c r="N97" s="148" t="s">
        <v>246</v>
      </c>
      <c r="O97" s="102" t="s">
        <v>246</v>
      </c>
      <c r="P97" s="102">
        <v>1</v>
      </c>
      <c r="Q97" s="102">
        <v>1982</v>
      </c>
      <c r="R97" s="102" t="s">
        <v>246</v>
      </c>
      <c r="S97" s="102" t="str" cm="1">
        <f t="array" ref="S97">_xlfn.IFS(AND('Rent Table'!$I97&gt;0,'Rent Table'!$I97&lt;=50000),"0-50,000",
AND('Rent Table'!$I97 &gt; 50000, 'Rent Table'!$I97 &lt;= 150000), "50,001-150,000",
AND('Rent Table'!$I97 &gt; 150000, 'Rent Table'!$I97 &lt;= 250000), "150,001-250,000",
AND('Rent Table'!$I97 &gt; 250000, 'Rent Table'!$I97 &lt;= 350000), "250,001-350,000",
AND('Rent Table'!$I97 &gt; 350000, 'Rent Table'!$I97 &lt;= 450000), "350,001-450,000",
AND('Rent Table'!$I97 &gt; 450000, 'Rent Table'!$I97 &lt;= 600000), "450,001-600,000",
AND('Rent Table'!$I97 &gt; 600000, 'Rent Table'!$I97 &lt;= 750000), "600,001-750,000",'Rent Table'!$I97 &gt; 750000, "750,000+",
TRUE, "Undefined"
         )</f>
        <v>0-50,000</v>
      </c>
    </row>
    <row r="98" spans="1:19" x14ac:dyDescent="0.45">
      <c r="A98" s="105" t="s">
        <v>354</v>
      </c>
      <c r="B98" s="105" t="s">
        <v>221</v>
      </c>
      <c r="C98" s="102" t="s">
        <v>241</v>
      </c>
      <c r="D98" s="105" t="s">
        <v>344</v>
      </c>
      <c r="E98" s="102" t="s">
        <v>210</v>
      </c>
      <c r="F98" s="102" t="s">
        <v>243</v>
      </c>
      <c r="G98" s="146">
        <v>45566</v>
      </c>
      <c r="H98" s="105" t="s">
        <v>304</v>
      </c>
      <c r="I98" s="103">
        <v>8000</v>
      </c>
      <c r="J98" s="105" t="s">
        <v>245</v>
      </c>
      <c r="K98" s="148">
        <v>15.5779</v>
      </c>
      <c r="L98" s="102">
        <v>8000</v>
      </c>
      <c r="M98" s="102">
        <v>59.75</v>
      </c>
      <c r="N98" s="148" t="s">
        <v>246</v>
      </c>
      <c r="O98" s="102">
        <v>1</v>
      </c>
      <c r="P98" s="102">
        <v>1</v>
      </c>
      <c r="Q98" s="102">
        <v>1980</v>
      </c>
      <c r="R98" s="102" t="s">
        <v>246</v>
      </c>
      <c r="S98" s="102" t="str" cm="1">
        <f t="array" ref="S98">_xlfn.IFS(AND('Rent Table'!$I98&gt;0,'Rent Table'!$I98&lt;=50000),"0-50,000",
AND('Rent Table'!$I98 &gt; 50000, 'Rent Table'!$I98 &lt;= 150000), "50,001-150,000",
AND('Rent Table'!$I98 &gt; 150000, 'Rent Table'!$I98 &lt;= 250000), "150,001-250,000",
AND('Rent Table'!$I98 &gt; 250000, 'Rent Table'!$I98 &lt;= 350000), "250,001-350,000",
AND('Rent Table'!$I98 &gt; 350000, 'Rent Table'!$I98 &lt;= 450000), "350,001-450,000",
AND('Rent Table'!$I98 &gt; 450000, 'Rent Table'!$I98 &lt;= 600000), "450,001-600,000",
AND('Rent Table'!$I98 &gt; 600000, 'Rent Table'!$I98 &lt;= 750000), "600,001-750,000",'Rent Table'!$I98 &gt; 750000, "750,000+",
TRUE, "Undefined"
         )</f>
        <v>0-50,000</v>
      </c>
    </row>
    <row r="99" spans="1:19" x14ac:dyDescent="0.45">
      <c r="A99" s="105" t="s">
        <v>355</v>
      </c>
      <c r="B99" s="105" t="s">
        <v>221</v>
      </c>
      <c r="C99" s="102" t="s">
        <v>241</v>
      </c>
      <c r="D99" s="105" t="s">
        <v>344</v>
      </c>
      <c r="E99" s="102" t="s">
        <v>210</v>
      </c>
      <c r="F99" s="102" t="s">
        <v>243</v>
      </c>
      <c r="G99" s="146">
        <v>45566</v>
      </c>
      <c r="H99" s="105" t="s">
        <v>304</v>
      </c>
      <c r="I99" s="103">
        <v>44000</v>
      </c>
      <c r="J99" s="105" t="s">
        <v>245</v>
      </c>
      <c r="K99" s="148">
        <v>10.411300000000001</v>
      </c>
      <c r="L99" s="102">
        <v>8800</v>
      </c>
      <c r="M99" s="102">
        <v>61</v>
      </c>
      <c r="N99" s="148" t="s">
        <v>246</v>
      </c>
      <c r="O99" s="102">
        <v>1</v>
      </c>
      <c r="P99" s="102">
        <v>1</v>
      </c>
      <c r="Q99" s="102">
        <v>1984</v>
      </c>
      <c r="R99" s="102" t="s">
        <v>246</v>
      </c>
      <c r="S99" s="102" t="str" cm="1">
        <f t="array" ref="S99">_xlfn.IFS(AND('Rent Table'!$I99&gt;0,'Rent Table'!$I99&lt;=50000),"0-50,000",
AND('Rent Table'!$I99 &gt; 50000, 'Rent Table'!$I99 &lt;= 150000), "50,001-150,000",
AND('Rent Table'!$I99 &gt; 150000, 'Rent Table'!$I99 &lt;= 250000), "150,001-250,000",
AND('Rent Table'!$I99 &gt; 250000, 'Rent Table'!$I99 &lt;= 350000), "250,001-350,000",
AND('Rent Table'!$I99 &gt; 350000, 'Rent Table'!$I99 &lt;= 450000), "350,001-450,000",
AND('Rent Table'!$I99 &gt; 450000, 'Rent Table'!$I99 &lt;= 600000), "450,001-600,000",
AND('Rent Table'!$I99 &gt; 600000, 'Rent Table'!$I99 &lt;= 750000), "600,001-750,000",'Rent Table'!$I99 &gt; 750000, "750,000+",
TRUE, "Undefined"
         )</f>
        <v>0-50,000</v>
      </c>
    </row>
    <row r="100" spans="1:19" x14ac:dyDescent="0.45">
      <c r="A100" s="105" t="s">
        <v>356</v>
      </c>
      <c r="B100" s="105" t="s">
        <v>221</v>
      </c>
      <c r="C100" s="102" t="s">
        <v>241</v>
      </c>
      <c r="D100" s="105" t="s">
        <v>344</v>
      </c>
      <c r="E100" s="102" t="s">
        <v>210</v>
      </c>
      <c r="F100" s="102" t="s">
        <v>243</v>
      </c>
      <c r="G100" s="146">
        <v>45566</v>
      </c>
      <c r="H100" s="105" t="s">
        <v>304</v>
      </c>
      <c r="I100" s="103">
        <v>44000</v>
      </c>
      <c r="J100" s="105" t="s">
        <v>245</v>
      </c>
      <c r="K100" s="148">
        <v>8.3250299999999999</v>
      </c>
      <c r="L100" s="102">
        <v>8800</v>
      </c>
      <c r="M100" s="102">
        <v>39</v>
      </c>
      <c r="N100" s="148" t="s">
        <v>246</v>
      </c>
      <c r="O100" s="102">
        <v>4</v>
      </c>
      <c r="P100" s="102">
        <v>1</v>
      </c>
      <c r="Q100" s="102">
        <v>1981</v>
      </c>
      <c r="R100" s="102" t="s">
        <v>246</v>
      </c>
      <c r="S100" s="102" t="str" cm="1">
        <f t="array" ref="S100">_xlfn.IFS(AND('Rent Table'!$I100&gt;0,'Rent Table'!$I100&lt;=50000),"0-50,000",
AND('Rent Table'!$I100 &gt; 50000, 'Rent Table'!$I100 &lt;= 150000), "50,001-150,000",
AND('Rent Table'!$I100 &gt; 150000, 'Rent Table'!$I100 &lt;= 250000), "150,001-250,000",
AND('Rent Table'!$I100 &gt; 250000, 'Rent Table'!$I100 &lt;= 350000), "250,001-350,000",
AND('Rent Table'!$I100 &gt; 350000, 'Rent Table'!$I100 &lt;= 450000), "350,001-450,000",
AND('Rent Table'!$I100 &gt; 450000, 'Rent Table'!$I100 &lt;= 600000), "450,001-600,000",
AND('Rent Table'!$I100 &gt; 600000, 'Rent Table'!$I100 &lt;= 750000), "600,001-750,000",'Rent Table'!$I100 &gt; 750000, "750,000+",
TRUE, "Undefined"
         )</f>
        <v>0-50,000</v>
      </c>
    </row>
    <row r="101" spans="1:19" x14ac:dyDescent="0.45">
      <c r="A101" s="105" t="s">
        <v>357</v>
      </c>
      <c r="B101" s="105" t="s">
        <v>221</v>
      </c>
      <c r="C101" s="102" t="s">
        <v>241</v>
      </c>
      <c r="D101" s="105" t="s">
        <v>344</v>
      </c>
      <c r="E101" s="102" t="s">
        <v>210</v>
      </c>
      <c r="F101" s="102" t="s">
        <v>243</v>
      </c>
      <c r="G101" s="146">
        <v>45566</v>
      </c>
      <c r="H101" s="105" t="s">
        <v>304</v>
      </c>
      <c r="I101" s="103">
        <v>7319</v>
      </c>
      <c r="J101" s="105" t="s">
        <v>245</v>
      </c>
      <c r="K101" s="148">
        <v>13.002000000000001</v>
      </c>
      <c r="L101" s="102">
        <v>7319</v>
      </c>
      <c r="M101" s="102">
        <v>144</v>
      </c>
      <c r="N101" s="148" t="s">
        <v>246</v>
      </c>
      <c r="O101" s="102" t="s">
        <v>246</v>
      </c>
      <c r="P101" s="102">
        <v>1</v>
      </c>
      <c r="Q101" s="102">
        <v>1980</v>
      </c>
      <c r="R101" s="102" t="s">
        <v>246</v>
      </c>
      <c r="S101" s="102" t="str" cm="1">
        <f t="array" ref="S101">_xlfn.IFS(AND('Rent Table'!$I101&gt;0,'Rent Table'!$I101&lt;=50000),"0-50,000",
AND('Rent Table'!$I101 &gt; 50000, 'Rent Table'!$I101 &lt;= 150000), "50,001-150,000",
AND('Rent Table'!$I101 &gt; 150000, 'Rent Table'!$I101 &lt;= 250000), "150,001-250,000",
AND('Rent Table'!$I101 &gt; 250000, 'Rent Table'!$I101 &lt;= 350000), "250,001-350,000",
AND('Rent Table'!$I101 &gt; 350000, 'Rent Table'!$I101 &lt;= 450000), "350,001-450,000",
AND('Rent Table'!$I101 &gt; 450000, 'Rent Table'!$I101 &lt;= 600000), "450,001-600,000",
AND('Rent Table'!$I101 &gt; 600000, 'Rent Table'!$I101 &lt;= 750000), "600,001-750,000",'Rent Table'!$I101 &gt; 750000, "750,000+",
TRUE, "Undefined"
         )</f>
        <v>0-50,000</v>
      </c>
    </row>
    <row r="1048576" spans="19:19" x14ac:dyDescent="0.45">
      <c r="S1048576" s="10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F890-7C62-4B2E-9CEE-C2D874370FF1}">
  <sheetPr>
    <tabColor theme="7" tint="0.79998168889431442"/>
  </sheetPr>
  <dimension ref="A1:AR96"/>
  <sheetViews>
    <sheetView topLeftCell="A16" workbookViewId="0"/>
  </sheetViews>
  <sheetFormatPr defaultColWidth="9" defaultRowHeight="14.25" x14ac:dyDescent="0.45"/>
  <cols>
    <col min="1" max="1" width="9" style="101"/>
    <col min="2" max="2" width="46.59765625" style="101" bestFit="1" customWidth="1"/>
    <col min="3" max="3" width="49.3984375" style="101" bestFit="1" customWidth="1"/>
    <col min="4" max="4" width="12.86328125" style="101" bestFit="1" customWidth="1"/>
    <col min="5" max="5" width="6.73046875" style="101" customWidth="1"/>
    <col min="6" max="6" width="11.265625" style="101" bestFit="1" customWidth="1"/>
    <col min="7" max="7" width="9.3984375" style="101" customWidth="1"/>
    <col min="8" max="8" width="8.1328125" style="101" bestFit="1" customWidth="1"/>
    <col min="9" max="9" width="11.73046875" style="101" bestFit="1" customWidth="1"/>
    <col min="10" max="10" width="27" style="101" bestFit="1" customWidth="1"/>
    <col min="11" max="11" width="27.73046875" style="101" customWidth="1"/>
    <col min="12" max="12" width="11.59765625" style="101" bestFit="1" customWidth="1"/>
    <col min="13" max="13" width="13.73046875" style="101" bestFit="1" customWidth="1"/>
    <col min="14" max="14" width="12.1328125" style="101" bestFit="1" customWidth="1"/>
    <col min="15" max="15" width="9.86328125" style="101" customWidth="1"/>
    <col min="16" max="16" width="10" style="101" customWidth="1"/>
    <col min="17" max="17" width="10.73046875" style="101" customWidth="1"/>
    <col min="18" max="18" width="25.265625" style="101" customWidth="1"/>
    <col min="19" max="19" width="20.1328125" style="101" customWidth="1"/>
    <col min="20" max="20" width="28.1328125" style="101" customWidth="1"/>
    <col min="21" max="21" width="30.59765625" style="101" customWidth="1"/>
    <col min="22" max="22" width="16.265625" style="101" customWidth="1"/>
    <col min="23" max="23" width="16.86328125" style="101" customWidth="1"/>
    <col min="24" max="24" width="24.3984375" style="101" bestFit="1" customWidth="1"/>
    <col min="25" max="25" width="17.59765625" style="101" customWidth="1"/>
    <col min="26" max="26" width="38" style="101" bestFit="1" customWidth="1"/>
    <col min="27" max="27" width="30.3984375" style="101" bestFit="1" customWidth="1"/>
    <col min="28" max="28" width="15" style="101" customWidth="1"/>
    <col min="29" max="29" width="16.3984375" style="101" customWidth="1"/>
    <col min="30" max="30" width="18.265625" style="101" bestFit="1" customWidth="1"/>
    <col min="31" max="31" width="32.59765625" style="101" bestFit="1" customWidth="1"/>
    <col min="32" max="32" width="16.1328125" style="101" customWidth="1"/>
    <col min="33" max="33" width="8" style="101" customWidth="1"/>
    <col min="34" max="34" width="8.3984375" style="101" customWidth="1"/>
    <col min="35" max="35" width="9.73046875" style="101" customWidth="1"/>
    <col min="36" max="36" width="10.1328125" style="101" customWidth="1"/>
    <col min="37" max="37" width="15" style="101" customWidth="1"/>
    <col min="38" max="38" width="11" style="101" customWidth="1"/>
    <col min="39" max="39" width="26.1328125" style="101" customWidth="1"/>
    <col min="40" max="40" width="18.59765625" style="101" customWidth="1"/>
    <col min="41" max="41" width="16.86328125" style="101" customWidth="1"/>
    <col min="42" max="42" width="16.86328125" style="101" bestFit="1" customWidth="1"/>
    <col min="43" max="43" width="13.1328125" style="101" customWidth="1"/>
    <col min="44" max="44" width="9.59765625" style="101" customWidth="1"/>
    <col min="45" max="16384" width="9" style="101"/>
  </cols>
  <sheetData>
    <row r="1" spans="1:44" x14ac:dyDescent="0.45">
      <c r="A1" s="101" t="s">
        <v>358</v>
      </c>
    </row>
    <row r="4" spans="1:44" x14ac:dyDescent="0.45">
      <c r="B4" s="101" t="s">
        <v>359</v>
      </c>
      <c r="C4" s="101" t="s">
        <v>183</v>
      </c>
      <c r="D4" s="101" t="s">
        <v>63</v>
      </c>
      <c r="E4" s="101" t="s">
        <v>66</v>
      </c>
      <c r="F4" s="101" t="s">
        <v>360</v>
      </c>
      <c r="G4" s="102" t="s">
        <v>226</v>
      </c>
      <c r="H4" s="101" t="s">
        <v>228</v>
      </c>
      <c r="I4" s="101" t="s">
        <v>361</v>
      </c>
      <c r="J4" s="101" t="s">
        <v>362</v>
      </c>
      <c r="K4" s="101" t="s">
        <v>363</v>
      </c>
      <c r="L4" s="101" t="s">
        <v>227</v>
      </c>
      <c r="M4" s="101" t="s">
        <v>364</v>
      </c>
      <c r="N4" s="101" t="s">
        <v>95</v>
      </c>
      <c r="O4" s="101" t="s">
        <v>231</v>
      </c>
      <c r="P4" s="101" t="s">
        <v>185</v>
      </c>
      <c r="Q4" s="101" t="s">
        <v>365</v>
      </c>
      <c r="R4" s="103" t="s">
        <v>366</v>
      </c>
      <c r="S4" s="101" t="s">
        <v>367</v>
      </c>
      <c r="T4" s="103" t="s">
        <v>368</v>
      </c>
      <c r="U4" s="103" t="s">
        <v>369</v>
      </c>
      <c r="V4" s="101" t="s">
        <v>370</v>
      </c>
      <c r="W4" s="101" t="s">
        <v>184</v>
      </c>
      <c r="X4" s="101" t="s">
        <v>371</v>
      </c>
      <c r="Y4" s="101" t="s">
        <v>372</v>
      </c>
      <c r="Z4" s="101" t="s">
        <v>373</v>
      </c>
      <c r="AA4" s="101" t="s">
        <v>374</v>
      </c>
      <c r="AB4" s="101" t="s">
        <v>375</v>
      </c>
      <c r="AC4" s="101" t="s">
        <v>376</v>
      </c>
      <c r="AD4" s="101" t="s">
        <v>377</v>
      </c>
      <c r="AE4" s="101" t="s">
        <v>378</v>
      </c>
      <c r="AF4" s="101" t="s">
        <v>379</v>
      </c>
      <c r="AG4" s="101" t="s">
        <v>380</v>
      </c>
      <c r="AH4" s="101" t="s">
        <v>381</v>
      </c>
      <c r="AI4" s="101" t="s">
        <v>382</v>
      </c>
      <c r="AJ4" s="101" t="s">
        <v>65</v>
      </c>
      <c r="AK4" s="101" t="s">
        <v>238</v>
      </c>
      <c r="AL4" s="101" t="s">
        <v>383</v>
      </c>
      <c r="AM4" s="101" t="s">
        <v>384</v>
      </c>
      <c r="AN4" s="101" t="s">
        <v>385</v>
      </c>
      <c r="AO4" s="101" t="s">
        <v>386</v>
      </c>
      <c r="AP4" s="101" t="s">
        <v>387</v>
      </c>
      <c r="AQ4" s="101" t="s">
        <v>388</v>
      </c>
      <c r="AR4" s="101" t="s">
        <v>389</v>
      </c>
    </row>
    <row r="5" spans="1:44" x14ac:dyDescent="0.45">
      <c r="B5" s="101" t="s">
        <v>390</v>
      </c>
      <c r="C5" s="101" t="s">
        <v>391</v>
      </c>
      <c r="D5" s="101" t="s">
        <v>64</v>
      </c>
      <c r="E5" s="101" t="s">
        <v>241</v>
      </c>
      <c r="F5" s="104" t="s">
        <v>392</v>
      </c>
      <c r="G5" s="105" t="s">
        <v>316</v>
      </c>
      <c r="H5" s="101" t="s">
        <v>243</v>
      </c>
      <c r="I5" s="104" t="s">
        <v>393</v>
      </c>
      <c r="J5" s="104"/>
      <c r="K5" s="101" t="s">
        <v>394</v>
      </c>
      <c r="L5" s="101" t="s">
        <v>210</v>
      </c>
      <c r="M5" s="101" t="s">
        <v>395</v>
      </c>
      <c r="N5" s="106">
        <v>21228</v>
      </c>
      <c r="O5" s="104" t="s">
        <v>245</v>
      </c>
      <c r="P5" s="107">
        <v>45295</v>
      </c>
      <c r="Q5" s="108">
        <v>1</v>
      </c>
      <c r="R5" s="109">
        <v>5.0999999999999996</v>
      </c>
      <c r="S5" s="104" t="s">
        <v>396</v>
      </c>
      <c r="T5" s="109">
        <v>240.25</v>
      </c>
      <c r="U5" s="103"/>
      <c r="V5" s="101" t="s">
        <v>304</v>
      </c>
      <c r="W5" s="108">
        <v>4.0522530000000001E-2</v>
      </c>
      <c r="X5" s="104" t="s">
        <v>397</v>
      </c>
      <c r="Y5" s="101" t="s">
        <v>394</v>
      </c>
      <c r="Z5" s="101" t="s">
        <v>398</v>
      </c>
      <c r="AB5" s="104"/>
      <c r="AC5" s="101" t="s">
        <v>394</v>
      </c>
      <c r="AD5" s="104"/>
      <c r="AE5" s="104"/>
      <c r="AF5" s="106">
        <v>1.1830000000000001</v>
      </c>
      <c r="AG5" s="106">
        <v>1</v>
      </c>
      <c r="AH5" s="106"/>
      <c r="AI5" s="106">
        <v>1</v>
      </c>
      <c r="AJ5" s="101">
        <v>2001</v>
      </c>
      <c r="AL5" s="108"/>
      <c r="AM5" s="108">
        <v>4.7E-2</v>
      </c>
      <c r="AN5" s="108">
        <v>4.8187099999999997E-2</v>
      </c>
      <c r="AO5" s="108">
        <v>4.791285E-2</v>
      </c>
      <c r="AP5" s="101" t="s">
        <v>399</v>
      </c>
      <c r="AQ5" s="110">
        <v>2550000</v>
      </c>
      <c r="AR5" s="101" t="s">
        <v>400</v>
      </c>
    </row>
    <row r="6" spans="1:44" x14ac:dyDescent="0.45">
      <c r="B6" s="101" t="s">
        <v>401</v>
      </c>
      <c r="C6" s="101" t="s">
        <v>402</v>
      </c>
      <c r="D6" s="101" t="s">
        <v>221</v>
      </c>
      <c r="E6" s="101" t="s">
        <v>241</v>
      </c>
      <c r="F6" s="104" t="s">
        <v>392</v>
      </c>
      <c r="G6" s="105" t="s">
        <v>344</v>
      </c>
      <c r="H6" s="101" t="s">
        <v>243</v>
      </c>
      <c r="I6" s="104" t="s">
        <v>403</v>
      </c>
      <c r="J6" s="104" t="s">
        <v>404</v>
      </c>
      <c r="K6" s="101" t="s">
        <v>394</v>
      </c>
      <c r="L6" s="101" t="s">
        <v>210</v>
      </c>
      <c r="M6" s="101" t="s">
        <v>395</v>
      </c>
      <c r="N6" s="106">
        <v>78012</v>
      </c>
      <c r="O6" s="104" t="s">
        <v>245</v>
      </c>
      <c r="P6" s="107">
        <v>45205</v>
      </c>
      <c r="Q6" s="108">
        <v>1</v>
      </c>
      <c r="R6" s="109">
        <v>11.1</v>
      </c>
      <c r="S6" s="104" t="s">
        <v>396</v>
      </c>
      <c r="T6" s="109">
        <v>142.29</v>
      </c>
      <c r="U6" s="103"/>
      <c r="V6" s="101" t="s">
        <v>304</v>
      </c>
      <c r="W6" s="108">
        <v>4.2421100000000003E-2</v>
      </c>
      <c r="X6" s="104" t="s">
        <v>397</v>
      </c>
      <c r="Y6" s="101" t="s">
        <v>394</v>
      </c>
      <c r="AB6" s="104"/>
      <c r="AC6" s="101" t="s">
        <v>394</v>
      </c>
      <c r="AD6" s="104"/>
      <c r="AE6" s="104"/>
      <c r="AF6" s="106">
        <v>2.81</v>
      </c>
      <c r="AG6" s="106">
        <v>2</v>
      </c>
      <c r="AH6" s="106"/>
      <c r="AI6" s="106">
        <v>1</v>
      </c>
      <c r="AJ6" s="101">
        <v>1988</v>
      </c>
      <c r="AL6" s="108"/>
      <c r="AM6" s="108">
        <v>4.7E-2</v>
      </c>
      <c r="AN6" s="108">
        <v>4.8187099999999997E-2</v>
      </c>
      <c r="AO6" s="108">
        <v>4.791285E-2</v>
      </c>
      <c r="AP6" s="101" t="s">
        <v>405</v>
      </c>
      <c r="AQ6" s="110">
        <v>6400000</v>
      </c>
      <c r="AR6" s="101" t="s">
        <v>400</v>
      </c>
    </row>
    <row r="7" spans="1:44" x14ac:dyDescent="0.45">
      <c r="B7" s="101" t="s">
        <v>406</v>
      </c>
      <c r="C7" s="101" t="s">
        <v>407</v>
      </c>
      <c r="D7" s="101" t="s">
        <v>221</v>
      </c>
      <c r="E7" s="101" t="s">
        <v>241</v>
      </c>
      <c r="F7" s="104" t="s">
        <v>392</v>
      </c>
      <c r="G7" s="105" t="s">
        <v>344</v>
      </c>
      <c r="H7" s="101" t="s">
        <v>243</v>
      </c>
      <c r="I7" s="104" t="s">
        <v>403</v>
      </c>
      <c r="J7" s="104" t="s">
        <v>404</v>
      </c>
      <c r="K7" s="101" t="s">
        <v>394</v>
      </c>
      <c r="L7" s="101" t="s">
        <v>210</v>
      </c>
      <c r="M7" s="101" t="s">
        <v>395</v>
      </c>
      <c r="N7" s="106">
        <v>23397</v>
      </c>
      <c r="O7" s="104" t="s">
        <v>245</v>
      </c>
      <c r="P7" s="107">
        <v>45201</v>
      </c>
      <c r="Q7" s="108">
        <v>1</v>
      </c>
      <c r="R7" s="109">
        <v>5.62</v>
      </c>
      <c r="S7" s="104" t="s">
        <v>396</v>
      </c>
      <c r="T7" s="109">
        <v>240.01</v>
      </c>
      <c r="U7" s="103"/>
      <c r="V7" s="101" t="s">
        <v>304</v>
      </c>
      <c r="W7" s="108">
        <v>4.2421100000000003E-2</v>
      </c>
      <c r="X7" s="104" t="s">
        <v>397</v>
      </c>
      <c r="Y7" s="101" t="s">
        <v>394</v>
      </c>
      <c r="AA7" s="101" t="s">
        <v>408</v>
      </c>
      <c r="AB7" s="104"/>
      <c r="AC7" s="101" t="s">
        <v>394</v>
      </c>
      <c r="AD7" s="104"/>
      <c r="AE7" s="104"/>
      <c r="AF7" s="106">
        <v>1.24</v>
      </c>
      <c r="AG7" s="106">
        <v>2</v>
      </c>
      <c r="AH7" s="106"/>
      <c r="AI7" s="106">
        <v>1</v>
      </c>
      <c r="AJ7" s="101">
        <v>2004</v>
      </c>
      <c r="AL7" s="108"/>
      <c r="AM7" s="108">
        <v>4.7E-2</v>
      </c>
      <c r="AN7" s="108">
        <v>4.8187099999999997E-2</v>
      </c>
      <c r="AO7" s="108">
        <v>4.791285E-2</v>
      </c>
      <c r="AP7" s="101" t="s">
        <v>409</v>
      </c>
      <c r="AQ7" s="110">
        <v>3369200</v>
      </c>
      <c r="AR7" s="101" t="s">
        <v>400</v>
      </c>
    </row>
    <row r="8" spans="1:44" x14ac:dyDescent="0.45">
      <c r="B8" s="101" t="s">
        <v>410</v>
      </c>
      <c r="C8" s="101" t="s">
        <v>411</v>
      </c>
      <c r="D8" s="101" t="s">
        <v>64</v>
      </c>
      <c r="E8" s="101" t="s">
        <v>241</v>
      </c>
      <c r="F8" s="104" t="s">
        <v>392</v>
      </c>
      <c r="G8" s="105" t="s">
        <v>316</v>
      </c>
      <c r="H8" s="101" t="s">
        <v>243</v>
      </c>
      <c r="I8" s="104" t="s">
        <v>403</v>
      </c>
      <c r="J8" s="104" t="s">
        <v>404</v>
      </c>
      <c r="K8" s="101" t="s">
        <v>394</v>
      </c>
      <c r="L8" s="101" t="s">
        <v>210</v>
      </c>
      <c r="M8" s="101" t="s">
        <v>395</v>
      </c>
      <c r="N8" s="106">
        <v>95500</v>
      </c>
      <c r="O8" s="104" t="s">
        <v>245</v>
      </c>
      <c r="P8" s="107">
        <v>45051</v>
      </c>
      <c r="Q8" s="108">
        <v>1</v>
      </c>
      <c r="R8" s="109">
        <v>27.25</v>
      </c>
      <c r="S8" s="104" t="s">
        <v>396</v>
      </c>
      <c r="T8" s="109">
        <v>285.33999999999997</v>
      </c>
      <c r="U8" s="103"/>
      <c r="V8" s="101" t="s">
        <v>304</v>
      </c>
      <c r="W8" s="108">
        <v>4.2999999999999997E-2</v>
      </c>
      <c r="X8" s="104" t="s">
        <v>412</v>
      </c>
      <c r="Y8" s="101" t="s">
        <v>394</v>
      </c>
      <c r="Z8" s="101" t="s">
        <v>413</v>
      </c>
      <c r="AA8" s="101" t="s">
        <v>414</v>
      </c>
      <c r="AB8" s="104"/>
      <c r="AC8" s="101" t="s">
        <v>394</v>
      </c>
      <c r="AD8" s="104"/>
      <c r="AE8" s="104" t="s">
        <v>415</v>
      </c>
      <c r="AF8" s="106">
        <v>4.5259999999999998</v>
      </c>
      <c r="AG8" s="106">
        <v>1</v>
      </c>
      <c r="AH8" s="106"/>
      <c r="AI8" s="106">
        <v>1</v>
      </c>
      <c r="AJ8" s="101">
        <v>2017</v>
      </c>
      <c r="AL8" s="108">
        <v>1</v>
      </c>
      <c r="AM8" s="108">
        <v>4.7E-2</v>
      </c>
      <c r="AN8" s="108">
        <v>4.8187099999999997E-2</v>
      </c>
      <c r="AO8" s="108">
        <v>4.791285E-2</v>
      </c>
      <c r="AQ8" s="110"/>
      <c r="AR8" s="101" t="s">
        <v>400</v>
      </c>
    </row>
    <row r="9" spans="1:44" x14ac:dyDescent="0.45">
      <c r="B9" s="101" t="s">
        <v>416</v>
      </c>
      <c r="C9" s="101" t="s">
        <v>417</v>
      </c>
      <c r="D9" s="101" t="s">
        <v>221</v>
      </c>
      <c r="E9" s="101" t="s">
        <v>241</v>
      </c>
      <c r="F9" s="104" t="s">
        <v>392</v>
      </c>
      <c r="G9" s="105" t="s">
        <v>344</v>
      </c>
      <c r="H9" s="101" t="s">
        <v>243</v>
      </c>
      <c r="I9" s="104" t="s">
        <v>403</v>
      </c>
      <c r="J9" s="104" t="s">
        <v>404</v>
      </c>
      <c r="K9" s="101" t="s">
        <v>394</v>
      </c>
      <c r="L9" s="101" t="s">
        <v>210</v>
      </c>
      <c r="M9" s="101" t="s">
        <v>395</v>
      </c>
      <c r="N9" s="106">
        <v>51438</v>
      </c>
      <c r="O9" s="104" t="s">
        <v>245</v>
      </c>
      <c r="P9" s="107">
        <v>44715</v>
      </c>
      <c r="Q9" s="108">
        <v>1</v>
      </c>
      <c r="R9" s="109">
        <v>11.02</v>
      </c>
      <c r="S9" s="104" t="s">
        <v>396</v>
      </c>
      <c r="T9" s="109">
        <v>214.19</v>
      </c>
      <c r="U9" s="103"/>
      <c r="V9" s="101" t="s">
        <v>304</v>
      </c>
      <c r="W9" s="108">
        <v>5.7700000000000001E-2</v>
      </c>
      <c r="X9" s="104" t="s">
        <v>412</v>
      </c>
      <c r="Y9" s="101" t="s">
        <v>394</v>
      </c>
      <c r="AA9" s="101" t="s">
        <v>418</v>
      </c>
      <c r="AB9" s="104"/>
      <c r="AC9" s="101" t="s">
        <v>394</v>
      </c>
      <c r="AD9" s="104" t="s">
        <v>415</v>
      </c>
      <c r="AE9" s="104" t="s">
        <v>415</v>
      </c>
      <c r="AF9" s="106"/>
      <c r="AG9" s="106"/>
      <c r="AH9" s="106">
        <v>0</v>
      </c>
      <c r="AI9" s="106">
        <v>1</v>
      </c>
      <c r="AJ9" s="101">
        <v>1987</v>
      </c>
      <c r="AL9" s="108">
        <v>0.95</v>
      </c>
      <c r="AM9" s="108">
        <v>4.7E-2</v>
      </c>
      <c r="AN9" s="108">
        <v>4.8187099999999997E-2</v>
      </c>
      <c r="AO9" s="108">
        <v>4.791285E-2</v>
      </c>
      <c r="AQ9" s="110"/>
      <c r="AR9" s="101" t="s">
        <v>400</v>
      </c>
    </row>
    <row r="10" spans="1:44" x14ac:dyDescent="0.45">
      <c r="B10" s="101" t="s">
        <v>419</v>
      </c>
      <c r="C10" s="101" t="s">
        <v>420</v>
      </c>
      <c r="D10" s="101" t="s">
        <v>221</v>
      </c>
      <c r="E10" s="101" t="s">
        <v>241</v>
      </c>
      <c r="F10" s="104" t="s">
        <v>392</v>
      </c>
      <c r="G10" s="105" t="s">
        <v>344</v>
      </c>
      <c r="H10" s="101" t="s">
        <v>243</v>
      </c>
      <c r="I10" s="104" t="s">
        <v>403</v>
      </c>
      <c r="J10" s="104"/>
      <c r="K10" s="101" t="s">
        <v>394</v>
      </c>
      <c r="L10" s="101" t="s">
        <v>210</v>
      </c>
      <c r="M10" s="101" t="s">
        <v>395</v>
      </c>
      <c r="N10" s="106">
        <v>20473</v>
      </c>
      <c r="O10" s="104" t="s">
        <v>245</v>
      </c>
      <c r="P10" s="107">
        <v>44704</v>
      </c>
      <c r="Q10" s="108">
        <v>1</v>
      </c>
      <c r="R10" s="109">
        <v>24</v>
      </c>
      <c r="S10" s="104" t="s">
        <v>396</v>
      </c>
      <c r="T10" s="109" t="s">
        <v>421</v>
      </c>
      <c r="U10" s="103"/>
      <c r="V10" s="101" t="s">
        <v>304</v>
      </c>
      <c r="W10" s="108">
        <v>3.667045E-2</v>
      </c>
      <c r="X10" s="104" t="s">
        <v>397</v>
      </c>
      <c r="Y10" s="101" t="s">
        <v>394</v>
      </c>
      <c r="AB10" s="104"/>
      <c r="AC10" s="101" t="s">
        <v>394</v>
      </c>
      <c r="AD10" s="104" t="s">
        <v>415</v>
      </c>
      <c r="AE10" s="104"/>
      <c r="AF10" s="106"/>
      <c r="AG10" s="106"/>
      <c r="AH10" s="106">
        <v>0</v>
      </c>
      <c r="AI10" s="106"/>
      <c r="AJ10" s="101">
        <v>1980</v>
      </c>
      <c r="AL10" s="108"/>
      <c r="AM10" s="108">
        <v>4.7E-2</v>
      </c>
      <c r="AN10" s="108">
        <v>4.8187099999999997E-2</v>
      </c>
      <c r="AO10" s="108">
        <v>4.791285E-2</v>
      </c>
      <c r="AQ10" s="110"/>
      <c r="AR10" s="101" t="s">
        <v>400</v>
      </c>
    </row>
    <row r="11" spans="1:44" x14ac:dyDescent="0.45">
      <c r="B11" s="101" t="s">
        <v>422</v>
      </c>
      <c r="C11" s="101" t="s">
        <v>423</v>
      </c>
      <c r="D11" s="101" t="s">
        <v>221</v>
      </c>
      <c r="E11" s="101" t="s">
        <v>241</v>
      </c>
      <c r="F11" s="104" t="s">
        <v>392</v>
      </c>
      <c r="G11" s="105" t="s">
        <v>344</v>
      </c>
      <c r="H11" s="101" t="s">
        <v>243</v>
      </c>
      <c r="I11" s="104" t="s">
        <v>403</v>
      </c>
      <c r="J11" s="104" t="s">
        <v>404</v>
      </c>
      <c r="K11" s="101" t="s">
        <v>394</v>
      </c>
      <c r="L11" s="101" t="s">
        <v>210</v>
      </c>
      <c r="M11" s="101" t="s">
        <v>395</v>
      </c>
      <c r="N11" s="106">
        <v>117125</v>
      </c>
      <c r="O11" s="104" t="s">
        <v>245</v>
      </c>
      <c r="P11" s="107">
        <v>44696</v>
      </c>
      <c r="Q11" s="108">
        <v>1</v>
      </c>
      <c r="R11" s="109">
        <v>20</v>
      </c>
      <c r="S11" s="104" t="s">
        <v>396</v>
      </c>
      <c r="T11" s="109">
        <v>170.76</v>
      </c>
      <c r="U11" s="103"/>
      <c r="V11" s="101" t="s">
        <v>304</v>
      </c>
      <c r="W11" s="108">
        <v>3.667045E-2</v>
      </c>
      <c r="X11" s="104" t="s">
        <v>397</v>
      </c>
      <c r="Y11" s="101" t="s">
        <v>394</v>
      </c>
      <c r="Z11" s="101" t="s">
        <v>424</v>
      </c>
      <c r="AB11" s="104"/>
      <c r="AC11" s="101" t="s">
        <v>394</v>
      </c>
      <c r="AD11" s="104"/>
      <c r="AE11" s="104"/>
      <c r="AF11" s="106"/>
      <c r="AG11" s="106"/>
      <c r="AH11" s="106"/>
      <c r="AI11" s="106"/>
      <c r="AL11" s="108"/>
      <c r="AM11" s="108">
        <v>4.7E-2</v>
      </c>
      <c r="AN11" s="108">
        <v>4.8187099999999997E-2</v>
      </c>
      <c r="AO11" s="108">
        <v>4.791285E-2</v>
      </c>
      <c r="AQ11" s="110"/>
      <c r="AR11" s="101" t="s">
        <v>400</v>
      </c>
    </row>
    <row r="12" spans="1:44" x14ac:dyDescent="0.45">
      <c r="B12" s="101" t="s">
        <v>425</v>
      </c>
      <c r="C12" s="101" t="s">
        <v>426</v>
      </c>
      <c r="D12" s="101" t="s">
        <v>64</v>
      </c>
      <c r="E12" s="101" t="s">
        <v>241</v>
      </c>
      <c r="F12" s="104" t="s">
        <v>392</v>
      </c>
      <c r="G12" s="105" t="s">
        <v>316</v>
      </c>
      <c r="H12" s="101" t="s">
        <v>243</v>
      </c>
      <c r="I12" s="104" t="s">
        <v>403</v>
      </c>
      <c r="J12" s="104" t="s">
        <v>427</v>
      </c>
      <c r="K12" s="101" t="s">
        <v>394</v>
      </c>
      <c r="L12" s="101" t="s">
        <v>210</v>
      </c>
      <c r="M12" s="101" t="s">
        <v>395</v>
      </c>
      <c r="N12" s="106">
        <v>193469</v>
      </c>
      <c r="O12" s="104" t="s">
        <v>245</v>
      </c>
      <c r="P12" s="107">
        <v>44665</v>
      </c>
      <c r="Q12" s="108">
        <v>1</v>
      </c>
      <c r="R12" s="109">
        <v>18.25</v>
      </c>
      <c r="S12" s="104" t="s">
        <v>396</v>
      </c>
      <c r="T12" s="109">
        <v>94.33</v>
      </c>
      <c r="U12" s="103"/>
      <c r="V12" s="101" t="s">
        <v>304</v>
      </c>
      <c r="W12" s="108">
        <v>3.4120730000000002E-2</v>
      </c>
      <c r="X12" s="104" t="s">
        <v>397</v>
      </c>
      <c r="Y12" s="101" t="s">
        <v>394</v>
      </c>
      <c r="Z12" s="101" t="s">
        <v>428</v>
      </c>
      <c r="AA12" s="101" t="s">
        <v>429</v>
      </c>
      <c r="AB12" s="104"/>
      <c r="AC12" s="101" t="s">
        <v>394</v>
      </c>
      <c r="AD12" s="104"/>
      <c r="AE12" s="104" t="s">
        <v>430</v>
      </c>
      <c r="AF12" s="106"/>
      <c r="AG12" s="106"/>
      <c r="AH12" s="106">
        <v>0</v>
      </c>
      <c r="AI12" s="106"/>
      <c r="AL12" s="108"/>
      <c r="AM12" s="108">
        <v>4.7E-2</v>
      </c>
      <c r="AN12" s="108">
        <v>4.8187099999999997E-2</v>
      </c>
      <c r="AO12" s="108">
        <v>4.791285E-2</v>
      </c>
      <c r="AQ12" s="110"/>
      <c r="AR12" s="101" t="s">
        <v>400</v>
      </c>
    </row>
    <row r="13" spans="1:44" x14ac:dyDescent="0.45">
      <c r="B13" s="101" t="s">
        <v>319</v>
      </c>
      <c r="C13" s="101" t="s">
        <v>431</v>
      </c>
      <c r="D13" s="101" t="s">
        <v>64</v>
      </c>
      <c r="E13" s="101" t="s">
        <v>241</v>
      </c>
      <c r="F13" s="104" t="s">
        <v>392</v>
      </c>
      <c r="G13" s="105" t="s">
        <v>316</v>
      </c>
      <c r="H13" s="101" t="s">
        <v>243</v>
      </c>
      <c r="I13" s="104" t="s">
        <v>403</v>
      </c>
      <c r="J13" s="104"/>
      <c r="K13" s="101" t="s">
        <v>394</v>
      </c>
      <c r="L13" s="101" t="s">
        <v>210</v>
      </c>
      <c r="M13" s="101" t="s">
        <v>395</v>
      </c>
      <c r="N13" s="106">
        <v>21612</v>
      </c>
      <c r="O13" s="104" t="s">
        <v>245</v>
      </c>
      <c r="P13" s="107">
        <v>44651</v>
      </c>
      <c r="Q13" s="108">
        <v>1</v>
      </c>
      <c r="R13" s="109">
        <v>5.96</v>
      </c>
      <c r="S13" s="104" t="s">
        <v>396</v>
      </c>
      <c r="T13" s="109">
        <v>275.77</v>
      </c>
      <c r="U13" s="103"/>
      <c r="V13" s="101" t="s">
        <v>304</v>
      </c>
      <c r="W13" s="108">
        <v>3.162073E-2</v>
      </c>
      <c r="X13" s="104" t="s">
        <v>397</v>
      </c>
      <c r="Y13" s="101" t="s">
        <v>394</v>
      </c>
      <c r="Z13" s="101" t="s">
        <v>432</v>
      </c>
      <c r="AA13" s="101" t="s">
        <v>433</v>
      </c>
      <c r="AB13" s="104"/>
      <c r="AC13" s="101" t="s">
        <v>394</v>
      </c>
      <c r="AD13" s="104" t="s">
        <v>415</v>
      </c>
      <c r="AE13" s="104" t="s">
        <v>415</v>
      </c>
      <c r="AF13" s="106"/>
      <c r="AG13" s="106">
        <v>1</v>
      </c>
      <c r="AH13" s="106">
        <v>0</v>
      </c>
      <c r="AI13" s="106"/>
      <c r="AJ13" s="101">
        <v>2007</v>
      </c>
      <c r="AL13" s="108"/>
      <c r="AM13" s="108">
        <v>4.7E-2</v>
      </c>
      <c r="AN13" s="108">
        <v>4.8187099999999997E-2</v>
      </c>
      <c r="AO13" s="108">
        <v>4.791285E-2</v>
      </c>
      <c r="AQ13" s="110"/>
      <c r="AR13" s="101" t="s">
        <v>400</v>
      </c>
    </row>
    <row r="14" spans="1:44" x14ac:dyDescent="0.45">
      <c r="B14" s="101" t="s">
        <v>434</v>
      </c>
      <c r="C14" s="101" t="s">
        <v>435</v>
      </c>
      <c r="D14" s="101" t="s">
        <v>211</v>
      </c>
      <c r="E14" s="101" t="s">
        <v>241</v>
      </c>
      <c r="F14" s="104" t="s">
        <v>392</v>
      </c>
      <c r="G14" s="105" t="s">
        <v>303</v>
      </c>
      <c r="H14" s="101" t="s">
        <v>243</v>
      </c>
      <c r="I14" s="104" t="s">
        <v>403</v>
      </c>
      <c r="J14" s="104"/>
      <c r="K14" s="101" t="s">
        <v>394</v>
      </c>
      <c r="L14" s="101" t="s">
        <v>210</v>
      </c>
      <c r="M14" s="101" t="s">
        <v>395</v>
      </c>
      <c r="N14" s="106">
        <v>225353</v>
      </c>
      <c r="O14" s="104" t="s">
        <v>245</v>
      </c>
      <c r="P14" s="107">
        <v>44439</v>
      </c>
      <c r="Q14" s="108">
        <v>1</v>
      </c>
      <c r="R14" s="109">
        <v>57.5</v>
      </c>
      <c r="S14" s="104" t="s">
        <v>396</v>
      </c>
      <c r="T14" s="109">
        <v>255.16</v>
      </c>
      <c r="U14" s="103"/>
      <c r="V14" s="101" t="s">
        <v>304</v>
      </c>
      <c r="W14" s="108">
        <v>2.8000000000000001E-2</v>
      </c>
      <c r="X14" s="104" t="s">
        <v>412</v>
      </c>
      <c r="Y14" s="101" t="s">
        <v>394</v>
      </c>
      <c r="Z14" s="101" t="s">
        <v>436</v>
      </c>
      <c r="AA14" s="101" t="s">
        <v>437</v>
      </c>
      <c r="AB14" s="104"/>
      <c r="AC14" s="101" t="s">
        <v>394</v>
      </c>
      <c r="AD14" s="104"/>
      <c r="AE14" s="104" t="s">
        <v>415</v>
      </c>
      <c r="AF14" s="106"/>
      <c r="AG14" s="106"/>
      <c r="AH14" s="106">
        <v>0</v>
      </c>
      <c r="AI14" s="106"/>
      <c r="AJ14" s="101">
        <v>2021</v>
      </c>
      <c r="AL14" s="108">
        <v>1</v>
      </c>
      <c r="AM14" s="108">
        <v>4.7E-2</v>
      </c>
      <c r="AN14" s="108">
        <v>4.8187099999999997E-2</v>
      </c>
      <c r="AO14" s="108">
        <v>4.791285E-2</v>
      </c>
      <c r="AQ14" s="110"/>
      <c r="AR14" s="101" t="s">
        <v>400</v>
      </c>
    </row>
    <row r="15" spans="1:44" x14ac:dyDescent="0.45">
      <c r="B15" s="111" t="s">
        <v>438</v>
      </c>
      <c r="C15" s="111" t="s">
        <v>439</v>
      </c>
      <c r="D15" s="111" t="s">
        <v>221</v>
      </c>
      <c r="E15" s="111" t="s">
        <v>241</v>
      </c>
      <c r="F15" s="112" t="s">
        <v>392</v>
      </c>
      <c r="G15" s="113" t="s">
        <v>344</v>
      </c>
      <c r="H15" s="111" t="s">
        <v>243</v>
      </c>
      <c r="I15" s="112" t="s">
        <v>403</v>
      </c>
      <c r="J15" s="112"/>
      <c r="K15" s="111" t="s">
        <v>394</v>
      </c>
      <c r="L15" s="111" t="s">
        <v>210</v>
      </c>
      <c r="M15" s="111" t="s">
        <v>395</v>
      </c>
      <c r="N15" s="114">
        <v>574984</v>
      </c>
      <c r="O15" s="112" t="s">
        <v>245</v>
      </c>
      <c r="P15" s="115">
        <v>44423</v>
      </c>
      <c r="Q15" s="116">
        <v>1</v>
      </c>
      <c r="R15" s="117"/>
      <c r="S15" s="112" t="s">
        <v>396</v>
      </c>
      <c r="T15" s="117">
        <v>164.53</v>
      </c>
      <c r="U15" s="117"/>
      <c r="V15" s="111" t="s">
        <v>304</v>
      </c>
      <c r="W15" s="116"/>
      <c r="X15" s="112"/>
      <c r="Y15" s="111" t="s">
        <v>400</v>
      </c>
      <c r="Z15" s="111" t="s">
        <v>440</v>
      </c>
      <c r="AA15" s="111" t="s">
        <v>441</v>
      </c>
      <c r="AB15" s="112"/>
      <c r="AC15" s="111" t="s">
        <v>394</v>
      </c>
      <c r="AD15" s="112"/>
      <c r="AE15" s="112" t="s">
        <v>442</v>
      </c>
      <c r="AF15" s="106"/>
      <c r="AG15" s="106"/>
      <c r="AH15" s="106">
        <v>0</v>
      </c>
      <c r="AI15" s="106"/>
      <c r="AL15" s="108"/>
      <c r="AM15" s="108">
        <v>4.7E-2</v>
      </c>
      <c r="AN15" s="108">
        <v>4.8187099999999997E-2</v>
      </c>
      <c r="AO15" s="108">
        <v>4.791285E-2</v>
      </c>
      <c r="AQ15" s="110"/>
      <c r="AR15" s="101" t="s">
        <v>400</v>
      </c>
    </row>
    <row r="16" spans="1:44" x14ac:dyDescent="0.45">
      <c r="B16" s="111" t="s">
        <v>443</v>
      </c>
      <c r="C16" s="111" t="s">
        <v>439</v>
      </c>
      <c r="D16" s="111" t="s">
        <v>221</v>
      </c>
      <c r="E16" s="111" t="s">
        <v>241</v>
      </c>
      <c r="F16" s="112" t="s">
        <v>392</v>
      </c>
      <c r="G16" s="113" t="s">
        <v>344</v>
      </c>
      <c r="H16" s="111" t="s">
        <v>243</v>
      </c>
      <c r="I16" s="112" t="s">
        <v>403</v>
      </c>
      <c r="J16" s="112"/>
      <c r="K16" s="111" t="s">
        <v>394</v>
      </c>
      <c r="L16" s="111" t="s">
        <v>210</v>
      </c>
      <c r="M16" s="111" t="s">
        <v>395</v>
      </c>
      <c r="N16" s="114">
        <v>146800</v>
      </c>
      <c r="O16" s="112" t="s">
        <v>245</v>
      </c>
      <c r="P16" s="115">
        <v>44423</v>
      </c>
      <c r="Q16" s="116">
        <v>1</v>
      </c>
      <c r="R16" s="117"/>
      <c r="S16" s="112"/>
      <c r="T16" s="117"/>
      <c r="U16" s="118"/>
      <c r="V16" s="111" t="s">
        <v>304</v>
      </c>
      <c r="W16" s="116"/>
      <c r="X16" s="112"/>
      <c r="Y16" s="111" t="s">
        <v>400</v>
      </c>
      <c r="Z16" s="111" t="s">
        <v>440</v>
      </c>
      <c r="AA16" s="111" t="s">
        <v>441</v>
      </c>
      <c r="AB16" s="112"/>
      <c r="AC16" s="111" t="s">
        <v>394</v>
      </c>
      <c r="AD16" s="112"/>
      <c r="AE16" s="112" t="s">
        <v>442</v>
      </c>
      <c r="AF16" s="106"/>
      <c r="AG16" s="106"/>
      <c r="AH16" s="106">
        <v>0</v>
      </c>
      <c r="AI16" s="106"/>
      <c r="AL16" s="108"/>
      <c r="AM16" s="108">
        <v>4.7E-2</v>
      </c>
      <c r="AN16" s="108">
        <v>4.8187099999999997E-2</v>
      </c>
      <c r="AO16" s="108">
        <v>4.791285E-2</v>
      </c>
      <c r="AQ16" s="110"/>
      <c r="AR16" s="101" t="s">
        <v>400</v>
      </c>
    </row>
    <row r="17" spans="2:44" x14ac:dyDescent="0.45">
      <c r="B17" s="111" t="s">
        <v>444</v>
      </c>
      <c r="C17" s="111" t="s">
        <v>445</v>
      </c>
      <c r="D17" s="111" t="s">
        <v>221</v>
      </c>
      <c r="E17" s="111" t="s">
        <v>241</v>
      </c>
      <c r="F17" s="112" t="s">
        <v>392</v>
      </c>
      <c r="G17" s="113" t="s">
        <v>344</v>
      </c>
      <c r="H17" s="111" t="s">
        <v>243</v>
      </c>
      <c r="I17" s="112" t="s">
        <v>403</v>
      </c>
      <c r="J17" s="112"/>
      <c r="K17" s="111" t="s">
        <v>394</v>
      </c>
      <c r="L17" s="111" t="s">
        <v>210</v>
      </c>
      <c r="M17" s="111" t="s">
        <v>395</v>
      </c>
      <c r="N17" s="114">
        <v>179584</v>
      </c>
      <c r="O17" s="112" t="s">
        <v>245</v>
      </c>
      <c r="P17" s="115">
        <v>44423</v>
      </c>
      <c r="Q17" s="116">
        <v>1</v>
      </c>
      <c r="R17" s="117"/>
      <c r="S17" s="112"/>
      <c r="T17" s="117"/>
      <c r="U17" s="118"/>
      <c r="V17" s="111" t="s">
        <v>304</v>
      </c>
      <c r="W17" s="116"/>
      <c r="X17" s="112"/>
      <c r="Y17" s="111" t="s">
        <v>400</v>
      </c>
      <c r="Z17" s="111" t="s">
        <v>440</v>
      </c>
      <c r="AA17" s="111" t="s">
        <v>441</v>
      </c>
      <c r="AB17" s="112"/>
      <c r="AC17" s="111" t="s">
        <v>394</v>
      </c>
      <c r="AD17" s="112"/>
      <c r="AE17" s="112" t="s">
        <v>442</v>
      </c>
      <c r="AF17" s="106"/>
      <c r="AG17" s="106"/>
      <c r="AH17" s="106">
        <v>0</v>
      </c>
      <c r="AI17" s="106"/>
      <c r="AL17" s="108"/>
      <c r="AM17" s="108">
        <v>4.7E-2</v>
      </c>
      <c r="AN17" s="108">
        <v>4.8187099999999997E-2</v>
      </c>
      <c r="AO17" s="108">
        <v>4.791285E-2</v>
      </c>
      <c r="AQ17" s="110"/>
      <c r="AR17" s="101" t="s">
        <v>400</v>
      </c>
    </row>
    <row r="18" spans="2:44" x14ac:dyDescent="0.45">
      <c r="B18" s="101" t="s">
        <v>446</v>
      </c>
      <c r="C18" s="101" t="s">
        <v>447</v>
      </c>
      <c r="D18" s="101" t="s">
        <v>64</v>
      </c>
      <c r="E18" s="101" t="s">
        <v>241</v>
      </c>
      <c r="F18" s="104" t="s">
        <v>392</v>
      </c>
      <c r="G18" s="105" t="s">
        <v>316</v>
      </c>
      <c r="H18" s="101" t="s">
        <v>243</v>
      </c>
      <c r="I18" s="104" t="s">
        <v>403</v>
      </c>
      <c r="J18" s="104"/>
      <c r="K18" s="101" t="s">
        <v>394</v>
      </c>
      <c r="L18" s="101" t="s">
        <v>210</v>
      </c>
      <c r="M18" s="101" t="s">
        <v>395</v>
      </c>
      <c r="N18" s="106">
        <v>74000</v>
      </c>
      <c r="O18" s="104" t="s">
        <v>245</v>
      </c>
      <c r="P18" s="107">
        <v>44320</v>
      </c>
      <c r="Q18" s="108">
        <v>1</v>
      </c>
      <c r="R18" s="109">
        <v>16.899999999999999</v>
      </c>
      <c r="S18" s="104" t="s">
        <v>396</v>
      </c>
      <c r="T18" s="109">
        <v>228.38</v>
      </c>
      <c r="U18" s="103"/>
      <c r="V18" s="101" t="s">
        <v>304</v>
      </c>
      <c r="W18" s="108">
        <v>3.7100000000000001E-2</v>
      </c>
      <c r="X18" s="104" t="s">
        <v>412</v>
      </c>
      <c r="Y18" s="101" t="s">
        <v>394</v>
      </c>
      <c r="Z18" s="101" t="s">
        <v>448</v>
      </c>
      <c r="AA18" s="101" t="s">
        <v>449</v>
      </c>
      <c r="AB18" s="104"/>
      <c r="AC18" s="101" t="s">
        <v>394</v>
      </c>
      <c r="AD18" s="104" t="s">
        <v>450</v>
      </c>
      <c r="AE18" s="104" t="s">
        <v>451</v>
      </c>
      <c r="AF18" s="106"/>
      <c r="AG18" s="106"/>
      <c r="AH18" s="106">
        <v>0</v>
      </c>
      <c r="AI18" s="106"/>
      <c r="AL18" s="108"/>
      <c r="AM18" s="108">
        <v>4.7E-2</v>
      </c>
      <c r="AN18" s="108">
        <v>4.8187099999999997E-2</v>
      </c>
      <c r="AO18" s="108">
        <v>4.791285E-2</v>
      </c>
      <c r="AQ18" s="110"/>
      <c r="AR18" s="101" t="s">
        <v>400</v>
      </c>
    </row>
    <row r="19" spans="2:44" x14ac:dyDescent="0.45">
      <c r="B19" s="101" t="s">
        <v>452</v>
      </c>
      <c r="C19" s="101" t="s">
        <v>453</v>
      </c>
      <c r="D19" s="101" t="s">
        <v>64</v>
      </c>
      <c r="E19" s="101" t="s">
        <v>241</v>
      </c>
      <c r="F19" s="104" t="s">
        <v>392</v>
      </c>
      <c r="G19" s="105" t="s">
        <v>310</v>
      </c>
      <c r="H19" s="101" t="s">
        <v>243</v>
      </c>
      <c r="I19" s="104" t="s">
        <v>403</v>
      </c>
      <c r="J19" s="104"/>
      <c r="K19" s="101" t="s">
        <v>394</v>
      </c>
      <c r="L19" s="101" t="s">
        <v>210</v>
      </c>
      <c r="M19" s="101" t="s">
        <v>395</v>
      </c>
      <c r="N19" s="106">
        <v>118000</v>
      </c>
      <c r="O19" s="104" t="s">
        <v>245</v>
      </c>
      <c r="P19" s="107">
        <v>44295</v>
      </c>
      <c r="Q19" s="108">
        <v>1</v>
      </c>
      <c r="R19" s="109">
        <v>18.38</v>
      </c>
      <c r="S19" s="104" t="s">
        <v>396</v>
      </c>
      <c r="T19" s="109">
        <v>155.72</v>
      </c>
      <c r="U19" s="103"/>
      <c r="V19" s="101" t="s">
        <v>304</v>
      </c>
      <c r="W19" s="108">
        <v>3.6120729999999997E-2</v>
      </c>
      <c r="X19" s="104" t="s">
        <v>397</v>
      </c>
      <c r="Y19" s="101" t="s">
        <v>394</v>
      </c>
      <c r="Z19" s="101" t="s">
        <v>454</v>
      </c>
      <c r="AA19" s="101" t="s">
        <v>455</v>
      </c>
      <c r="AB19" s="104"/>
      <c r="AC19" s="101" t="s">
        <v>394</v>
      </c>
      <c r="AD19" s="104"/>
      <c r="AE19" s="104" t="s">
        <v>456</v>
      </c>
      <c r="AF19" s="106"/>
      <c r="AG19" s="106"/>
      <c r="AH19" s="106">
        <v>0</v>
      </c>
      <c r="AI19" s="106"/>
      <c r="AL19" s="108"/>
      <c r="AM19" s="108">
        <v>4.7E-2</v>
      </c>
      <c r="AN19" s="108">
        <v>4.8187099999999997E-2</v>
      </c>
      <c r="AO19" s="108">
        <v>4.791285E-2</v>
      </c>
      <c r="AQ19" s="110"/>
      <c r="AR19" s="101" t="s">
        <v>400</v>
      </c>
    </row>
    <row r="20" spans="2:44" x14ac:dyDescent="0.45">
      <c r="B20" s="111" t="s">
        <v>457</v>
      </c>
      <c r="C20" s="111" t="s">
        <v>458</v>
      </c>
      <c r="D20" s="111" t="s">
        <v>221</v>
      </c>
      <c r="E20" s="111" t="s">
        <v>241</v>
      </c>
      <c r="F20" s="112" t="s">
        <v>392</v>
      </c>
      <c r="G20" s="113" t="s">
        <v>344</v>
      </c>
      <c r="H20" s="111" t="s">
        <v>243</v>
      </c>
      <c r="I20" s="112" t="s">
        <v>403</v>
      </c>
      <c r="J20" s="112"/>
      <c r="K20" s="111" t="s">
        <v>394</v>
      </c>
      <c r="L20" s="111" t="s">
        <v>210</v>
      </c>
      <c r="M20" s="111" t="s">
        <v>395</v>
      </c>
      <c r="N20" s="114">
        <v>591000</v>
      </c>
      <c r="O20" s="112" t="s">
        <v>245</v>
      </c>
      <c r="P20" s="115">
        <v>44276</v>
      </c>
      <c r="Q20" s="116">
        <v>1</v>
      </c>
      <c r="R20" s="117"/>
      <c r="S20" s="112" t="s">
        <v>396</v>
      </c>
      <c r="T20" s="117">
        <v>155.77000000000001</v>
      </c>
      <c r="U20" s="117"/>
      <c r="V20" s="111" t="s">
        <v>304</v>
      </c>
      <c r="W20" s="116"/>
      <c r="X20" s="112"/>
      <c r="Y20" s="111" t="s">
        <v>400</v>
      </c>
      <c r="Z20" s="111" t="s">
        <v>459</v>
      </c>
      <c r="AA20" s="111" t="s">
        <v>441</v>
      </c>
      <c r="AB20" s="112"/>
      <c r="AC20" s="111" t="s">
        <v>394</v>
      </c>
      <c r="AD20" s="112"/>
      <c r="AE20" s="112" t="s">
        <v>460</v>
      </c>
      <c r="AF20" s="106"/>
      <c r="AG20" s="106"/>
      <c r="AH20" s="106">
        <v>0</v>
      </c>
      <c r="AI20" s="106"/>
      <c r="AL20" s="108"/>
      <c r="AM20" s="108">
        <v>4.7E-2</v>
      </c>
      <c r="AN20" s="108">
        <v>4.8187099999999997E-2</v>
      </c>
      <c r="AO20" s="108">
        <v>4.791285E-2</v>
      </c>
      <c r="AQ20" s="110"/>
      <c r="AR20" s="101" t="s">
        <v>400</v>
      </c>
    </row>
    <row r="21" spans="2:44" x14ac:dyDescent="0.45">
      <c r="B21" s="111" t="s">
        <v>461</v>
      </c>
      <c r="C21" s="111" t="s">
        <v>458</v>
      </c>
      <c r="D21" s="111" t="s">
        <v>221</v>
      </c>
      <c r="E21" s="111" t="s">
        <v>241</v>
      </c>
      <c r="F21" s="112" t="s">
        <v>392</v>
      </c>
      <c r="G21" s="113" t="s">
        <v>344</v>
      </c>
      <c r="H21" s="111" t="s">
        <v>243</v>
      </c>
      <c r="I21" s="112" t="s">
        <v>403</v>
      </c>
      <c r="J21" s="112"/>
      <c r="K21" s="111" t="s">
        <v>394</v>
      </c>
      <c r="L21" s="111" t="s">
        <v>210</v>
      </c>
      <c r="M21" s="111" t="s">
        <v>395</v>
      </c>
      <c r="N21" s="114">
        <v>392000</v>
      </c>
      <c r="O21" s="112" t="s">
        <v>245</v>
      </c>
      <c r="P21" s="115">
        <v>44276</v>
      </c>
      <c r="Q21" s="116">
        <v>1</v>
      </c>
      <c r="R21" s="117"/>
      <c r="S21" s="112"/>
      <c r="T21" s="117"/>
      <c r="U21" s="118"/>
      <c r="V21" s="111" t="s">
        <v>304</v>
      </c>
      <c r="W21" s="116"/>
      <c r="X21" s="112"/>
      <c r="Y21" s="111" t="s">
        <v>400</v>
      </c>
      <c r="Z21" s="111" t="s">
        <v>459</v>
      </c>
      <c r="AA21" s="111" t="s">
        <v>441</v>
      </c>
      <c r="AB21" s="112"/>
      <c r="AC21" s="111" t="s">
        <v>394</v>
      </c>
      <c r="AD21" s="112"/>
      <c r="AE21" s="112" t="s">
        <v>460</v>
      </c>
      <c r="AF21" s="106"/>
      <c r="AG21" s="106"/>
      <c r="AH21" s="106">
        <v>0</v>
      </c>
      <c r="AI21" s="106"/>
      <c r="AL21" s="108"/>
      <c r="AM21" s="108">
        <v>4.7E-2</v>
      </c>
      <c r="AN21" s="108">
        <v>4.8187099999999997E-2</v>
      </c>
      <c r="AO21" s="108">
        <v>4.791285E-2</v>
      </c>
      <c r="AQ21" s="110"/>
      <c r="AR21" s="101" t="s">
        <v>400</v>
      </c>
    </row>
    <row r="22" spans="2:44" x14ac:dyDescent="0.45">
      <c r="B22" s="111" t="s">
        <v>462</v>
      </c>
      <c r="C22" s="111" t="s">
        <v>463</v>
      </c>
      <c r="D22" s="111" t="s">
        <v>64</v>
      </c>
      <c r="E22" s="111" t="s">
        <v>241</v>
      </c>
      <c r="F22" s="112" t="s">
        <v>392</v>
      </c>
      <c r="G22" s="113" t="s">
        <v>310</v>
      </c>
      <c r="H22" s="111" t="s">
        <v>464</v>
      </c>
      <c r="I22" s="112" t="s">
        <v>403</v>
      </c>
      <c r="J22" s="112"/>
      <c r="K22" s="111" t="s">
        <v>394</v>
      </c>
      <c r="L22" s="111" t="s">
        <v>210</v>
      </c>
      <c r="M22" s="111" t="s">
        <v>395</v>
      </c>
      <c r="N22" s="114">
        <v>287000</v>
      </c>
      <c r="O22" s="112" t="s">
        <v>245</v>
      </c>
      <c r="P22" s="115">
        <v>44215</v>
      </c>
      <c r="Q22" s="116">
        <v>1</v>
      </c>
      <c r="R22" s="117"/>
      <c r="S22" s="112" t="s">
        <v>396</v>
      </c>
      <c r="T22" s="117">
        <v>141.46</v>
      </c>
      <c r="U22" s="117"/>
      <c r="V22" s="111" t="s">
        <v>304</v>
      </c>
      <c r="W22" s="116"/>
      <c r="X22" s="112"/>
      <c r="Y22" s="111" t="s">
        <v>400</v>
      </c>
      <c r="Z22" s="111" t="s">
        <v>465</v>
      </c>
      <c r="AA22" s="111" t="s">
        <v>466</v>
      </c>
      <c r="AB22" s="112"/>
      <c r="AC22" s="111" t="s">
        <v>394</v>
      </c>
      <c r="AD22" s="112"/>
      <c r="AE22" s="112" t="s">
        <v>415</v>
      </c>
      <c r="AF22" s="106"/>
      <c r="AG22" s="106"/>
      <c r="AH22" s="106">
        <v>0</v>
      </c>
      <c r="AI22" s="106"/>
      <c r="AJ22" s="101">
        <v>2003</v>
      </c>
      <c r="AL22" s="108"/>
      <c r="AM22" s="108">
        <v>4.7E-2</v>
      </c>
      <c r="AN22" s="108">
        <v>4.8187099999999997E-2</v>
      </c>
      <c r="AO22" s="108">
        <v>4.791285E-2</v>
      </c>
      <c r="AQ22" s="110"/>
      <c r="AR22" s="101" t="s">
        <v>400</v>
      </c>
    </row>
    <row r="23" spans="2:44" x14ac:dyDescent="0.45">
      <c r="B23" s="111" t="s">
        <v>467</v>
      </c>
      <c r="C23" s="111" t="s">
        <v>463</v>
      </c>
      <c r="D23" s="111" t="s">
        <v>64</v>
      </c>
      <c r="E23" s="111" t="s">
        <v>241</v>
      </c>
      <c r="F23" s="112" t="s">
        <v>392</v>
      </c>
      <c r="G23" s="113" t="s">
        <v>310</v>
      </c>
      <c r="H23" s="111" t="s">
        <v>243</v>
      </c>
      <c r="I23" s="112" t="s">
        <v>403</v>
      </c>
      <c r="J23" s="112"/>
      <c r="K23" s="111" t="s">
        <v>394</v>
      </c>
      <c r="L23" s="111" t="s">
        <v>210</v>
      </c>
      <c r="M23" s="111" t="s">
        <v>395</v>
      </c>
      <c r="N23" s="114">
        <v>39000</v>
      </c>
      <c r="O23" s="112" t="s">
        <v>245</v>
      </c>
      <c r="P23" s="115">
        <v>44215</v>
      </c>
      <c r="Q23" s="116">
        <v>1</v>
      </c>
      <c r="R23" s="117"/>
      <c r="S23" s="112"/>
      <c r="T23" s="117"/>
      <c r="U23" s="118"/>
      <c r="V23" s="111" t="s">
        <v>304</v>
      </c>
      <c r="W23" s="116"/>
      <c r="X23" s="112"/>
      <c r="Y23" s="111" t="s">
        <v>400</v>
      </c>
      <c r="Z23" s="111" t="s">
        <v>465</v>
      </c>
      <c r="AA23" s="111" t="s">
        <v>466</v>
      </c>
      <c r="AB23" s="112"/>
      <c r="AC23" s="111" t="s">
        <v>394</v>
      </c>
      <c r="AD23" s="112"/>
      <c r="AE23" s="112" t="s">
        <v>415</v>
      </c>
      <c r="AF23" s="106"/>
      <c r="AG23" s="106"/>
      <c r="AH23" s="106">
        <v>0</v>
      </c>
      <c r="AI23" s="106"/>
      <c r="AJ23" s="101">
        <v>2003</v>
      </c>
      <c r="AL23" s="108"/>
      <c r="AM23" s="108">
        <v>4.7E-2</v>
      </c>
      <c r="AN23" s="108">
        <v>4.8187099999999997E-2</v>
      </c>
      <c r="AO23" s="108">
        <v>4.791285E-2</v>
      </c>
      <c r="AQ23" s="110"/>
      <c r="AR23" s="101" t="s">
        <v>400</v>
      </c>
    </row>
    <row r="24" spans="2:44" x14ac:dyDescent="0.45">
      <c r="B24" s="111" t="s">
        <v>468</v>
      </c>
      <c r="C24" s="111" t="s">
        <v>469</v>
      </c>
      <c r="D24" s="111" t="s">
        <v>64</v>
      </c>
      <c r="E24" s="111" t="s">
        <v>241</v>
      </c>
      <c r="F24" s="112" t="s">
        <v>392</v>
      </c>
      <c r="G24" s="113" t="s">
        <v>310</v>
      </c>
      <c r="H24" s="111" t="s">
        <v>243</v>
      </c>
      <c r="I24" s="112" t="s">
        <v>403</v>
      </c>
      <c r="J24" s="112"/>
      <c r="K24" s="111" t="s">
        <v>394</v>
      </c>
      <c r="L24" s="111" t="s">
        <v>210</v>
      </c>
      <c r="M24" s="111" t="s">
        <v>395</v>
      </c>
      <c r="N24" s="114">
        <v>31000</v>
      </c>
      <c r="O24" s="112" t="s">
        <v>245</v>
      </c>
      <c r="P24" s="115">
        <v>44215</v>
      </c>
      <c r="Q24" s="116">
        <v>1</v>
      </c>
      <c r="R24" s="117"/>
      <c r="S24" s="112"/>
      <c r="T24" s="117"/>
      <c r="U24" s="118"/>
      <c r="V24" s="111" t="s">
        <v>304</v>
      </c>
      <c r="W24" s="116"/>
      <c r="X24" s="112"/>
      <c r="Y24" s="111" t="s">
        <v>400</v>
      </c>
      <c r="Z24" s="111" t="s">
        <v>465</v>
      </c>
      <c r="AA24" s="111" t="s">
        <v>466</v>
      </c>
      <c r="AB24" s="112"/>
      <c r="AC24" s="111" t="s">
        <v>394</v>
      </c>
      <c r="AD24" s="112"/>
      <c r="AE24" s="112" t="s">
        <v>415</v>
      </c>
      <c r="AF24" s="106"/>
      <c r="AG24" s="106"/>
      <c r="AH24" s="106">
        <v>0</v>
      </c>
      <c r="AI24" s="106"/>
      <c r="AJ24" s="101">
        <v>1991</v>
      </c>
      <c r="AL24" s="108"/>
      <c r="AM24" s="108">
        <v>4.7E-2</v>
      </c>
      <c r="AN24" s="108">
        <v>4.8187099999999997E-2</v>
      </c>
      <c r="AO24" s="108">
        <v>4.791285E-2</v>
      </c>
      <c r="AQ24" s="110"/>
      <c r="AR24" s="101" t="s">
        <v>400</v>
      </c>
    </row>
    <row r="25" spans="2:44" x14ac:dyDescent="0.45">
      <c r="B25" s="111" t="s">
        <v>470</v>
      </c>
      <c r="C25" s="111" t="s">
        <v>471</v>
      </c>
      <c r="D25" s="111"/>
      <c r="E25" s="111"/>
      <c r="F25" s="112" t="s">
        <v>392</v>
      </c>
      <c r="G25" s="113" t="s">
        <v>344</v>
      </c>
      <c r="H25" s="111" t="s">
        <v>243</v>
      </c>
      <c r="I25" s="112" t="s">
        <v>403</v>
      </c>
      <c r="J25" s="112"/>
      <c r="K25" s="111" t="s">
        <v>394</v>
      </c>
      <c r="L25" s="111" t="s">
        <v>210</v>
      </c>
      <c r="M25" s="111" t="s">
        <v>395</v>
      </c>
      <c r="N25" s="114">
        <v>4287000</v>
      </c>
      <c r="O25" s="112" t="s">
        <v>245</v>
      </c>
      <c r="P25" s="115">
        <v>44167</v>
      </c>
      <c r="Q25" s="116">
        <v>1</v>
      </c>
      <c r="R25" s="117"/>
      <c r="S25" s="112" t="s">
        <v>396</v>
      </c>
      <c r="T25" s="117">
        <v>107.89</v>
      </c>
      <c r="U25" s="117"/>
      <c r="V25" s="111" t="s">
        <v>304</v>
      </c>
      <c r="W25" s="116"/>
      <c r="X25" s="112"/>
      <c r="Y25" s="111" t="s">
        <v>400</v>
      </c>
      <c r="Z25" s="111" t="s">
        <v>466</v>
      </c>
      <c r="AA25" s="111" t="s">
        <v>472</v>
      </c>
      <c r="AB25" s="112"/>
      <c r="AC25" s="111" t="s">
        <v>394</v>
      </c>
      <c r="AD25" s="112"/>
      <c r="AE25" s="112" t="s">
        <v>415</v>
      </c>
      <c r="AF25" s="106"/>
      <c r="AG25" s="106"/>
      <c r="AH25" s="106">
        <v>0</v>
      </c>
      <c r="AI25" s="106"/>
      <c r="AJ25" s="101">
        <v>2019</v>
      </c>
      <c r="AL25" s="108"/>
      <c r="AM25" s="108">
        <v>4.7E-2</v>
      </c>
      <c r="AN25" s="108">
        <v>4.8187099999999997E-2</v>
      </c>
      <c r="AO25" s="108">
        <v>4.791285E-2</v>
      </c>
      <c r="AQ25" s="110"/>
      <c r="AR25" s="101" t="s">
        <v>400</v>
      </c>
    </row>
    <row r="26" spans="2:44" x14ac:dyDescent="0.45">
      <c r="B26" s="111" t="s">
        <v>473</v>
      </c>
      <c r="C26" s="111" t="s">
        <v>471</v>
      </c>
      <c r="D26" s="111" t="s">
        <v>221</v>
      </c>
      <c r="E26" s="111" t="s">
        <v>241</v>
      </c>
      <c r="F26" s="112" t="s">
        <v>392</v>
      </c>
      <c r="G26" s="113" t="s">
        <v>344</v>
      </c>
      <c r="H26" s="111" t="s">
        <v>243</v>
      </c>
      <c r="I26" s="112" t="s">
        <v>403</v>
      </c>
      <c r="J26" s="112"/>
      <c r="K26" s="111" t="s">
        <v>394</v>
      </c>
      <c r="L26" s="111" t="s">
        <v>210</v>
      </c>
      <c r="M26" s="111" t="s">
        <v>395</v>
      </c>
      <c r="N26" s="114">
        <v>1066000</v>
      </c>
      <c r="O26" s="112" t="s">
        <v>245</v>
      </c>
      <c r="P26" s="115">
        <v>44167</v>
      </c>
      <c r="Q26" s="116">
        <v>1</v>
      </c>
      <c r="R26" s="117">
        <v>132.81</v>
      </c>
      <c r="S26" s="112" t="s">
        <v>396</v>
      </c>
      <c r="T26" s="117">
        <v>124.58</v>
      </c>
      <c r="U26" s="118"/>
      <c r="V26" s="111" t="s">
        <v>304</v>
      </c>
      <c r="W26" s="116"/>
      <c r="X26" s="112"/>
      <c r="Y26" s="111" t="s">
        <v>400</v>
      </c>
      <c r="Z26" s="111" t="s">
        <v>466</v>
      </c>
      <c r="AA26" s="111" t="s">
        <v>472</v>
      </c>
      <c r="AB26" s="112"/>
      <c r="AC26" s="111" t="s">
        <v>394</v>
      </c>
      <c r="AD26" s="112"/>
      <c r="AE26" s="112" t="s">
        <v>415</v>
      </c>
      <c r="AF26" s="106"/>
      <c r="AG26" s="106"/>
      <c r="AH26" s="106">
        <v>0</v>
      </c>
      <c r="AI26" s="106"/>
      <c r="AJ26" s="101">
        <v>2019</v>
      </c>
      <c r="AL26" s="108"/>
      <c r="AM26" s="108">
        <v>4.7E-2</v>
      </c>
      <c r="AN26" s="108">
        <v>4.8187099999999997E-2</v>
      </c>
      <c r="AO26" s="108">
        <v>4.791285E-2</v>
      </c>
      <c r="AQ26" s="110"/>
      <c r="AR26" s="101" t="s">
        <v>400</v>
      </c>
    </row>
    <row r="27" spans="2:44" x14ac:dyDescent="0.45">
      <c r="B27" s="101" t="s">
        <v>474</v>
      </c>
      <c r="C27" s="101" t="s">
        <v>475</v>
      </c>
      <c r="D27" s="101" t="s">
        <v>211</v>
      </c>
      <c r="E27" s="101" t="s">
        <v>241</v>
      </c>
      <c r="F27" s="104" t="s">
        <v>392</v>
      </c>
      <c r="G27" s="105" t="s">
        <v>303</v>
      </c>
      <c r="H27" s="101" t="s">
        <v>243</v>
      </c>
      <c r="I27" s="104" t="s">
        <v>403</v>
      </c>
      <c r="J27" s="104"/>
      <c r="K27" s="101" t="s">
        <v>394</v>
      </c>
      <c r="L27" s="101" t="s">
        <v>210</v>
      </c>
      <c r="M27" s="101" t="s">
        <v>395</v>
      </c>
      <c r="N27" s="106">
        <v>331000</v>
      </c>
      <c r="O27" s="104" t="s">
        <v>245</v>
      </c>
      <c r="P27" s="107">
        <v>44152</v>
      </c>
      <c r="Q27" s="108">
        <v>1</v>
      </c>
      <c r="R27" s="109">
        <v>46</v>
      </c>
      <c r="S27" s="104" t="s">
        <v>396</v>
      </c>
      <c r="T27" s="109">
        <v>138.97</v>
      </c>
      <c r="U27" s="103"/>
      <c r="V27" s="101" t="s">
        <v>304</v>
      </c>
      <c r="W27" s="108">
        <v>4.0670449999999997E-2</v>
      </c>
      <c r="X27" s="104" t="s">
        <v>397</v>
      </c>
      <c r="Y27" s="101" t="s">
        <v>394</v>
      </c>
      <c r="Z27" s="101" t="s">
        <v>476</v>
      </c>
      <c r="AB27" s="104"/>
      <c r="AC27" s="101" t="s">
        <v>394</v>
      </c>
      <c r="AD27" s="104" t="s">
        <v>415</v>
      </c>
      <c r="AE27" s="104"/>
      <c r="AF27" s="106">
        <v>8.99</v>
      </c>
      <c r="AG27" s="106"/>
      <c r="AH27" s="106">
        <v>0</v>
      </c>
      <c r="AI27" s="106">
        <v>1</v>
      </c>
      <c r="AL27" s="108"/>
      <c r="AM27" s="108">
        <v>4.7E-2</v>
      </c>
      <c r="AN27" s="108">
        <v>4.8187099999999997E-2</v>
      </c>
      <c r="AO27" s="108">
        <v>4.791285E-2</v>
      </c>
      <c r="AQ27" s="110"/>
      <c r="AR27" s="101" t="s">
        <v>400</v>
      </c>
    </row>
    <row r="28" spans="2:44" x14ac:dyDescent="0.45">
      <c r="B28" s="101" t="s">
        <v>477</v>
      </c>
      <c r="C28" s="101" t="s">
        <v>478</v>
      </c>
      <c r="D28" s="101" t="s">
        <v>64</v>
      </c>
      <c r="E28" s="101" t="s">
        <v>241</v>
      </c>
      <c r="F28" s="104" t="s">
        <v>392</v>
      </c>
      <c r="G28" s="105" t="s">
        <v>310</v>
      </c>
      <c r="H28" s="101" t="s">
        <v>243</v>
      </c>
      <c r="I28" s="104" t="s">
        <v>403</v>
      </c>
      <c r="J28" s="104"/>
      <c r="K28" s="101" t="s">
        <v>394</v>
      </c>
      <c r="L28" s="101" t="s">
        <v>210</v>
      </c>
      <c r="M28" s="101" t="s">
        <v>395</v>
      </c>
      <c r="N28" s="106">
        <v>118000</v>
      </c>
      <c r="O28" s="104" t="s">
        <v>245</v>
      </c>
      <c r="P28" s="107">
        <v>43899</v>
      </c>
      <c r="Q28" s="108">
        <v>1</v>
      </c>
      <c r="R28" s="109">
        <v>10.5</v>
      </c>
      <c r="S28" s="104" t="s">
        <v>396</v>
      </c>
      <c r="T28" s="109">
        <v>88.98</v>
      </c>
      <c r="U28" s="103"/>
      <c r="V28" s="101" t="s">
        <v>304</v>
      </c>
      <c r="W28" s="108">
        <v>3.9120729999999999E-2</v>
      </c>
      <c r="X28" s="104" t="s">
        <v>397</v>
      </c>
      <c r="Y28" s="101" t="s">
        <v>394</v>
      </c>
      <c r="Z28" s="101" t="s">
        <v>455</v>
      </c>
      <c r="AA28" s="101" t="s">
        <v>479</v>
      </c>
      <c r="AB28" s="104"/>
      <c r="AC28" s="101" t="s">
        <v>394</v>
      </c>
      <c r="AD28" s="104"/>
      <c r="AE28" s="104" t="s">
        <v>450</v>
      </c>
      <c r="AF28" s="106"/>
      <c r="AG28" s="106"/>
      <c r="AH28" s="106">
        <v>0</v>
      </c>
      <c r="AI28" s="106"/>
      <c r="AL28" s="108"/>
      <c r="AM28" s="108">
        <v>4.7E-2</v>
      </c>
      <c r="AN28" s="108">
        <v>4.8187099999999997E-2</v>
      </c>
      <c r="AO28" s="108">
        <v>4.791285E-2</v>
      </c>
      <c r="AQ28" s="110"/>
      <c r="AR28" s="101" t="s">
        <v>400</v>
      </c>
    </row>
    <row r="29" spans="2:44" x14ac:dyDescent="0.45">
      <c r="B29" s="101" t="s">
        <v>425</v>
      </c>
      <c r="C29" s="101" t="s">
        <v>426</v>
      </c>
      <c r="D29" s="101" t="s">
        <v>64</v>
      </c>
      <c r="E29" s="101" t="s">
        <v>241</v>
      </c>
      <c r="F29" s="104" t="s">
        <v>392</v>
      </c>
      <c r="G29" s="105" t="s">
        <v>316</v>
      </c>
      <c r="H29" s="101" t="s">
        <v>243</v>
      </c>
      <c r="I29" s="104" t="s">
        <v>403</v>
      </c>
      <c r="J29" s="104"/>
      <c r="K29" s="101" t="s">
        <v>394</v>
      </c>
      <c r="L29" s="101" t="s">
        <v>210</v>
      </c>
      <c r="M29" s="101" t="s">
        <v>395</v>
      </c>
      <c r="N29" s="106">
        <v>193000</v>
      </c>
      <c r="O29" s="104" t="s">
        <v>245</v>
      </c>
      <c r="P29" s="107">
        <v>43861</v>
      </c>
      <c r="Q29" s="108">
        <v>1</v>
      </c>
      <c r="R29" s="109">
        <v>11.5</v>
      </c>
      <c r="S29" s="104" t="s">
        <v>396</v>
      </c>
      <c r="T29" s="109">
        <v>59.59</v>
      </c>
      <c r="U29" s="103"/>
      <c r="V29" s="101" t="s">
        <v>304</v>
      </c>
      <c r="W29" s="108">
        <v>3.9120729999999999E-2</v>
      </c>
      <c r="X29" s="104" t="s">
        <v>397</v>
      </c>
      <c r="Y29" s="101" t="s">
        <v>394</v>
      </c>
      <c r="AA29" s="101" t="s">
        <v>480</v>
      </c>
      <c r="AB29" s="104"/>
      <c r="AC29" s="101" t="s">
        <v>394</v>
      </c>
      <c r="AD29" s="104"/>
      <c r="AE29" s="104" t="s">
        <v>430</v>
      </c>
      <c r="AF29" s="106"/>
      <c r="AG29" s="106"/>
      <c r="AH29" s="106">
        <v>0</v>
      </c>
      <c r="AI29" s="106"/>
      <c r="AL29" s="108"/>
      <c r="AM29" s="108">
        <v>4.7E-2</v>
      </c>
      <c r="AN29" s="108">
        <v>4.8187099999999997E-2</v>
      </c>
      <c r="AO29" s="108">
        <v>4.791285E-2</v>
      </c>
      <c r="AQ29" s="110"/>
      <c r="AR29" s="101" t="s">
        <v>400</v>
      </c>
    </row>
    <row r="30" spans="2:44" x14ac:dyDescent="0.45">
      <c r="B30" s="101" t="s">
        <v>331</v>
      </c>
      <c r="C30" s="101" t="s">
        <v>481</v>
      </c>
      <c r="D30" s="101" t="s">
        <v>64</v>
      </c>
      <c r="E30" s="101" t="s">
        <v>241</v>
      </c>
      <c r="F30" s="104" t="s">
        <v>392</v>
      </c>
      <c r="G30" s="105" t="s">
        <v>310</v>
      </c>
      <c r="H30" s="101" t="s">
        <v>243</v>
      </c>
      <c r="I30" s="104" t="s">
        <v>403</v>
      </c>
      <c r="J30" s="104"/>
      <c r="K30" s="101" t="s">
        <v>394</v>
      </c>
      <c r="L30" s="101" t="s">
        <v>210</v>
      </c>
      <c r="M30" s="101" t="s">
        <v>395</v>
      </c>
      <c r="N30" s="106">
        <v>328000</v>
      </c>
      <c r="O30" s="104" t="s">
        <v>245</v>
      </c>
      <c r="P30" s="107">
        <v>43830</v>
      </c>
      <c r="Q30" s="108">
        <v>1</v>
      </c>
      <c r="R30" s="109">
        <v>39.700000000000003</v>
      </c>
      <c r="S30" s="104" t="s">
        <v>396</v>
      </c>
      <c r="T30" s="109">
        <v>121.04</v>
      </c>
      <c r="U30" s="103"/>
      <c r="V30" s="101" t="s">
        <v>304</v>
      </c>
      <c r="W30" s="108">
        <v>4.0620730000000001E-2</v>
      </c>
      <c r="X30" s="104" t="s">
        <v>397</v>
      </c>
      <c r="Y30" s="101" t="s">
        <v>394</v>
      </c>
      <c r="Z30" s="101" t="s">
        <v>482</v>
      </c>
      <c r="AA30" s="101" t="s">
        <v>483</v>
      </c>
      <c r="AB30" s="104"/>
      <c r="AC30" s="101" t="s">
        <v>394</v>
      </c>
      <c r="AD30" s="104"/>
      <c r="AE30" s="104" t="s">
        <v>450</v>
      </c>
      <c r="AF30" s="106">
        <v>15.368</v>
      </c>
      <c r="AG30" s="106"/>
      <c r="AH30" s="106">
        <v>0</v>
      </c>
      <c r="AI30" s="106">
        <v>1</v>
      </c>
      <c r="AL30" s="108"/>
      <c r="AM30" s="108">
        <v>4.7E-2</v>
      </c>
      <c r="AN30" s="108">
        <v>4.8187099999999997E-2</v>
      </c>
      <c r="AO30" s="108">
        <v>4.791285E-2</v>
      </c>
      <c r="AQ30" s="110"/>
      <c r="AR30" s="101" t="s">
        <v>400</v>
      </c>
    </row>
    <row r="31" spans="2:44" x14ac:dyDescent="0.45">
      <c r="B31" s="111" t="s">
        <v>484</v>
      </c>
      <c r="C31" s="111" t="s">
        <v>485</v>
      </c>
      <c r="D31" s="111" t="s">
        <v>64</v>
      </c>
      <c r="E31" s="111" t="s">
        <v>241</v>
      </c>
      <c r="F31" s="112" t="s">
        <v>392</v>
      </c>
      <c r="G31" s="113"/>
      <c r="H31" s="111" t="s">
        <v>243</v>
      </c>
      <c r="I31" s="112" t="s">
        <v>403</v>
      </c>
      <c r="J31" s="112" t="s">
        <v>486</v>
      </c>
      <c r="K31" s="111" t="s">
        <v>394</v>
      </c>
      <c r="L31" s="111" t="s">
        <v>487</v>
      </c>
      <c r="M31" s="111"/>
      <c r="N31" s="114">
        <v>257000</v>
      </c>
      <c r="O31" s="112" t="s">
        <v>245</v>
      </c>
      <c r="P31" s="115">
        <v>43818</v>
      </c>
      <c r="Q31" s="116">
        <v>1</v>
      </c>
      <c r="R31" s="117">
        <v>24.8</v>
      </c>
      <c r="S31" s="112" t="s">
        <v>396</v>
      </c>
      <c r="T31" s="117">
        <v>96.5</v>
      </c>
      <c r="U31" s="118"/>
      <c r="V31" s="111"/>
      <c r="W31" s="116"/>
      <c r="X31" s="112"/>
      <c r="Y31" s="111" t="s">
        <v>400</v>
      </c>
      <c r="Z31" s="111"/>
      <c r="AA31" s="111"/>
      <c r="AB31" s="112"/>
      <c r="AC31" s="111" t="s">
        <v>394</v>
      </c>
      <c r="AD31" s="112"/>
      <c r="AE31" s="112" t="s">
        <v>415</v>
      </c>
      <c r="AF31" s="106"/>
      <c r="AG31" s="106"/>
      <c r="AH31" s="106">
        <v>0</v>
      </c>
      <c r="AI31" s="106"/>
      <c r="AL31" s="108"/>
      <c r="AM31" s="108"/>
      <c r="AN31" s="108"/>
      <c r="AO31" s="108"/>
      <c r="AQ31" s="110"/>
      <c r="AR31" s="101" t="s">
        <v>400</v>
      </c>
    </row>
    <row r="32" spans="2:44" x14ac:dyDescent="0.45">
      <c r="B32" s="101" t="s">
        <v>488</v>
      </c>
      <c r="C32" s="101" t="s">
        <v>489</v>
      </c>
      <c r="D32" s="101" t="s">
        <v>221</v>
      </c>
      <c r="E32" s="101" t="s">
        <v>241</v>
      </c>
      <c r="F32" s="104" t="s">
        <v>392</v>
      </c>
      <c r="G32" s="105" t="s">
        <v>344</v>
      </c>
      <c r="H32" s="101" t="s">
        <v>243</v>
      </c>
      <c r="I32" s="104" t="s">
        <v>403</v>
      </c>
      <c r="J32" s="104"/>
      <c r="K32" s="101" t="s">
        <v>394</v>
      </c>
      <c r="L32" s="101" t="s">
        <v>210</v>
      </c>
      <c r="M32" s="101" t="s">
        <v>395</v>
      </c>
      <c r="N32" s="106">
        <v>344000</v>
      </c>
      <c r="O32" s="104" t="s">
        <v>245</v>
      </c>
      <c r="P32" s="107">
        <v>43663</v>
      </c>
      <c r="Q32" s="108">
        <v>1</v>
      </c>
      <c r="R32" s="109">
        <v>43.1</v>
      </c>
      <c r="S32" s="104" t="s">
        <v>396</v>
      </c>
      <c r="T32" s="109">
        <v>125.29</v>
      </c>
      <c r="U32" s="103"/>
      <c r="V32" s="101" t="s">
        <v>304</v>
      </c>
      <c r="W32" s="108">
        <v>4.3170449999999999E-2</v>
      </c>
      <c r="X32" s="104" t="s">
        <v>397</v>
      </c>
      <c r="Y32" s="101" t="s">
        <v>394</v>
      </c>
      <c r="Z32" s="101" t="s">
        <v>490</v>
      </c>
      <c r="AA32" s="101" t="s">
        <v>491</v>
      </c>
      <c r="AB32" s="104"/>
      <c r="AC32" s="101" t="s">
        <v>394</v>
      </c>
      <c r="AD32" s="104"/>
      <c r="AE32" s="104" t="s">
        <v>450</v>
      </c>
      <c r="AF32" s="106">
        <v>14.885999999999999</v>
      </c>
      <c r="AG32" s="106"/>
      <c r="AH32" s="106">
        <v>0</v>
      </c>
      <c r="AI32" s="106">
        <v>1</v>
      </c>
      <c r="AL32" s="108"/>
      <c r="AM32" s="108">
        <v>4.7E-2</v>
      </c>
      <c r="AN32" s="108">
        <v>4.8187099999999997E-2</v>
      </c>
      <c r="AO32" s="108">
        <v>4.791285E-2</v>
      </c>
      <c r="AQ32" s="110"/>
      <c r="AR32" s="101" t="s">
        <v>400</v>
      </c>
    </row>
    <row r="33" spans="2:44" x14ac:dyDescent="0.45">
      <c r="B33" s="101" t="s">
        <v>492</v>
      </c>
      <c r="C33" s="101" t="s">
        <v>493</v>
      </c>
      <c r="D33" s="101" t="s">
        <v>64</v>
      </c>
      <c r="E33" s="101" t="s">
        <v>241</v>
      </c>
      <c r="F33" s="104" t="s">
        <v>392</v>
      </c>
      <c r="G33" s="105" t="s">
        <v>310</v>
      </c>
      <c r="H33" s="101" t="s">
        <v>243</v>
      </c>
      <c r="I33" s="104" t="s">
        <v>403</v>
      </c>
      <c r="J33" s="104"/>
      <c r="K33" s="101" t="s">
        <v>394</v>
      </c>
      <c r="L33" s="101" t="s">
        <v>210</v>
      </c>
      <c r="M33" s="101" t="s">
        <v>395</v>
      </c>
      <c r="N33" s="106">
        <v>290000</v>
      </c>
      <c r="O33" s="104" t="s">
        <v>245</v>
      </c>
      <c r="P33" s="107">
        <v>43508</v>
      </c>
      <c r="Q33" s="108">
        <v>1</v>
      </c>
      <c r="R33" s="109">
        <v>31.29</v>
      </c>
      <c r="S33" s="104" t="s">
        <v>396</v>
      </c>
      <c r="T33" s="109">
        <v>107.88</v>
      </c>
      <c r="U33" s="103"/>
      <c r="V33" s="101" t="s">
        <v>304</v>
      </c>
      <c r="W33" s="108">
        <v>4.2120730000000002E-2</v>
      </c>
      <c r="X33" s="104" t="s">
        <v>397</v>
      </c>
      <c r="Y33" s="101" t="s">
        <v>394</v>
      </c>
      <c r="Z33" s="101" t="s">
        <v>494</v>
      </c>
      <c r="AB33" s="104"/>
      <c r="AC33" s="101" t="s">
        <v>394</v>
      </c>
      <c r="AD33" s="104"/>
      <c r="AE33" s="104" t="s">
        <v>415</v>
      </c>
      <c r="AF33" s="106">
        <v>16</v>
      </c>
      <c r="AG33" s="106"/>
      <c r="AH33" s="106">
        <v>0</v>
      </c>
      <c r="AI33" s="106">
        <v>1</v>
      </c>
      <c r="AL33" s="108"/>
      <c r="AM33" s="108">
        <v>4.7E-2</v>
      </c>
      <c r="AN33" s="108">
        <v>4.8187099999999997E-2</v>
      </c>
      <c r="AO33" s="108">
        <v>4.791285E-2</v>
      </c>
      <c r="AQ33" s="110"/>
      <c r="AR33" s="101" t="s">
        <v>400</v>
      </c>
    </row>
    <row r="34" spans="2:44" x14ac:dyDescent="0.45">
      <c r="B34" s="111" t="s">
        <v>495</v>
      </c>
      <c r="C34" s="111" t="s">
        <v>496</v>
      </c>
      <c r="D34" s="111"/>
      <c r="E34" s="111"/>
      <c r="F34" s="112" t="s">
        <v>392</v>
      </c>
      <c r="G34" s="113" t="s">
        <v>344</v>
      </c>
      <c r="H34" s="111" t="s">
        <v>243</v>
      </c>
      <c r="I34" s="112" t="s">
        <v>403</v>
      </c>
      <c r="J34" s="112"/>
      <c r="K34" s="111" t="s">
        <v>394</v>
      </c>
      <c r="L34" s="111" t="s">
        <v>210</v>
      </c>
      <c r="M34" s="111" t="s">
        <v>395</v>
      </c>
      <c r="N34" s="114">
        <v>21719000</v>
      </c>
      <c r="O34" s="112" t="s">
        <v>245</v>
      </c>
      <c r="P34" s="115">
        <v>43172</v>
      </c>
      <c r="Q34" s="116">
        <v>1</v>
      </c>
      <c r="R34" s="117"/>
      <c r="S34" s="112" t="s">
        <v>396</v>
      </c>
      <c r="T34" s="117">
        <v>83.11</v>
      </c>
      <c r="U34" s="117"/>
      <c r="V34" s="111" t="s">
        <v>304</v>
      </c>
      <c r="W34" s="116"/>
      <c r="X34" s="112"/>
      <c r="Y34" s="111" t="s">
        <v>400</v>
      </c>
      <c r="Z34" s="111" t="s">
        <v>497</v>
      </c>
      <c r="AA34" s="111" t="s">
        <v>498</v>
      </c>
      <c r="AB34" s="112"/>
      <c r="AC34" s="111" t="s">
        <v>394</v>
      </c>
      <c r="AD34" s="112"/>
      <c r="AE34" s="112" t="s">
        <v>460</v>
      </c>
      <c r="AF34" s="106"/>
      <c r="AG34" s="106"/>
      <c r="AH34" s="106">
        <v>0</v>
      </c>
      <c r="AI34" s="106"/>
      <c r="AL34" s="108"/>
      <c r="AM34" s="108">
        <v>4.7E-2</v>
      </c>
      <c r="AN34" s="108">
        <v>4.8187099999999997E-2</v>
      </c>
      <c r="AO34" s="108">
        <v>4.791285E-2</v>
      </c>
      <c r="AQ34" s="110"/>
      <c r="AR34" s="101" t="s">
        <v>400</v>
      </c>
    </row>
    <row r="35" spans="2:44" x14ac:dyDescent="0.45">
      <c r="B35" s="111" t="s">
        <v>499</v>
      </c>
      <c r="C35" s="111" t="s">
        <v>496</v>
      </c>
      <c r="D35" s="111" t="s">
        <v>221</v>
      </c>
      <c r="E35" s="111" t="s">
        <v>241</v>
      </c>
      <c r="F35" s="112" t="s">
        <v>392</v>
      </c>
      <c r="G35" s="113" t="s">
        <v>344</v>
      </c>
      <c r="H35" s="111" t="s">
        <v>243</v>
      </c>
      <c r="I35" s="112" t="s">
        <v>403</v>
      </c>
      <c r="J35" s="112"/>
      <c r="K35" s="111" t="s">
        <v>394</v>
      </c>
      <c r="L35" s="111" t="s">
        <v>210</v>
      </c>
      <c r="M35" s="111" t="s">
        <v>395</v>
      </c>
      <c r="N35" s="114">
        <v>44000</v>
      </c>
      <c r="O35" s="112" t="s">
        <v>245</v>
      </c>
      <c r="P35" s="115">
        <v>43172</v>
      </c>
      <c r="Q35" s="116">
        <v>1</v>
      </c>
      <c r="R35" s="117"/>
      <c r="S35" s="112"/>
      <c r="T35" s="117"/>
      <c r="U35" s="118"/>
      <c r="V35" s="111" t="s">
        <v>304</v>
      </c>
      <c r="W35" s="116"/>
      <c r="X35" s="112"/>
      <c r="Y35" s="111" t="s">
        <v>400</v>
      </c>
      <c r="Z35" s="111" t="s">
        <v>497</v>
      </c>
      <c r="AA35" s="111" t="s">
        <v>498</v>
      </c>
      <c r="AB35" s="112"/>
      <c r="AC35" s="111" t="s">
        <v>394</v>
      </c>
      <c r="AD35" s="112"/>
      <c r="AE35" s="112" t="s">
        <v>460</v>
      </c>
      <c r="AF35" s="106"/>
      <c r="AG35" s="106"/>
      <c r="AH35" s="106">
        <v>0</v>
      </c>
      <c r="AI35" s="106"/>
      <c r="AL35" s="108"/>
      <c r="AM35" s="108">
        <v>4.7E-2</v>
      </c>
      <c r="AN35" s="108">
        <v>4.8187099999999997E-2</v>
      </c>
      <c r="AO35" s="108">
        <v>4.791285E-2</v>
      </c>
      <c r="AQ35" s="110"/>
      <c r="AR35" s="101" t="s">
        <v>400</v>
      </c>
    </row>
    <row r="36" spans="2:44" x14ac:dyDescent="0.45">
      <c r="B36" s="111" t="s">
        <v>500</v>
      </c>
      <c r="C36" s="111" t="s">
        <v>501</v>
      </c>
      <c r="D36" s="111" t="s">
        <v>221</v>
      </c>
      <c r="E36" s="111" t="s">
        <v>241</v>
      </c>
      <c r="F36" s="112" t="s">
        <v>392</v>
      </c>
      <c r="G36" s="113" t="s">
        <v>344</v>
      </c>
      <c r="H36" s="111" t="s">
        <v>243</v>
      </c>
      <c r="I36" s="112" t="s">
        <v>403</v>
      </c>
      <c r="J36" s="112"/>
      <c r="K36" s="111" t="s">
        <v>394</v>
      </c>
      <c r="L36" s="111" t="s">
        <v>210</v>
      </c>
      <c r="M36" s="111" t="s">
        <v>395</v>
      </c>
      <c r="N36" s="114">
        <v>40000</v>
      </c>
      <c r="O36" s="112" t="s">
        <v>245</v>
      </c>
      <c r="P36" s="115">
        <v>43172</v>
      </c>
      <c r="Q36" s="116">
        <v>1</v>
      </c>
      <c r="R36" s="117"/>
      <c r="S36" s="112"/>
      <c r="T36" s="117"/>
      <c r="U36" s="118"/>
      <c r="V36" s="111" t="s">
        <v>304</v>
      </c>
      <c r="W36" s="116"/>
      <c r="X36" s="112"/>
      <c r="Y36" s="111" t="s">
        <v>400</v>
      </c>
      <c r="Z36" s="111" t="s">
        <v>497</v>
      </c>
      <c r="AA36" s="111" t="s">
        <v>498</v>
      </c>
      <c r="AB36" s="112"/>
      <c r="AC36" s="111" t="s">
        <v>394</v>
      </c>
      <c r="AD36" s="112"/>
      <c r="AE36" s="112" t="s">
        <v>460</v>
      </c>
      <c r="AF36" s="106"/>
      <c r="AG36" s="106"/>
      <c r="AH36" s="106">
        <v>0</v>
      </c>
      <c r="AI36" s="106"/>
      <c r="AL36" s="108"/>
      <c r="AM36" s="108">
        <v>4.7E-2</v>
      </c>
      <c r="AN36" s="108">
        <v>4.8187099999999997E-2</v>
      </c>
      <c r="AO36" s="108">
        <v>4.791285E-2</v>
      </c>
      <c r="AQ36" s="110"/>
      <c r="AR36" s="101" t="s">
        <v>400</v>
      </c>
    </row>
    <row r="37" spans="2:44" x14ac:dyDescent="0.45">
      <c r="B37" s="111" t="s">
        <v>502</v>
      </c>
      <c r="C37" s="111" t="s">
        <v>503</v>
      </c>
      <c r="D37" s="111" t="s">
        <v>221</v>
      </c>
      <c r="E37" s="111" t="s">
        <v>241</v>
      </c>
      <c r="F37" s="112" t="s">
        <v>392</v>
      </c>
      <c r="G37" s="113" t="s">
        <v>344</v>
      </c>
      <c r="H37" s="111" t="s">
        <v>243</v>
      </c>
      <c r="I37" s="112" t="s">
        <v>403</v>
      </c>
      <c r="J37" s="112"/>
      <c r="K37" s="111" t="s">
        <v>394</v>
      </c>
      <c r="L37" s="111" t="s">
        <v>210</v>
      </c>
      <c r="M37" s="111" t="s">
        <v>395</v>
      </c>
      <c r="N37" s="114">
        <v>60000</v>
      </c>
      <c r="O37" s="112" t="s">
        <v>245</v>
      </c>
      <c r="P37" s="115">
        <v>43172</v>
      </c>
      <c r="Q37" s="116">
        <v>1</v>
      </c>
      <c r="R37" s="117"/>
      <c r="S37" s="112"/>
      <c r="T37" s="117"/>
      <c r="U37" s="118"/>
      <c r="V37" s="111" t="s">
        <v>304</v>
      </c>
      <c r="W37" s="116"/>
      <c r="X37" s="112"/>
      <c r="Y37" s="111" t="s">
        <v>400</v>
      </c>
      <c r="Z37" s="111" t="s">
        <v>497</v>
      </c>
      <c r="AA37" s="111" t="s">
        <v>498</v>
      </c>
      <c r="AB37" s="112"/>
      <c r="AC37" s="111" t="s">
        <v>394</v>
      </c>
      <c r="AD37" s="112"/>
      <c r="AE37" s="112" t="s">
        <v>460</v>
      </c>
      <c r="AF37" s="106"/>
      <c r="AG37" s="106"/>
      <c r="AH37" s="106">
        <v>0</v>
      </c>
      <c r="AI37" s="106"/>
      <c r="AL37" s="108"/>
      <c r="AM37" s="108">
        <v>4.7E-2</v>
      </c>
      <c r="AN37" s="108">
        <v>4.8187099999999997E-2</v>
      </c>
      <c r="AO37" s="108">
        <v>4.791285E-2</v>
      </c>
      <c r="AQ37" s="110"/>
      <c r="AR37" s="101" t="s">
        <v>400</v>
      </c>
    </row>
    <row r="38" spans="2:44" x14ac:dyDescent="0.45">
      <c r="B38" s="111" t="s">
        <v>504</v>
      </c>
      <c r="C38" s="111" t="s">
        <v>505</v>
      </c>
      <c r="D38" s="111" t="s">
        <v>221</v>
      </c>
      <c r="E38" s="111" t="s">
        <v>241</v>
      </c>
      <c r="F38" s="112" t="s">
        <v>392</v>
      </c>
      <c r="G38" s="113" t="s">
        <v>344</v>
      </c>
      <c r="H38" s="111" t="s">
        <v>243</v>
      </c>
      <c r="I38" s="112" t="s">
        <v>403</v>
      </c>
      <c r="J38" s="112"/>
      <c r="K38" s="111" t="s">
        <v>394</v>
      </c>
      <c r="L38" s="111" t="s">
        <v>210</v>
      </c>
      <c r="M38" s="111" t="s">
        <v>395</v>
      </c>
      <c r="N38" s="114">
        <v>117000</v>
      </c>
      <c r="O38" s="112" t="s">
        <v>245</v>
      </c>
      <c r="P38" s="115">
        <v>43172</v>
      </c>
      <c r="Q38" s="116">
        <v>1</v>
      </c>
      <c r="R38" s="117"/>
      <c r="S38" s="112"/>
      <c r="T38" s="117"/>
      <c r="U38" s="118"/>
      <c r="V38" s="111" t="s">
        <v>304</v>
      </c>
      <c r="W38" s="116"/>
      <c r="X38" s="112"/>
      <c r="Y38" s="111" t="s">
        <v>400</v>
      </c>
      <c r="Z38" s="111" t="s">
        <v>497</v>
      </c>
      <c r="AA38" s="111" t="s">
        <v>498</v>
      </c>
      <c r="AB38" s="112"/>
      <c r="AC38" s="111" t="s">
        <v>394</v>
      </c>
      <c r="AD38" s="112"/>
      <c r="AE38" s="112" t="s">
        <v>460</v>
      </c>
      <c r="AF38" s="106"/>
      <c r="AG38" s="106"/>
      <c r="AH38" s="106">
        <v>0</v>
      </c>
      <c r="AI38" s="106"/>
      <c r="AL38" s="108"/>
      <c r="AM38" s="108">
        <v>4.7E-2</v>
      </c>
      <c r="AN38" s="108">
        <v>4.8187099999999997E-2</v>
      </c>
      <c r="AO38" s="108">
        <v>4.791285E-2</v>
      </c>
      <c r="AQ38" s="110"/>
      <c r="AR38" s="101" t="s">
        <v>400</v>
      </c>
    </row>
    <row r="39" spans="2:44" x14ac:dyDescent="0.45">
      <c r="B39" s="101" t="s">
        <v>506</v>
      </c>
      <c r="C39" s="101" t="s">
        <v>507</v>
      </c>
      <c r="D39" s="101" t="s">
        <v>64</v>
      </c>
      <c r="E39" s="101" t="s">
        <v>241</v>
      </c>
      <c r="F39" s="104" t="s">
        <v>392</v>
      </c>
      <c r="G39" s="105" t="s">
        <v>310</v>
      </c>
      <c r="H39" s="101" t="s">
        <v>243</v>
      </c>
      <c r="I39" s="104" t="s">
        <v>403</v>
      </c>
      <c r="J39" s="104"/>
      <c r="K39" s="101" t="s">
        <v>394</v>
      </c>
      <c r="L39" s="101" t="s">
        <v>210</v>
      </c>
      <c r="M39" s="101" t="s">
        <v>395</v>
      </c>
      <c r="N39" s="106">
        <v>928000</v>
      </c>
      <c r="O39" s="104" t="s">
        <v>245</v>
      </c>
      <c r="P39" s="107">
        <v>43158</v>
      </c>
      <c r="Q39" s="108">
        <v>1</v>
      </c>
      <c r="R39" s="109">
        <v>100.5</v>
      </c>
      <c r="S39" s="104" t="s">
        <v>396</v>
      </c>
      <c r="T39" s="109">
        <v>108.3</v>
      </c>
      <c r="U39" s="103"/>
      <c r="V39" s="101" t="s">
        <v>304</v>
      </c>
      <c r="W39" s="108">
        <v>4.3620730000000003E-2</v>
      </c>
      <c r="X39" s="104" t="s">
        <v>397</v>
      </c>
      <c r="Y39" s="101" t="s">
        <v>394</v>
      </c>
      <c r="Z39" s="101" t="s">
        <v>508</v>
      </c>
      <c r="AA39" s="101" t="s">
        <v>441</v>
      </c>
      <c r="AB39" s="104"/>
      <c r="AC39" s="101" t="s">
        <v>394</v>
      </c>
      <c r="AD39" s="104"/>
      <c r="AE39" s="104" t="s">
        <v>415</v>
      </c>
      <c r="AF39" s="106"/>
      <c r="AG39" s="106"/>
      <c r="AH39" s="106">
        <v>0</v>
      </c>
      <c r="AI39" s="106"/>
      <c r="AL39" s="108"/>
      <c r="AM39" s="108">
        <v>4.7E-2</v>
      </c>
      <c r="AN39" s="108">
        <v>4.8187099999999997E-2</v>
      </c>
      <c r="AO39" s="108">
        <v>4.791285E-2</v>
      </c>
      <c r="AQ39" s="110"/>
      <c r="AR39" s="101" t="s">
        <v>400</v>
      </c>
    </row>
    <row r="40" spans="2:44" x14ac:dyDescent="0.45">
      <c r="B40" s="111" t="s">
        <v>509</v>
      </c>
      <c r="C40" s="111" t="s">
        <v>510</v>
      </c>
      <c r="D40" s="111"/>
      <c r="E40" s="111"/>
      <c r="F40" s="112" t="s">
        <v>392</v>
      </c>
      <c r="G40" s="113" t="s">
        <v>344</v>
      </c>
      <c r="H40" s="111" t="s">
        <v>243</v>
      </c>
      <c r="I40" s="112" t="s">
        <v>403</v>
      </c>
      <c r="J40" s="112"/>
      <c r="K40" s="111" t="s">
        <v>394</v>
      </c>
      <c r="L40" s="111" t="s">
        <v>210</v>
      </c>
      <c r="M40" s="111" t="s">
        <v>395</v>
      </c>
      <c r="N40" s="114">
        <v>9116000</v>
      </c>
      <c r="O40" s="112" t="s">
        <v>245</v>
      </c>
      <c r="P40" s="115">
        <v>42723</v>
      </c>
      <c r="Q40" s="116">
        <v>1</v>
      </c>
      <c r="R40" s="117"/>
      <c r="S40" s="112" t="s">
        <v>396</v>
      </c>
      <c r="T40" s="117">
        <v>73.680000000000007</v>
      </c>
      <c r="U40" s="117"/>
      <c r="V40" s="111" t="s">
        <v>304</v>
      </c>
      <c r="W40" s="116"/>
      <c r="X40" s="112"/>
      <c r="Y40" s="111" t="s">
        <v>400</v>
      </c>
      <c r="Z40" s="111" t="s">
        <v>511</v>
      </c>
      <c r="AA40" s="111" t="s">
        <v>472</v>
      </c>
      <c r="AB40" s="112"/>
      <c r="AC40" s="111" t="s">
        <v>394</v>
      </c>
      <c r="AD40" s="112"/>
      <c r="AE40" s="112" t="s">
        <v>460</v>
      </c>
      <c r="AF40" s="106"/>
      <c r="AG40" s="106"/>
      <c r="AH40" s="106">
        <v>0</v>
      </c>
      <c r="AI40" s="106"/>
      <c r="AL40" s="108"/>
      <c r="AM40" s="108">
        <v>4.7E-2</v>
      </c>
      <c r="AN40" s="108">
        <v>4.8187099999999997E-2</v>
      </c>
      <c r="AO40" s="108">
        <v>4.791285E-2</v>
      </c>
      <c r="AQ40" s="110"/>
      <c r="AR40" s="101" t="s">
        <v>400</v>
      </c>
    </row>
    <row r="41" spans="2:44" x14ac:dyDescent="0.45">
      <c r="B41" s="111" t="s">
        <v>512</v>
      </c>
      <c r="C41" s="111" t="s">
        <v>510</v>
      </c>
      <c r="D41" s="111" t="s">
        <v>221</v>
      </c>
      <c r="E41" s="111" t="s">
        <v>241</v>
      </c>
      <c r="F41" s="112" t="s">
        <v>392</v>
      </c>
      <c r="G41" s="113" t="s">
        <v>344</v>
      </c>
      <c r="H41" s="111" t="s">
        <v>243</v>
      </c>
      <c r="I41" s="112" t="s">
        <v>403</v>
      </c>
      <c r="J41" s="112"/>
      <c r="K41" s="111" t="s">
        <v>394</v>
      </c>
      <c r="L41" s="111" t="s">
        <v>210</v>
      </c>
      <c r="M41" s="111" t="s">
        <v>395</v>
      </c>
      <c r="N41" s="114">
        <v>1103000</v>
      </c>
      <c r="O41" s="112" t="s">
        <v>245</v>
      </c>
      <c r="P41" s="115">
        <v>42723</v>
      </c>
      <c r="Q41" s="116">
        <v>1</v>
      </c>
      <c r="R41" s="117">
        <v>98.9</v>
      </c>
      <c r="S41" s="112" t="s">
        <v>396</v>
      </c>
      <c r="T41" s="117">
        <v>89.66</v>
      </c>
      <c r="U41" s="118"/>
      <c r="V41" s="111" t="s">
        <v>304</v>
      </c>
      <c r="W41" s="116"/>
      <c r="X41" s="112"/>
      <c r="Y41" s="111" t="s">
        <v>400</v>
      </c>
      <c r="Z41" s="111" t="s">
        <v>511</v>
      </c>
      <c r="AA41" s="111" t="s">
        <v>472</v>
      </c>
      <c r="AB41" s="112"/>
      <c r="AC41" s="111" t="s">
        <v>394</v>
      </c>
      <c r="AD41" s="112"/>
      <c r="AE41" s="112" t="s">
        <v>460</v>
      </c>
      <c r="AF41" s="106"/>
      <c r="AG41" s="106"/>
      <c r="AH41" s="106">
        <v>0</v>
      </c>
      <c r="AI41" s="106"/>
      <c r="AL41" s="108"/>
      <c r="AM41" s="108">
        <v>4.7E-2</v>
      </c>
      <c r="AN41" s="108">
        <v>4.8187099999999997E-2</v>
      </c>
      <c r="AO41" s="108">
        <v>4.791285E-2</v>
      </c>
      <c r="AQ41" s="110"/>
      <c r="AR41" s="101" t="s">
        <v>400</v>
      </c>
    </row>
    <row r="42" spans="2:44" x14ac:dyDescent="0.45">
      <c r="B42" s="111" t="s">
        <v>513</v>
      </c>
      <c r="C42" s="111" t="s">
        <v>514</v>
      </c>
      <c r="D42" s="111"/>
      <c r="E42" s="111"/>
      <c r="F42" s="112" t="s">
        <v>392</v>
      </c>
      <c r="G42" s="113" t="s">
        <v>310</v>
      </c>
      <c r="H42" s="111" t="s">
        <v>243</v>
      </c>
      <c r="I42" s="112" t="s">
        <v>403</v>
      </c>
      <c r="J42" s="112"/>
      <c r="K42" s="111" t="s">
        <v>394</v>
      </c>
      <c r="L42" s="111" t="s">
        <v>210</v>
      </c>
      <c r="M42" s="111" t="s">
        <v>395</v>
      </c>
      <c r="N42" s="114">
        <v>2858000</v>
      </c>
      <c r="O42" s="112" t="s">
        <v>245</v>
      </c>
      <c r="P42" s="115">
        <v>42528</v>
      </c>
      <c r="Q42" s="116">
        <v>1</v>
      </c>
      <c r="R42" s="117"/>
      <c r="S42" s="112" t="s">
        <v>396</v>
      </c>
      <c r="T42" s="117">
        <v>65.61</v>
      </c>
      <c r="U42" s="117"/>
      <c r="V42" s="111" t="s">
        <v>304</v>
      </c>
      <c r="W42" s="116"/>
      <c r="X42" s="112"/>
      <c r="Y42" s="111" t="s">
        <v>400</v>
      </c>
      <c r="Z42" s="111" t="s">
        <v>515</v>
      </c>
      <c r="AA42" s="111" t="s">
        <v>516</v>
      </c>
      <c r="AB42" s="112"/>
      <c r="AC42" s="111" t="s">
        <v>394</v>
      </c>
      <c r="AD42" s="112"/>
      <c r="AE42" s="112"/>
      <c r="AF42" s="106"/>
      <c r="AG42" s="106"/>
      <c r="AH42" s="106">
        <v>0</v>
      </c>
      <c r="AI42" s="106">
        <v>1</v>
      </c>
      <c r="AL42" s="108"/>
      <c r="AM42" s="108">
        <v>4.7E-2</v>
      </c>
      <c r="AN42" s="108">
        <v>4.8187099999999997E-2</v>
      </c>
      <c r="AO42" s="108">
        <v>4.791285E-2</v>
      </c>
      <c r="AQ42" s="110"/>
      <c r="AR42" s="101" t="s">
        <v>400</v>
      </c>
    </row>
    <row r="43" spans="2:44" x14ac:dyDescent="0.45">
      <c r="B43" s="111" t="s">
        <v>517</v>
      </c>
      <c r="C43" s="111" t="s">
        <v>514</v>
      </c>
      <c r="D43" s="111" t="s">
        <v>64</v>
      </c>
      <c r="E43" s="111" t="s">
        <v>241</v>
      </c>
      <c r="F43" s="112" t="s">
        <v>392</v>
      </c>
      <c r="G43" s="113" t="s">
        <v>310</v>
      </c>
      <c r="H43" s="111" t="s">
        <v>243</v>
      </c>
      <c r="I43" s="112" t="s">
        <v>403</v>
      </c>
      <c r="J43" s="112"/>
      <c r="K43" s="111" t="s">
        <v>394</v>
      </c>
      <c r="L43" s="111" t="s">
        <v>210</v>
      </c>
      <c r="M43" s="111" t="s">
        <v>395</v>
      </c>
      <c r="N43" s="114">
        <v>425000</v>
      </c>
      <c r="O43" s="112" t="s">
        <v>245</v>
      </c>
      <c r="P43" s="115">
        <v>42528</v>
      </c>
      <c r="Q43" s="116">
        <v>1</v>
      </c>
      <c r="R43" s="117">
        <v>37.5</v>
      </c>
      <c r="S43" s="112" t="s">
        <v>396</v>
      </c>
      <c r="T43" s="117">
        <v>88.24</v>
      </c>
      <c r="U43" s="118"/>
      <c r="V43" s="111" t="s">
        <v>304</v>
      </c>
      <c r="W43" s="116"/>
      <c r="X43" s="112"/>
      <c r="Y43" s="111" t="s">
        <v>400</v>
      </c>
      <c r="Z43" s="111" t="s">
        <v>515</v>
      </c>
      <c r="AA43" s="111" t="s">
        <v>516</v>
      </c>
      <c r="AB43" s="112"/>
      <c r="AC43" s="111" t="s">
        <v>394</v>
      </c>
      <c r="AD43" s="112"/>
      <c r="AE43" s="112"/>
      <c r="AF43" s="106">
        <v>24</v>
      </c>
      <c r="AG43" s="106"/>
      <c r="AH43" s="106">
        <v>0</v>
      </c>
      <c r="AI43" s="106">
        <v>1</v>
      </c>
      <c r="AL43" s="108"/>
      <c r="AM43" s="108">
        <v>4.7E-2</v>
      </c>
      <c r="AN43" s="108">
        <v>4.8187099999999997E-2</v>
      </c>
      <c r="AO43" s="108">
        <v>4.791285E-2</v>
      </c>
      <c r="AQ43" s="110"/>
      <c r="AR43" s="101" t="s">
        <v>400</v>
      </c>
    </row>
    <row r="44" spans="2:44" x14ac:dyDescent="0.45">
      <c r="B44" s="111" t="s">
        <v>518</v>
      </c>
      <c r="C44" s="111" t="s">
        <v>519</v>
      </c>
      <c r="D44" s="111"/>
      <c r="E44" s="111" t="s">
        <v>241</v>
      </c>
      <c r="F44" s="112" t="s">
        <v>392</v>
      </c>
      <c r="G44" s="113" t="s">
        <v>344</v>
      </c>
      <c r="H44" s="111" t="s">
        <v>243</v>
      </c>
      <c r="I44" s="112" t="s">
        <v>403</v>
      </c>
      <c r="J44" s="112"/>
      <c r="K44" s="111" t="s">
        <v>394</v>
      </c>
      <c r="L44" s="111" t="s">
        <v>210</v>
      </c>
      <c r="M44" s="111" t="s">
        <v>395</v>
      </c>
      <c r="N44" s="114">
        <v>1427000</v>
      </c>
      <c r="O44" s="112" t="s">
        <v>245</v>
      </c>
      <c r="P44" s="115">
        <v>42479</v>
      </c>
      <c r="Q44" s="116">
        <v>1</v>
      </c>
      <c r="R44" s="117"/>
      <c r="S44" s="112" t="s">
        <v>396</v>
      </c>
      <c r="T44" s="117">
        <v>143.1</v>
      </c>
      <c r="U44" s="117"/>
      <c r="V44" s="111" t="s">
        <v>304</v>
      </c>
      <c r="W44" s="116"/>
      <c r="X44" s="112"/>
      <c r="Y44" s="111" t="s">
        <v>400</v>
      </c>
      <c r="Z44" s="111" t="s">
        <v>520</v>
      </c>
      <c r="AA44" s="111" t="s">
        <v>521</v>
      </c>
      <c r="AB44" s="112"/>
      <c r="AC44" s="111" t="s">
        <v>394</v>
      </c>
      <c r="AD44" s="112"/>
      <c r="AE44" s="112" t="s">
        <v>460</v>
      </c>
      <c r="AF44" s="106"/>
      <c r="AG44" s="106"/>
      <c r="AH44" s="106">
        <v>0</v>
      </c>
      <c r="AI44" s="106"/>
      <c r="AL44" s="108"/>
      <c r="AM44" s="108">
        <v>4.7E-2</v>
      </c>
      <c r="AN44" s="108">
        <v>4.8187099999999997E-2</v>
      </c>
      <c r="AO44" s="108">
        <v>4.791285E-2</v>
      </c>
      <c r="AQ44" s="110"/>
      <c r="AR44" s="101" t="s">
        <v>400</v>
      </c>
    </row>
    <row r="45" spans="2:44" x14ac:dyDescent="0.45">
      <c r="B45" s="111" t="s">
        <v>522</v>
      </c>
      <c r="C45" s="111" t="s">
        <v>519</v>
      </c>
      <c r="D45" s="111" t="s">
        <v>221</v>
      </c>
      <c r="E45" s="111" t="s">
        <v>241</v>
      </c>
      <c r="F45" s="112" t="s">
        <v>392</v>
      </c>
      <c r="G45" s="113" t="s">
        <v>344</v>
      </c>
      <c r="H45" s="111" t="s">
        <v>243</v>
      </c>
      <c r="I45" s="112" t="s">
        <v>403</v>
      </c>
      <c r="J45" s="112"/>
      <c r="K45" s="111" t="s">
        <v>394</v>
      </c>
      <c r="L45" s="111" t="s">
        <v>210</v>
      </c>
      <c r="M45" s="111" t="s">
        <v>395</v>
      </c>
      <c r="N45" s="114">
        <v>225000</v>
      </c>
      <c r="O45" s="112" t="s">
        <v>245</v>
      </c>
      <c r="P45" s="115">
        <v>42479</v>
      </c>
      <c r="Q45" s="116">
        <v>1</v>
      </c>
      <c r="R45" s="117">
        <v>13.1</v>
      </c>
      <c r="S45" s="112" t="s">
        <v>396</v>
      </c>
      <c r="T45" s="117">
        <v>58.22</v>
      </c>
      <c r="U45" s="118"/>
      <c r="V45" s="111" t="s">
        <v>304</v>
      </c>
      <c r="W45" s="116"/>
      <c r="X45" s="112"/>
      <c r="Y45" s="111" t="s">
        <v>400</v>
      </c>
      <c r="Z45" s="111" t="s">
        <v>520</v>
      </c>
      <c r="AA45" s="111" t="s">
        <v>521</v>
      </c>
      <c r="AB45" s="112"/>
      <c r="AC45" s="111" t="s">
        <v>394</v>
      </c>
      <c r="AD45" s="112"/>
      <c r="AE45" s="112" t="s">
        <v>460</v>
      </c>
      <c r="AF45" s="106">
        <v>19</v>
      </c>
      <c r="AG45" s="106"/>
      <c r="AH45" s="106">
        <v>0</v>
      </c>
      <c r="AI45" s="106"/>
      <c r="AL45" s="108"/>
      <c r="AM45" s="108">
        <v>4.7E-2</v>
      </c>
      <c r="AN45" s="108">
        <v>4.8187099999999997E-2</v>
      </c>
      <c r="AO45" s="108">
        <v>4.791285E-2</v>
      </c>
      <c r="AQ45" s="110"/>
      <c r="AR45" s="101" t="s">
        <v>400</v>
      </c>
    </row>
    <row r="46" spans="2:44" x14ac:dyDescent="0.45">
      <c r="B46" s="101" t="s">
        <v>523</v>
      </c>
      <c r="C46" s="101" t="s">
        <v>196</v>
      </c>
      <c r="D46" s="101" t="s">
        <v>64</v>
      </c>
      <c r="E46" s="101" t="s">
        <v>241</v>
      </c>
      <c r="F46" s="104" t="s">
        <v>392</v>
      </c>
      <c r="G46" s="105" t="s">
        <v>310</v>
      </c>
      <c r="H46" s="101" t="s">
        <v>243</v>
      </c>
      <c r="I46" s="104" t="s">
        <v>403</v>
      </c>
      <c r="J46" s="104"/>
      <c r="K46" s="101" t="s">
        <v>394</v>
      </c>
      <c r="L46" s="101" t="s">
        <v>210</v>
      </c>
      <c r="M46" s="101" t="s">
        <v>395</v>
      </c>
      <c r="N46" s="106">
        <v>527000</v>
      </c>
      <c r="O46" s="104" t="s">
        <v>245</v>
      </c>
      <c r="P46" s="107">
        <v>42361</v>
      </c>
      <c r="Q46" s="108">
        <v>1</v>
      </c>
      <c r="R46" s="109">
        <v>46.2</v>
      </c>
      <c r="S46" s="104" t="s">
        <v>396</v>
      </c>
      <c r="T46" s="109">
        <v>87.67</v>
      </c>
      <c r="U46" s="103"/>
      <c r="V46" s="101" t="s">
        <v>304</v>
      </c>
      <c r="W46" s="108">
        <v>4.6620729999999999E-2</v>
      </c>
      <c r="X46" s="104" t="s">
        <v>397</v>
      </c>
      <c r="Y46" s="101" t="s">
        <v>394</v>
      </c>
      <c r="Z46" s="101" t="s">
        <v>524</v>
      </c>
      <c r="AA46" s="101" t="s">
        <v>525</v>
      </c>
      <c r="AB46" s="104"/>
      <c r="AC46" s="101" t="s">
        <v>394</v>
      </c>
      <c r="AD46" s="104"/>
      <c r="AE46" s="104" t="s">
        <v>415</v>
      </c>
      <c r="AF46" s="106"/>
      <c r="AG46" s="106"/>
      <c r="AH46" s="106">
        <v>0</v>
      </c>
      <c r="AI46" s="106"/>
      <c r="AL46" s="108"/>
      <c r="AM46" s="108">
        <v>4.7E-2</v>
      </c>
      <c r="AN46" s="108">
        <v>4.8187099999999997E-2</v>
      </c>
      <c r="AO46" s="108">
        <v>4.791285E-2</v>
      </c>
      <c r="AQ46" s="110"/>
      <c r="AR46" s="101" t="s">
        <v>400</v>
      </c>
    </row>
    <row r="47" spans="2:44" x14ac:dyDescent="0.45">
      <c r="B47" s="101" t="s">
        <v>526</v>
      </c>
      <c r="C47" s="101" t="s">
        <v>527</v>
      </c>
      <c r="D47" s="101" t="s">
        <v>64</v>
      </c>
      <c r="E47" s="101" t="s">
        <v>241</v>
      </c>
      <c r="F47" s="104" t="s">
        <v>392</v>
      </c>
      <c r="G47" s="105" t="s">
        <v>310</v>
      </c>
      <c r="H47" s="101" t="s">
        <v>243</v>
      </c>
      <c r="I47" s="104" t="s">
        <v>403</v>
      </c>
      <c r="J47" s="104"/>
      <c r="K47" s="101" t="s">
        <v>394</v>
      </c>
      <c r="L47" s="101" t="s">
        <v>210</v>
      </c>
      <c r="M47" s="101" t="s">
        <v>395</v>
      </c>
      <c r="N47" s="106">
        <v>412000</v>
      </c>
      <c r="O47" s="104" t="s">
        <v>245</v>
      </c>
      <c r="P47" s="107">
        <v>42353</v>
      </c>
      <c r="Q47" s="108">
        <v>1</v>
      </c>
      <c r="R47" s="109">
        <v>33.299999999999997</v>
      </c>
      <c r="S47" s="104" t="s">
        <v>396</v>
      </c>
      <c r="T47" s="109">
        <v>80.83</v>
      </c>
      <c r="U47" s="103"/>
      <c r="V47" s="101" t="s">
        <v>304</v>
      </c>
      <c r="W47" s="108">
        <v>4.6620729999999999E-2</v>
      </c>
      <c r="X47" s="104" t="s">
        <v>397</v>
      </c>
      <c r="Y47" s="101" t="s">
        <v>394</v>
      </c>
      <c r="Z47" s="101" t="s">
        <v>528</v>
      </c>
      <c r="AA47" s="101" t="s">
        <v>529</v>
      </c>
      <c r="AB47" s="104"/>
      <c r="AC47" s="101" t="s">
        <v>394</v>
      </c>
      <c r="AD47" s="104"/>
      <c r="AE47" s="104" t="s">
        <v>530</v>
      </c>
      <c r="AF47" s="106">
        <v>21</v>
      </c>
      <c r="AG47" s="106"/>
      <c r="AH47" s="106">
        <v>0</v>
      </c>
      <c r="AI47" s="106">
        <v>1</v>
      </c>
      <c r="AL47" s="108"/>
      <c r="AM47" s="108">
        <v>4.7E-2</v>
      </c>
      <c r="AN47" s="108">
        <v>4.8187099999999997E-2</v>
      </c>
      <c r="AO47" s="108">
        <v>4.791285E-2</v>
      </c>
      <c r="AQ47" s="110"/>
      <c r="AR47" s="101" t="s">
        <v>400</v>
      </c>
    </row>
    <row r="48" spans="2:44" x14ac:dyDescent="0.45">
      <c r="B48" s="111" t="s">
        <v>531</v>
      </c>
      <c r="C48" s="111" t="s">
        <v>532</v>
      </c>
      <c r="D48" s="111"/>
      <c r="E48" s="111"/>
      <c r="F48" s="112" t="s">
        <v>392</v>
      </c>
      <c r="G48" s="113" t="s">
        <v>344</v>
      </c>
      <c r="H48" s="111" t="s">
        <v>243</v>
      </c>
      <c r="I48" s="112" t="s">
        <v>403</v>
      </c>
      <c r="J48" s="112"/>
      <c r="K48" s="111" t="s">
        <v>394</v>
      </c>
      <c r="L48" s="111" t="s">
        <v>210</v>
      </c>
      <c r="M48" s="111" t="s">
        <v>395</v>
      </c>
      <c r="N48" s="114">
        <v>5933000</v>
      </c>
      <c r="O48" s="112" t="s">
        <v>245</v>
      </c>
      <c r="P48" s="115">
        <v>41981</v>
      </c>
      <c r="Q48" s="116">
        <v>1</v>
      </c>
      <c r="R48" s="117"/>
      <c r="S48" s="112" t="s">
        <v>396</v>
      </c>
      <c r="T48" s="117">
        <v>56.35</v>
      </c>
      <c r="U48" s="117"/>
      <c r="V48" s="111" t="s">
        <v>304</v>
      </c>
      <c r="W48" s="116"/>
      <c r="X48" s="112"/>
      <c r="Y48" s="111" t="s">
        <v>400</v>
      </c>
      <c r="Z48" s="111" t="s">
        <v>528</v>
      </c>
      <c r="AA48" s="111" t="s">
        <v>533</v>
      </c>
      <c r="AB48" s="112"/>
      <c r="AC48" s="111" t="s">
        <v>394</v>
      </c>
      <c r="AD48" s="112"/>
      <c r="AE48" s="112" t="s">
        <v>415</v>
      </c>
      <c r="AF48" s="106"/>
      <c r="AG48" s="106"/>
      <c r="AH48" s="106">
        <v>0</v>
      </c>
      <c r="AI48" s="106"/>
      <c r="AL48" s="108"/>
      <c r="AM48" s="108">
        <v>4.7E-2</v>
      </c>
      <c r="AN48" s="108">
        <v>4.8187099999999997E-2</v>
      </c>
      <c r="AO48" s="108">
        <v>4.791285E-2</v>
      </c>
      <c r="AQ48" s="110"/>
      <c r="AR48" s="101" t="s">
        <v>400</v>
      </c>
    </row>
    <row r="49" spans="2:44" x14ac:dyDescent="0.45">
      <c r="B49" s="111" t="s">
        <v>534</v>
      </c>
      <c r="C49" s="111" t="s">
        <v>532</v>
      </c>
      <c r="D49" s="111" t="s">
        <v>221</v>
      </c>
      <c r="E49" s="111" t="s">
        <v>241</v>
      </c>
      <c r="F49" s="112" t="s">
        <v>392</v>
      </c>
      <c r="G49" s="113" t="s">
        <v>344</v>
      </c>
      <c r="H49" s="111" t="s">
        <v>243</v>
      </c>
      <c r="I49" s="112" t="s">
        <v>403</v>
      </c>
      <c r="J49" s="112"/>
      <c r="K49" s="111" t="s">
        <v>394</v>
      </c>
      <c r="L49" s="111" t="s">
        <v>210</v>
      </c>
      <c r="M49" s="111" t="s">
        <v>395</v>
      </c>
      <c r="N49" s="114">
        <v>346000</v>
      </c>
      <c r="O49" s="112" t="s">
        <v>245</v>
      </c>
      <c r="P49" s="115">
        <v>41981</v>
      </c>
      <c r="Q49" s="116">
        <v>1</v>
      </c>
      <c r="R49" s="117"/>
      <c r="S49" s="112"/>
      <c r="T49" s="117"/>
      <c r="U49" s="118"/>
      <c r="V49" s="111" t="s">
        <v>304</v>
      </c>
      <c r="W49" s="116"/>
      <c r="X49" s="112"/>
      <c r="Y49" s="111" t="s">
        <v>400</v>
      </c>
      <c r="Z49" s="111" t="s">
        <v>528</v>
      </c>
      <c r="AA49" s="111" t="s">
        <v>533</v>
      </c>
      <c r="AB49" s="112"/>
      <c r="AC49" s="111" t="s">
        <v>394</v>
      </c>
      <c r="AD49" s="112"/>
      <c r="AE49" s="112" t="s">
        <v>415</v>
      </c>
      <c r="AF49" s="106"/>
      <c r="AG49" s="106"/>
      <c r="AH49" s="106">
        <v>0</v>
      </c>
      <c r="AI49" s="106"/>
      <c r="AL49" s="108"/>
      <c r="AM49" s="108">
        <v>4.7E-2</v>
      </c>
      <c r="AN49" s="108">
        <v>4.8187099999999997E-2</v>
      </c>
      <c r="AO49" s="108">
        <v>4.791285E-2</v>
      </c>
      <c r="AQ49" s="110"/>
      <c r="AR49" s="101" t="s">
        <v>400</v>
      </c>
    </row>
    <row r="50" spans="2:44" x14ac:dyDescent="0.45">
      <c r="B50" s="101" t="s">
        <v>535</v>
      </c>
      <c r="C50" s="101" t="s">
        <v>478</v>
      </c>
      <c r="D50" s="101" t="s">
        <v>64</v>
      </c>
      <c r="E50" s="101" t="s">
        <v>241</v>
      </c>
      <c r="F50" s="104" t="s">
        <v>392</v>
      </c>
      <c r="G50" s="105" t="s">
        <v>310</v>
      </c>
      <c r="H50" s="101" t="s">
        <v>243</v>
      </c>
      <c r="I50" s="104" t="s">
        <v>403</v>
      </c>
      <c r="J50" s="104"/>
      <c r="K50" s="101" t="s">
        <v>394</v>
      </c>
      <c r="L50" s="101" t="s">
        <v>210</v>
      </c>
      <c r="M50" s="101" t="s">
        <v>395</v>
      </c>
      <c r="N50" s="106">
        <v>404000</v>
      </c>
      <c r="O50" s="104" t="s">
        <v>245</v>
      </c>
      <c r="P50" s="107">
        <v>41884</v>
      </c>
      <c r="Q50" s="108">
        <v>1</v>
      </c>
      <c r="R50" s="109">
        <v>27.5</v>
      </c>
      <c r="S50" s="104" t="s">
        <v>396</v>
      </c>
      <c r="T50" s="109">
        <v>68.069999999999993</v>
      </c>
      <c r="U50" s="103"/>
      <c r="V50" s="101" t="s">
        <v>304</v>
      </c>
      <c r="W50" s="108">
        <v>4.812073E-2</v>
      </c>
      <c r="X50" s="104" t="s">
        <v>397</v>
      </c>
      <c r="Y50" s="101" t="s">
        <v>394</v>
      </c>
      <c r="Z50" s="101" t="s">
        <v>466</v>
      </c>
      <c r="AA50" s="101" t="s">
        <v>536</v>
      </c>
      <c r="AB50" s="104"/>
      <c r="AC50" s="101" t="s">
        <v>394</v>
      </c>
      <c r="AD50" s="104"/>
      <c r="AE50" s="104" t="s">
        <v>415</v>
      </c>
      <c r="AF50" s="106"/>
      <c r="AG50" s="106"/>
      <c r="AH50" s="106">
        <v>0</v>
      </c>
      <c r="AI50" s="106"/>
      <c r="AL50" s="108"/>
      <c r="AM50" s="108">
        <v>4.7E-2</v>
      </c>
      <c r="AN50" s="108">
        <v>4.8187099999999997E-2</v>
      </c>
      <c r="AO50" s="108">
        <v>4.791285E-2</v>
      </c>
      <c r="AQ50" s="110"/>
      <c r="AR50" s="101" t="s">
        <v>400</v>
      </c>
    </row>
    <row r="51" spans="2:44" x14ac:dyDescent="0.45">
      <c r="B51" s="101" t="s">
        <v>537</v>
      </c>
      <c r="C51" s="101" t="s">
        <v>198</v>
      </c>
      <c r="D51" s="101" t="s">
        <v>64</v>
      </c>
      <c r="E51" s="101" t="s">
        <v>241</v>
      </c>
      <c r="F51" s="104" t="s">
        <v>392</v>
      </c>
      <c r="G51" s="105" t="s">
        <v>344</v>
      </c>
      <c r="H51" s="101" t="s">
        <v>243</v>
      </c>
      <c r="I51" s="104" t="s">
        <v>403</v>
      </c>
      <c r="J51" s="104"/>
      <c r="K51" s="101" t="s">
        <v>394</v>
      </c>
      <c r="L51" s="101" t="s">
        <v>210</v>
      </c>
      <c r="M51" s="101" t="s">
        <v>395</v>
      </c>
      <c r="N51" s="106">
        <v>586000</v>
      </c>
      <c r="O51" s="104" t="s">
        <v>245</v>
      </c>
      <c r="P51" s="107">
        <v>41613</v>
      </c>
      <c r="Q51" s="108">
        <v>1</v>
      </c>
      <c r="R51" s="109">
        <v>39.299999999999997</v>
      </c>
      <c r="S51" s="104" t="s">
        <v>396</v>
      </c>
      <c r="T51" s="109">
        <v>67.06</v>
      </c>
      <c r="U51" s="103"/>
      <c r="V51" s="101" t="s">
        <v>304</v>
      </c>
      <c r="W51" s="108">
        <v>5.2365059999999998E-2</v>
      </c>
      <c r="X51" s="104" t="s">
        <v>397</v>
      </c>
      <c r="Y51" s="101" t="s">
        <v>394</v>
      </c>
      <c r="AA51" s="101" t="s">
        <v>538</v>
      </c>
      <c r="AB51" s="104"/>
      <c r="AC51" s="101" t="s">
        <v>394</v>
      </c>
      <c r="AD51" s="104"/>
      <c r="AE51" s="104" t="s">
        <v>456</v>
      </c>
      <c r="AF51" s="106"/>
      <c r="AG51" s="106"/>
      <c r="AH51" s="106">
        <v>0</v>
      </c>
      <c r="AI51" s="106"/>
      <c r="AL51" s="108"/>
      <c r="AM51" s="108">
        <v>4.7E-2</v>
      </c>
      <c r="AN51" s="108">
        <v>4.8187099999999997E-2</v>
      </c>
      <c r="AO51" s="108">
        <v>4.791285E-2</v>
      </c>
      <c r="AQ51" s="110"/>
      <c r="AR51" s="101" t="s">
        <v>400</v>
      </c>
    </row>
    <row r="52" spans="2:44" x14ac:dyDescent="0.45">
      <c r="B52" s="111" t="s">
        <v>539</v>
      </c>
      <c r="C52" s="111" t="s">
        <v>201</v>
      </c>
      <c r="D52" s="111"/>
      <c r="E52" s="111"/>
      <c r="F52" s="112" t="s">
        <v>392</v>
      </c>
      <c r="G52" s="113" t="s">
        <v>310</v>
      </c>
      <c r="H52" s="111" t="s">
        <v>243</v>
      </c>
      <c r="I52" s="112" t="s">
        <v>403</v>
      </c>
      <c r="J52" s="112"/>
      <c r="K52" s="111" t="s">
        <v>394</v>
      </c>
      <c r="L52" s="111" t="s">
        <v>210</v>
      </c>
      <c r="M52" s="111" t="s">
        <v>395</v>
      </c>
      <c r="N52" s="114">
        <v>4839000</v>
      </c>
      <c r="O52" s="112" t="s">
        <v>245</v>
      </c>
      <c r="P52" s="115">
        <v>41443</v>
      </c>
      <c r="Q52" s="116">
        <v>1</v>
      </c>
      <c r="R52" s="117"/>
      <c r="S52" s="112" t="s">
        <v>396</v>
      </c>
      <c r="T52" s="117">
        <v>64.27</v>
      </c>
      <c r="U52" s="117"/>
      <c r="V52" s="111" t="s">
        <v>304</v>
      </c>
      <c r="W52" s="116"/>
      <c r="X52" s="112"/>
      <c r="Y52" s="111" t="s">
        <v>400</v>
      </c>
      <c r="Z52" s="111" t="s">
        <v>540</v>
      </c>
      <c r="AA52" s="111" t="s">
        <v>541</v>
      </c>
      <c r="AB52" s="112"/>
      <c r="AC52" s="111" t="s">
        <v>394</v>
      </c>
      <c r="AD52" s="112"/>
      <c r="AE52" s="112" t="s">
        <v>415</v>
      </c>
      <c r="AF52" s="106"/>
      <c r="AG52" s="106"/>
      <c r="AH52" s="106">
        <v>0</v>
      </c>
      <c r="AI52" s="106">
        <v>1</v>
      </c>
      <c r="AL52" s="108"/>
      <c r="AM52" s="108">
        <v>4.7E-2</v>
      </c>
      <c r="AN52" s="108">
        <v>4.8187099999999997E-2</v>
      </c>
      <c r="AO52" s="108">
        <v>4.791285E-2</v>
      </c>
      <c r="AQ52" s="110"/>
      <c r="AR52" s="101" t="s">
        <v>400</v>
      </c>
    </row>
    <row r="53" spans="2:44" x14ac:dyDescent="0.45">
      <c r="B53" s="111" t="s">
        <v>542</v>
      </c>
      <c r="C53" s="111" t="s">
        <v>201</v>
      </c>
      <c r="D53" s="111" t="s">
        <v>64</v>
      </c>
      <c r="E53" s="111" t="s">
        <v>241</v>
      </c>
      <c r="F53" s="112" t="s">
        <v>392</v>
      </c>
      <c r="G53" s="113" t="s">
        <v>310</v>
      </c>
      <c r="H53" s="111" t="s">
        <v>243</v>
      </c>
      <c r="I53" s="112" t="s">
        <v>403</v>
      </c>
      <c r="J53" s="112"/>
      <c r="K53" s="111" t="s">
        <v>394</v>
      </c>
      <c r="L53" s="111" t="s">
        <v>210</v>
      </c>
      <c r="M53" s="111" t="s">
        <v>395</v>
      </c>
      <c r="N53" s="114">
        <v>575000</v>
      </c>
      <c r="O53" s="112" t="s">
        <v>245</v>
      </c>
      <c r="P53" s="115">
        <v>41443</v>
      </c>
      <c r="Q53" s="116">
        <v>1</v>
      </c>
      <c r="R53" s="117"/>
      <c r="S53" s="112"/>
      <c r="T53" s="117"/>
      <c r="U53" s="118"/>
      <c r="V53" s="111" t="s">
        <v>304</v>
      </c>
      <c r="W53" s="116"/>
      <c r="X53" s="112"/>
      <c r="Y53" s="111" t="s">
        <v>400</v>
      </c>
      <c r="Z53" s="111" t="s">
        <v>540</v>
      </c>
      <c r="AA53" s="111" t="s">
        <v>541</v>
      </c>
      <c r="AB53" s="112"/>
      <c r="AC53" s="111" t="s">
        <v>394</v>
      </c>
      <c r="AD53" s="112"/>
      <c r="AE53" s="112" t="s">
        <v>415</v>
      </c>
      <c r="AF53" s="106">
        <v>36.893999999999998</v>
      </c>
      <c r="AG53" s="106"/>
      <c r="AH53" s="106">
        <v>0</v>
      </c>
      <c r="AI53" s="106">
        <v>1</v>
      </c>
      <c r="AL53" s="108"/>
      <c r="AM53" s="108">
        <v>4.7E-2</v>
      </c>
      <c r="AN53" s="108">
        <v>4.8187099999999997E-2</v>
      </c>
      <c r="AO53" s="108">
        <v>4.791285E-2</v>
      </c>
      <c r="AQ53" s="110"/>
      <c r="AR53" s="101" t="s">
        <v>400</v>
      </c>
    </row>
    <row r="54" spans="2:44" x14ac:dyDescent="0.45">
      <c r="B54" s="101" t="s">
        <v>543</v>
      </c>
      <c r="C54" s="101" t="s">
        <v>544</v>
      </c>
      <c r="D54" s="101" t="s">
        <v>211</v>
      </c>
      <c r="E54" s="101" t="s">
        <v>241</v>
      </c>
      <c r="F54" s="104" t="s">
        <v>392</v>
      </c>
      <c r="G54" s="105" t="s">
        <v>303</v>
      </c>
      <c r="H54" s="101" t="s">
        <v>243</v>
      </c>
      <c r="I54" s="104" t="s">
        <v>403</v>
      </c>
      <c r="J54" s="104"/>
      <c r="K54" s="101" t="s">
        <v>394</v>
      </c>
      <c r="L54" s="101" t="s">
        <v>210</v>
      </c>
      <c r="M54" s="101" t="s">
        <v>395</v>
      </c>
      <c r="N54" s="106">
        <v>439000</v>
      </c>
      <c r="O54" s="104" t="s">
        <v>245</v>
      </c>
      <c r="P54" s="107">
        <v>39455</v>
      </c>
      <c r="Q54" s="108">
        <v>1</v>
      </c>
      <c r="R54" s="109">
        <v>25</v>
      </c>
      <c r="S54" s="104" t="s">
        <v>396</v>
      </c>
      <c r="T54" s="109">
        <v>56.95</v>
      </c>
      <c r="U54" s="103"/>
      <c r="V54" s="101" t="s">
        <v>304</v>
      </c>
      <c r="W54" s="108">
        <v>5.5911910000000002E-2</v>
      </c>
      <c r="X54" s="104" t="s">
        <v>397</v>
      </c>
      <c r="Y54" s="101" t="s">
        <v>394</v>
      </c>
      <c r="Z54" s="101" t="s">
        <v>545</v>
      </c>
      <c r="AB54" s="104"/>
      <c r="AC54" s="101" t="s">
        <v>394</v>
      </c>
      <c r="AD54" s="104"/>
      <c r="AE54" s="104" t="s">
        <v>415</v>
      </c>
      <c r="AF54" s="106"/>
      <c r="AG54" s="106"/>
      <c r="AH54" s="106">
        <v>0</v>
      </c>
      <c r="AI54" s="106"/>
      <c r="AL54" s="108"/>
      <c r="AM54" s="108">
        <v>4.7E-2</v>
      </c>
      <c r="AN54" s="108">
        <v>4.8187099999999997E-2</v>
      </c>
      <c r="AO54" s="108">
        <v>4.791285E-2</v>
      </c>
      <c r="AQ54" s="110"/>
      <c r="AR54" s="101" t="s">
        <v>400</v>
      </c>
    </row>
    <row r="55" spans="2:44" x14ac:dyDescent="0.45">
      <c r="B55" s="111" t="s">
        <v>546</v>
      </c>
      <c r="C55" s="111" t="s">
        <v>547</v>
      </c>
      <c r="D55" s="111" t="s">
        <v>548</v>
      </c>
      <c r="E55" s="111" t="s">
        <v>241</v>
      </c>
      <c r="F55" s="112" t="s">
        <v>392</v>
      </c>
      <c r="G55" s="113" t="s">
        <v>310</v>
      </c>
      <c r="H55" s="111" t="s">
        <v>464</v>
      </c>
      <c r="I55" s="112" t="s">
        <v>403</v>
      </c>
      <c r="J55" s="112"/>
      <c r="K55" s="111" t="s">
        <v>394</v>
      </c>
      <c r="L55" s="111" t="s">
        <v>210</v>
      </c>
      <c r="M55" s="111" t="s">
        <v>395</v>
      </c>
      <c r="N55" s="114">
        <v>2444000</v>
      </c>
      <c r="O55" s="112" t="s">
        <v>245</v>
      </c>
      <c r="P55" s="115">
        <v>39322</v>
      </c>
      <c r="Q55" s="116">
        <v>1</v>
      </c>
      <c r="R55" s="117"/>
      <c r="S55" s="112" t="s">
        <v>396</v>
      </c>
      <c r="T55" s="117">
        <v>161.66</v>
      </c>
      <c r="U55" s="117"/>
      <c r="V55" s="111" t="s">
        <v>304</v>
      </c>
      <c r="W55" s="116"/>
      <c r="X55" s="112"/>
      <c r="Y55" s="111" t="s">
        <v>400</v>
      </c>
      <c r="Z55" s="111" t="s">
        <v>549</v>
      </c>
      <c r="AA55" s="111" t="s">
        <v>550</v>
      </c>
      <c r="AB55" s="112"/>
      <c r="AC55" s="111" t="s">
        <v>394</v>
      </c>
      <c r="AD55" s="112"/>
      <c r="AE55" s="112" t="s">
        <v>415</v>
      </c>
      <c r="AF55" s="106"/>
      <c r="AG55" s="106"/>
      <c r="AH55" s="106">
        <v>0</v>
      </c>
      <c r="AI55" s="106"/>
      <c r="AL55" s="108"/>
      <c r="AM55" s="108">
        <v>4.7E-2</v>
      </c>
      <c r="AN55" s="108">
        <v>4.8187099999999997E-2</v>
      </c>
      <c r="AO55" s="108">
        <v>4.791285E-2</v>
      </c>
      <c r="AQ55" s="110"/>
      <c r="AR55" s="101" t="s">
        <v>400</v>
      </c>
    </row>
    <row r="56" spans="2:44" x14ac:dyDescent="0.45">
      <c r="B56" s="111" t="s">
        <v>551</v>
      </c>
      <c r="C56" s="111" t="s">
        <v>547</v>
      </c>
      <c r="D56" s="111" t="s">
        <v>64</v>
      </c>
      <c r="E56" s="111" t="s">
        <v>241</v>
      </c>
      <c r="F56" s="112" t="s">
        <v>392</v>
      </c>
      <c r="G56" s="113" t="s">
        <v>310</v>
      </c>
      <c r="H56" s="111" t="s">
        <v>243</v>
      </c>
      <c r="I56" s="112" t="s">
        <v>403</v>
      </c>
      <c r="J56" s="112"/>
      <c r="K56" s="111" t="s">
        <v>394</v>
      </c>
      <c r="L56" s="111" t="s">
        <v>210</v>
      </c>
      <c r="M56" s="111" t="s">
        <v>395</v>
      </c>
      <c r="N56" s="114">
        <v>400000</v>
      </c>
      <c r="O56" s="112" t="s">
        <v>245</v>
      </c>
      <c r="P56" s="115">
        <v>39322</v>
      </c>
      <c r="Q56" s="116">
        <v>1</v>
      </c>
      <c r="R56" s="117"/>
      <c r="S56" s="112"/>
      <c r="T56" s="117"/>
      <c r="U56" s="118"/>
      <c r="V56" s="111" t="s">
        <v>304</v>
      </c>
      <c r="W56" s="116"/>
      <c r="X56" s="112"/>
      <c r="Y56" s="111" t="s">
        <v>400</v>
      </c>
      <c r="Z56" s="111" t="s">
        <v>549</v>
      </c>
      <c r="AA56" s="111" t="s">
        <v>550</v>
      </c>
      <c r="AB56" s="112"/>
      <c r="AC56" s="111" t="s">
        <v>394</v>
      </c>
      <c r="AD56" s="112"/>
      <c r="AE56" s="112" t="s">
        <v>415</v>
      </c>
      <c r="AF56" s="106"/>
      <c r="AG56" s="106"/>
      <c r="AH56" s="106">
        <v>0</v>
      </c>
      <c r="AI56" s="106"/>
      <c r="AL56" s="108"/>
      <c r="AM56" s="108">
        <v>4.7E-2</v>
      </c>
      <c r="AN56" s="108">
        <v>4.8187099999999997E-2</v>
      </c>
      <c r="AO56" s="108">
        <v>4.791285E-2</v>
      </c>
      <c r="AQ56" s="110"/>
      <c r="AR56" s="101" t="s">
        <v>400</v>
      </c>
    </row>
    <row r="57" spans="2:44" x14ac:dyDescent="0.45">
      <c r="B57" s="101" t="s">
        <v>552</v>
      </c>
      <c r="C57" s="101" t="s">
        <v>199</v>
      </c>
      <c r="D57" s="101" t="s">
        <v>64</v>
      </c>
      <c r="E57" s="101" t="s">
        <v>241</v>
      </c>
      <c r="F57" s="104" t="s">
        <v>392</v>
      </c>
      <c r="G57" s="105" t="s">
        <v>310</v>
      </c>
      <c r="H57" s="101" t="s">
        <v>243</v>
      </c>
      <c r="I57" s="104" t="s">
        <v>403</v>
      </c>
      <c r="J57" s="104"/>
      <c r="K57" s="101" t="s">
        <v>394</v>
      </c>
      <c r="L57" s="101" t="s">
        <v>210</v>
      </c>
      <c r="M57" s="101" t="s">
        <v>395</v>
      </c>
      <c r="N57" s="106">
        <v>784000</v>
      </c>
      <c r="O57" s="104" t="s">
        <v>245</v>
      </c>
      <c r="P57" s="107">
        <v>39079</v>
      </c>
      <c r="Q57" s="108">
        <v>1</v>
      </c>
      <c r="R57" s="109">
        <v>54</v>
      </c>
      <c r="S57" s="104" t="s">
        <v>396</v>
      </c>
      <c r="T57" s="109">
        <v>68.88</v>
      </c>
      <c r="U57" s="103"/>
      <c r="V57" s="101" t="s">
        <v>304</v>
      </c>
      <c r="W57" s="108">
        <v>5.571152E-2</v>
      </c>
      <c r="X57" s="104" t="s">
        <v>397</v>
      </c>
      <c r="Y57" s="101" t="s">
        <v>394</v>
      </c>
      <c r="Z57" s="101" t="s">
        <v>553</v>
      </c>
      <c r="AA57" s="101" t="s">
        <v>554</v>
      </c>
      <c r="AB57" s="104"/>
      <c r="AC57" s="101" t="s">
        <v>394</v>
      </c>
      <c r="AD57" s="104"/>
      <c r="AE57" s="104" t="s">
        <v>415</v>
      </c>
      <c r="AF57" s="106"/>
      <c r="AG57" s="106"/>
      <c r="AH57" s="106">
        <v>0</v>
      </c>
      <c r="AI57" s="106"/>
      <c r="AL57" s="108"/>
      <c r="AM57" s="108">
        <v>4.7E-2</v>
      </c>
      <c r="AN57" s="108">
        <v>4.8187099999999997E-2</v>
      </c>
      <c r="AO57" s="108">
        <v>4.791285E-2</v>
      </c>
      <c r="AQ57" s="110"/>
      <c r="AR57" s="101" t="s">
        <v>400</v>
      </c>
    </row>
    <row r="58" spans="2:44" x14ac:dyDescent="0.45">
      <c r="B58" s="101" t="s">
        <v>537</v>
      </c>
      <c r="C58" s="101" t="s">
        <v>200</v>
      </c>
      <c r="D58" s="101" t="s">
        <v>64</v>
      </c>
      <c r="E58" s="101" t="s">
        <v>241</v>
      </c>
      <c r="F58" s="104" t="s">
        <v>392</v>
      </c>
      <c r="G58" s="105" t="s">
        <v>310</v>
      </c>
      <c r="H58" s="101" t="s">
        <v>243</v>
      </c>
      <c r="I58" s="104" t="s">
        <v>403</v>
      </c>
      <c r="J58" s="104"/>
      <c r="K58" s="101" t="s">
        <v>394</v>
      </c>
      <c r="L58" s="101" t="s">
        <v>210</v>
      </c>
      <c r="M58" s="101" t="s">
        <v>395</v>
      </c>
      <c r="N58" s="106">
        <v>584000</v>
      </c>
      <c r="O58" s="104" t="s">
        <v>245</v>
      </c>
      <c r="P58" s="107">
        <v>39022</v>
      </c>
      <c r="Q58" s="108">
        <v>1</v>
      </c>
      <c r="R58" s="109">
        <v>39.5</v>
      </c>
      <c r="S58" s="104" t="s">
        <v>396</v>
      </c>
      <c r="T58" s="109">
        <v>67.64</v>
      </c>
      <c r="U58" s="103"/>
      <c r="V58" s="101" t="s">
        <v>304</v>
      </c>
      <c r="W58" s="108">
        <v>5.571152E-2</v>
      </c>
      <c r="X58" s="104" t="s">
        <v>397</v>
      </c>
      <c r="Y58" s="101" t="s">
        <v>394</v>
      </c>
      <c r="Z58" s="101" t="s">
        <v>555</v>
      </c>
      <c r="AA58" s="101" t="s">
        <v>556</v>
      </c>
      <c r="AB58" s="104"/>
      <c r="AC58" s="101" t="s">
        <v>394</v>
      </c>
      <c r="AD58" s="104"/>
      <c r="AE58" s="104" t="s">
        <v>415</v>
      </c>
      <c r="AF58" s="106"/>
      <c r="AG58" s="106"/>
      <c r="AH58" s="106">
        <v>0</v>
      </c>
      <c r="AI58" s="106"/>
      <c r="AL58" s="108"/>
      <c r="AM58" s="108">
        <v>4.7E-2</v>
      </c>
      <c r="AN58" s="108">
        <v>4.8187099999999997E-2</v>
      </c>
      <c r="AO58" s="108">
        <v>4.791285E-2</v>
      </c>
      <c r="AQ58" s="110"/>
      <c r="AR58" s="101" t="s">
        <v>400</v>
      </c>
    </row>
    <row r="59" spans="2:44" x14ac:dyDescent="0.45">
      <c r="B59" s="101" t="s">
        <v>542</v>
      </c>
      <c r="C59" s="101" t="s">
        <v>201</v>
      </c>
      <c r="D59" s="101" t="s">
        <v>64</v>
      </c>
      <c r="E59" s="101" t="s">
        <v>241</v>
      </c>
      <c r="F59" s="104" t="s">
        <v>392</v>
      </c>
      <c r="G59" s="105" t="s">
        <v>310</v>
      </c>
      <c r="H59" s="101" t="s">
        <v>243</v>
      </c>
      <c r="I59" s="104" t="s">
        <v>403</v>
      </c>
      <c r="J59" s="104"/>
      <c r="K59" s="101" t="s">
        <v>394</v>
      </c>
      <c r="L59" s="101" t="s">
        <v>210</v>
      </c>
      <c r="M59" s="101" t="s">
        <v>395</v>
      </c>
      <c r="N59" s="106">
        <v>575000</v>
      </c>
      <c r="O59" s="104" t="s">
        <v>245</v>
      </c>
      <c r="P59" s="107">
        <v>38508</v>
      </c>
      <c r="Q59" s="108">
        <v>1</v>
      </c>
      <c r="R59" s="109">
        <v>48.6</v>
      </c>
      <c r="S59" s="104" t="s">
        <v>396</v>
      </c>
      <c r="T59" s="109">
        <v>84.52</v>
      </c>
      <c r="U59" s="103"/>
      <c r="V59" s="101" t="s">
        <v>304</v>
      </c>
      <c r="W59" s="108">
        <v>6.2362790000000001E-2</v>
      </c>
      <c r="X59" s="104" t="s">
        <v>397</v>
      </c>
      <c r="Y59" s="101" t="s">
        <v>394</v>
      </c>
      <c r="Z59" s="101" t="s">
        <v>557</v>
      </c>
      <c r="AA59" s="101" t="s">
        <v>541</v>
      </c>
      <c r="AB59" s="104"/>
      <c r="AC59" s="101" t="s">
        <v>394</v>
      </c>
      <c r="AD59" s="104"/>
      <c r="AE59" s="104" t="s">
        <v>415</v>
      </c>
      <c r="AF59" s="106"/>
      <c r="AG59" s="106"/>
      <c r="AH59" s="106">
        <v>0</v>
      </c>
      <c r="AI59" s="106"/>
      <c r="AL59" s="108"/>
      <c r="AM59" s="108">
        <v>4.7E-2</v>
      </c>
      <c r="AN59" s="108">
        <v>4.8187099999999997E-2</v>
      </c>
      <c r="AO59" s="108">
        <v>4.791285E-2</v>
      </c>
      <c r="AQ59" s="110"/>
      <c r="AR59" s="101" t="s">
        <v>400</v>
      </c>
    </row>
    <row r="60" spans="2:44" x14ac:dyDescent="0.45">
      <c r="B60" s="119" t="s">
        <v>558</v>
      </c>
      <c r="C60" s="119" t="s">
        <v>559</v>
      </c>
      <c r="D60" s="119" t="s">
        <v>225</v>
      </c>
      <c r="E60" s="119" t="s">
        <v>241</v>
      </c>
      <c r="F60" s="120" t="s">
        <v>392</v>
      </c>
      <c r="G60" s="121" t="s">
        <v>261</v>
      </c>
      <c r="H60" s="119" t="s">
        <v>243</v>
      </c>
      <c r="I60" s="120" t="s">
        <v>403</v>
      </c>
      <c r="J60" s="120" t="s">
        <v>404</v>
      </c>
      <c r="K60" s="119" t="s">
        <v>394</v>
      </c>
      <c r="L60" s="119" t="s">
        <v>222</v>
      </c>
      <c r="M60" s="119" t="s">
        <v>560</v>
      </c>
      <c r="N60" s="122">
        <v>29158</v>
      </c>
      <c r="O60" s="120" t="s">
        <v>245</v>
      </c>
      <c r="P60" s="123">
        <v>45545</v>
      </c>
      <c r="Q60" s="124">
        <v>1</v>
      </c>
      <c r="R60" s="125">
        <v>12.85</v>
      </c>
      <c r="S60" s="120" t="s">
        <v>396</v>
      </c>
      <c r="T60" s="125">
        <v>440.7</v>
      </c>
      <c r="U60" s="126"/>
      <c r="V60" s="119" t="s">
        <v>244</v>
      </c>
      <c r="W60" s="124">
        <v>4.0429140000000002E-2</v>
      </c>
      <c r="X60" s="120" t="s">
        <v>397</v>
      </c>
      <c r="Y60" s="119" t="s">
        <v>394</v>
      </c>
      <c r="Z60" s="119" t="s">
        <v>561</v>
      </c>
      <c r="AA60" s="119"/>
      <c r="AB60" s="120"/>
      <c r="AC60" s="119" t="s">
        <v>394</v>
      </c>
      <c r="AD60" s="120"/>
      <c r="AE60" s="120"/>
      <c r="AF60" s="122">
        <v>1.48</v>
      </c>
      <c r="AG60" s="122">
        <v>1</v>
      </c>
      <c r="AH60" s="122"/>
      <c r="AI60" s="122">
        <v>1</v>
      </c>
      <c r="AJ60" s="119">
        <v>1978</v>
      </c>
      <c r="AK60" s="119"/>
      <c r="AL60" s="124"/>
      <c r="AM60" s="124">
        <v>4.2000000000000003E-2</v>
      </c>
      <c r="AN60" s="124">
        <v>4.1553270000000003E-2</v>
      </c>
      <c r="AO60" s="124">
        <v>4.1235069999999999E-2</v>
      </c>
      <c r="AP60" s="119"/>
      <c r="AQ60" s="127"/>
      <c r="AR60" s="119" t="s">
        <v>400</v>
      </c>
    </row>
    <row r="61" spans="2:44" x14ac:dyDescent="0.45">
      <c r="B61" s="128" t="s">
        <v>562</v>
      </c>
      <c r="C61" s="128" t="s">
        <v>563</v>
      </c>
      <c r="D61" s="128" t="s">
        <v>224</v>
      </c>
      <c r="E61" s="128" t="s">
        <v>241</v>
      </c>
      <c r="F61" s="129" t="s">
        <v>392</v>
      </c>
      <c r="G61" s="130" t="s">
        <v>287</v>
      </c>
      <c r="H61" s="128" t="s">
        <v>243</v>
      </c>
      <c r="I61" s="129" t="s">
        <v>403</v>
      </c>
      <c r="J61" s="129" t="s">
        <v>404</v>
      </c>
      <c r="K61" s="128" t="s">
        <v>394</v>
      </c>
      <c r="L61" s="128" t="s">
        <v>222</v>
      </c>
      <c r="M61" s="128" t="s">
        <v>560</v>
      </c>
      <c r="N61" s="131">
        <v>71407.899999999994</v>
      </c>
      <c r="O61" s="129" t="s">
        <v>245</v>
      </c>
      <c r="P61" s="132">
        <v>45478</v>
      </c>
      <c r="Q61" s="133">
        <v>1</v>
      </c>
      <c r="R61" s="134">
        <v>19.71</v>
      </c>
      <c r="S61" s="129" t="s">
        <v>396</v>
      </c>
      <c r="T61" s="134">
        <v>276.02999999999997</v>
      </c>
      <c r="U61" s="135"/>
      <c r="V61" s="128" t="s">
        <v>244</v>
      </c>
      <c r="W61" s="133">
        <v>4.1116850000000003E-2</v>
      </c>
      <c r="X61" s="129" t="s">
        <v>397</v>
      </c>
      <c r="Y61" s="128" t="s">
        <v>394</v>
      </c>
      <c r="Z61" s="128" t="s">
        <v>564</v>
      </c>
      <c r="AA61" s="128" t="s">
        <v>565</v>
      </c>
      <c r="AB61" s="129"/>
      <c r="AC61" s="128" t="s">
        <v>394</v>
      </c>
      <c r="AD61" s="129"/>
      <c r="AE61" s="129"/>
      <c r="AF61" s="131">
        <v>2.6981999999999999</v>
      </c>
      <c r="AG61" s="131">
        <v>1</v>
      </c>
      <c r="AH61" s="131"/>
      <c r="AI61" s="131">
        <v>1</v>
      </c>
      <c r="AJ61" s="128">
        <v>1959</v>
      </c>
      <c r="AK61" s="128"/>
      <c r="AL61" s="133"/>
      <c r="AM61" s="133">
        <v>4.2000000000000003E-2</v>
      </c>
      <c r="AN61" s="133">
        <v>4.1553270000000003E-2</v>
      </c>
      <c r="AO61" s="133">
        <v>4.1235069999999999E-2</v>
      </c>
      <c r="AP61" s="128"/>
      <c r="AQ61" s="136"/>
      <c r="AR61" s="128" t="s">
        <v>400</v>
      </c>
    </row>
    <row r="62" spans="2:44" x14ac:dyDescent="0.45">
      <c r="B62" s="128" t="s">
        <v>566</v>
      </c>
      <c r="C62" s="128" t="s">
        <v>567</v>
      </c>
      <c r="D62" s="128" t="s">
        <v>224</v>
      </c>
      <c r="E62" s="128" t="s">
        <v>241</v>
      </c>
      <c r="F62" s="129" t="s">
        <v>392</v>
      </c>
      <c r="G62" s="130" t="s">
        <v>287</v>
      </c>
      <c r="H62" s="128" t="s">
        <v>243</v>
      </c>
      <c r="I62" s="129" t="s">
        <v>403</v>
      </c>
      <c r="J62" s="129" t="s">
        <v>486</v>
      </c>
      <c r="K62" s="128" t="s">
        <v>394</v>
      </c>
      <c r="L62" s="128" t="s">
        <v>222</v>
      </c>
      <c r="M62" s="128" t="s">
        <v>560</v>
      </c>
      <c r="N62" s="131">
        <v>126015</v>
      </c>
      <c r="O62" s="129" t="s">
        <v>245</v>
      </c>
      <c r="P62" s="132">
        <v>45251</v>
      </c>
      <c r="Q62" s="133">
        <v>1</v>
      </c>
      <c r="R62" s="134">
        <v>55</v>
      </c>
      <c r="S62" s="129" t="s">
        <v>396</v>
      </c>
      <c r="T62" s="134">
        <v>436.46</v>
      </c>
      <c r="U62" s="135"/>
      <c r="V62" s="128" t="s">
        <v>244</v>
      </c>
      <c r="W62" s="133">
        <v>3.9614620000000003E-2</v>
      </c>
      <c r="X62" s="129" t="s">
        <v>397</v>
      </c>
      <c r="Y62" s="128" t="s">
        <v>394</v>
      </c>
      <c r="Z62" s="128" t="s">
        <v>568</v>
      </c>
      <c r="AA62" s="128" t="s">
        <v>569</v>
      </c>
      <c r="AB62" s="129"/>
      <c r="AC62" s="128" t="s">
        <v>394</v>
      </c>
      <c r="AD62" s="129"/>
      <c r="AE62" s="129" t="s">
        <v>415</v>
      </c>
      <c r="AF62" s="131">
        <v>7.5</v>
      </c>
      <c r="AG62" s="131">
        <v>1</v>
      </c>
      <c r="AH62" s="131"/>
      <c r="AI62" s="131">
        <v>4</v>
      </c>
      <c r="AJ62" s="128">
        <v>1969</v>
      </c>
      <c r="AK62" s="128">
        <v>1974</v>
      </c>
      <c r="AL62" s="133"/>
      <c r="AM62" s="133">
        <v>4.2000000000000003E-2</v>
      </c>
      <c r="AN62" s="133">
        <v>4.1553270000000003E-2</v>
      </c>
      <c r="AO62" s="133">
        <v>4.1235069999999999E-2</v>
      </c>
      <c r="AP62" s="128"/>
      <c r="AQ62" s="136"/>
      <c r="AR62" s="128" t="s">
        <v>400</v>
      </c>
    </row>
    <row r="63" spans="2:44" x14ac:dyDescent="0.45">
      <c r="B63" s="128" t="s">
        <v>570</v>
      </c>
      <c r="C63" s="128" t="s">
        <v>571</v>
      </c>
      <c r="D63" s="128" t="s">
        <v>225</v>
      </c>
      <c r="E63" s="128" t="s">
        <v>241</v>
      </c>
      <c r="F63" s="129" t="s">
        <v>392</v>
      </c>
      <c r="G63" s="130" t="s">
        <v>242</v>
      </c>
      <c r="H63" s="128" t="s">
        <v>243</v>
      </c>
      <c r="I63" s="129" t="s">
        <v>403</v>
      </c>
      <c r="J63" s="129" t="s">
        <v>404</v>
      </c>
      <c r="K63" s="128" t="s">
        <v>394</v>
      </c>
      <c r="L63" s="128" t="s">
        <v>222</v>
      </c>
      <c r="M63" s="128" t="s">
        <v>560</v>
      </c>
      <c r="N63" s="131">
        <v>100254</v>
      </c>
      <c r="O63" s="129" t="s">
        <v>245</v>
      </c>
      <c r="P63" s="132">
        <v>45245</v>
      </c>
      <c r="Q63" s="133">
        <v>1</v>
      </c>
      <c r="R63" s="134">
        <v>12.02</v>
      </c>
      <c r="S63" s="129" t="s">
        <v>396</v>
      </c>
      <c r="T63" s="134">
        <v>119.92</v>
      </c>
      <c r="U63" s="135"/>
      <c r="V63" s="128" t="s">
        <v>244</v>
      </c>
      <c r="W63" s="133">
        <v>3.9614620000000003E-2</v>
      </c>
      <c r="X63" s="129" t="s">
        <v>397</v>
      </c>
      <c r="Y63" s="128" t="s">
        <v>394</v>
      </c>
      <c r="Z63" s="128"/>
      <c r="AA63" s="128" t="s">
        <v>572</v>
      </c>
      <c r="AB63" s="129"/>
      <c r="AC63" s="128" t="s">
        <v>394</v>
      </c>
      <c r="AD63" s="129"/>
      <c r="AE63" s="129" t="s">
        <v>530</v>
      </c>
      <c r="AF63" s="131">
        <v>2.3003</v>
      </c>
      <c r="AG63" s="131">
        <v>1</v>
      </c>
      <c r="AH63" s="131"/>
      <c r="AI63" s="131"/>
      <c r="AJ63" s="128">
        <v>1953</v>
      </c>
      <c r="AK63" s="128"/>
      <c r="AL63" s="133"/>
      <c r="AM63" s="133">
        <v>4.2000000000000003E-2</v>
      </c>
      <c r="AN63" s="133">
        <v>4.1553270000000003E-2</v>
      </c>
      <c r="AO63" s="133">
        <v>4.1235069999999999E-2</v>
      </c>
      <c r="AP63" s="128"/>
      <c r="AQ63" s="136"/>
      <c r="AR63" s="128" t="s">
        <v>400</v>
      </c>
    </row>
    <row r="64" spans="2:44" x14ac:dyDescent="0.45">
      <c r="B64" s="128" t="s">
        <v>573</v>
      </c>
      <c r="C64" s="128" t="s">
        <v>574</v>
      </c>
      <c r="D64" s="128" t="s">
        <v>223</v>
      </c>
      <c r="E64" s="128" t="s">
        <v>241</v>
      </c>
      <c r="F64" s="129" t="s">
        <v>392</v>
      </c>
      <c r="G64" s="130" t="s">
        <v>575</v>
      </c>
      <c r="H64" s="128" t="s">
        <v>243</v>
      </c>
      <c r="I64" s="129" t="s">
        <v>403</v>
      </c>
      <c r="J64" s="129" t="s">
        <v>404</v>
      </c>
      <c r="K64" s="128" t="s">
        <v>394</v>
      </c>
      <c r="L64" s="128" t="s">
        <v>222</v>
      </c>
      <c r="M64" s="128" t="s">
        <v>560</v>
      </c>
      <c r="N64" s="131">
        <v>27388</v>
      </c>
      <c r="O64" s="129" t="s">
        <v>245</v>
      </c>
      <c r="P64" s="132">
        <v>45230</v>
      </c>
      <c r="Q64" s="133">
        <v>1</v>
      </c>
      <c r="R64" s="134">
        <v>11.55</v>
      </c>
      <c r="S64" s="129" t="s">
        <v>396</v>
      </c>
      <c r="T64" s="134">
        <v>421.72</v>
      </c>
      <c r="U64" s="135"/>
      <c r="V64" s="128" t="s">
        <v>244</v>
      </c>
      <c r="W64" s="133">
        <v>3.8264640000000003E-2</v>
      </c>
      <c r="X64" s="129" t="s">
        <v>397</v>
      </c>
      <c r="Y64" s="128" t="s">
        <v>394</v>
      </c>
      <c r="Z64" s="128"/>
      <c r="AA64" s="128" t="s">
        <v>576</v>
      </c>
      <c r="AB64" s="129"/>
      <c r="AC64" s="128" t="s">
        <v>394</v>
      </c>
      <c r="AD64" s="129"/>
      <c r="AE64" s="129"/>
      <c r="AF64" s="131">
        <v>0.85489999999999999</v>
      </c>
      <c r="AG64" s="131">
        <v>2</v>
      </c>
      <c r="AH64" s="131"/>
      <c r="AI64" s="131">
        <v>1</v>
      </c>
      <c r="AJ64" s="128">
        <v>2002</v>
      </c>
      <c r="AK64" s="128"/>
      <c r="AL64" s="133"/>
      <c r="AM64" s="133">
        <v>4.2000000000000003E-2</v>
      </c>
      <c r="AN64" s="133">
        <v>4.1553270000000003E-2</v>
      </c>
      <c r="AO64" s="133">
        <v>4.1235069999999999E-2</v>
      </c>
      <c r="AP64" s="128"/>
      <c r="AQ64" s="136"/>
      <c r="AR64" s="128" t="s">
        <v>400</v>
      </c>
    </row>
    <row r="65" spans="2:44" x14ac:dyDescent="0.45">
      <c r="B65" s="128" t="s">
        <v>577</v>
      </c>
      <c r="C65" s="128" t="s">
        <v>578</v>
      </c>
      <c r="D65" s="128" t="s">
        <v>224</v>
      </c>
      <c r="E65" s="128" t="s">
        <v>241</v>
      </c>
      <c r="F65" s="129" t="s">
        <v>392</v>
      </c>
      <c r="G65" s="130" t="s">
        <v>287</v>
      </c>
      <c r="H65" s="128" t="s">
        <v>243</v>
      </c>
      <c r="I65" s="129" t="s">
        <v>403</v>
      </c>
      <c r="J65" s="129" t="s">
        <v>404</v>
      </c>
      <c r="K65" s="128" t="s">
        <v>394</v>
      </c>
      <c r="L65" s="128" t="s">
        <v>222</v>
      </c>
      <c r="M65" s="128" t="s">
        <v>560</v>
      </c>
      <c r="N65" s="131">
        <v>53978</v>
      </c>
      <c r="O65" s="129" t="s">
        <v>245</v>
      </c>
      <c r="P65" s="132">
        <v>45208</v>
      </c>
      <c r="Q65" s="133">
        <v>1</v>
      </c>
      <c r="R65" s="134">
        <v>20</v>
      </c>
      <c r="S65" s="129" t="s">
        <v>396</v>
      </c>
      <c r="T65" s="134">
        <v>370.52</v>
      </c>
      <c r="U65" s="135"/>
      <c r="V65" s="128" t="s">
        <v>244</v>
      </c>
      <c r="W65" s="133">
        <v>3.8264640000000003E-2</v>
      </c>
      <c r="X65" s="129" t="s">
        <v>397</v>
      </c>
      <c r="Y65" s="128" t="s">
        <v>394</v>
      </c>
      <c r="Z65" s="128" t="s">
        <v>579</v>
      </c>
      <c r="AA65" s="128" t="s">
        <v>580</v>
      </c>
      <c r="AB65" s="129"/>
      <c r="AC65" s="128" t="s">
        <v>394</v>
      </c>
      <c r="AD65" s="129" t="s">
        <v>581</v>
      </c>
      <c r="AE65" s="129" t="s">
        <v>582</v>
      </c>
      <c r="AF65" s="131">
        <v>2.4700000000000002</v>
      </c>
      <c r="AG65" s="131">
        <v>1</v>
      </c>
      <c r="AH65" s="131"/>
      <c r="AI65" s="131">
        <v>1</v>
      </c>
      <c r="AJ65" s="128">
        <v>2002</v>
      </c>
      <c r="AK65" s="128">
        <v>2020</v>
      </c>
      <c r="AL65" s="133"/>
      <c r="AM65" s="133">
        <v>4.2000000000000003E-2</v>
      </c>
      <c r="AN65" s="133">
        <v>4.1553270000000003E-2</v>
      </c>
      <c r="AO65" s="133">
        <v>4.1235069999999999E-2</v>
      </c>
      <c r="AP65" s="128"/>
      <c r="AQ65" s="136"/>
      <c r="AR65" s="128" t="s">
        <v>400</v>
      </c>
    </row>
    <row r="66" spans="2:44" x14ac:dyDescent="0.45">
      <c r="B66" s="128" t="s">
        <v>583</v>
      </c>
      <c r="C66" s="128" t="s">
        <v>584</v>
      </c>
      <c r="D66" s="128" t="s">
        <v>225</v>
      </c>
      <c r="E66" s="128" t="s">
        <v>241</v>
      </c>
      <c r="F66" s="129" t="s">
        <v>392</v>
      </c>
      <c r="G66" s="130" t="s">
        <v>261</v>
      </c>
      <c r="H66" s="128" t="s">
        <v>243</v>
      </c>
      <c r="I66" s="129" t="s">
        <v>403</v>
      </c>
      <c r="J66" s="129" t="s">
        <v>404</v>
      </c>
      <c r="K66" s="128" t="s">
        <v>394</v>
      </c>
      <c r="L66" s="128" t="s">
        <v>222</v>
      </c>
      <c r="M66" s="128" t="s">
        <v>560</v>
      </c>
      <c r="N66" s="131">
        <v>116433</v>
      </c>
      <c r="O66" s="129" t="s">
        <v>245</v>
      </c>
      <c r="P66" s="132">
        <v>45147</v>
      </c>
      <c r="Q66" s="133">
        <v>1</v>
      </c>
      <c r="R66" s="134">
        <v>88</v>
      </c>
      <c r="S66" s="129" t="s">
        <v>396</v>
      </c>
      <c r="T66" s="134">
        <v>755.8</v>
      </c>
      <c r="U66" s="135"/>
      <c r="V66" s="128" t="s">
        <v>244</v>
      </c>
      <c r="W66" s="133">
        <v>2.8437919999999998E-2</v>
      </c>
      <c r="X66" s="129" t="s">
        <v>397</v>
      </c>
      <c r="Y66" s="128" t="s">
        <v>394</v>
      </c>
      <c r="Z66" s="128" t="s">
        <v>585</v>
      </c>
      <c r="AA66" s="128" t="s">
        <v>586</v>
      </c>
      <c r="AB66" s="129"/>
      <c r="AC66" s="128" t="s">
        <v>394</v>
      </c>
      <c r="AD66" s="129"/>
      <c r="AE66" s="129"/>
      <c r="AF66" s="131">
        <v>8.1351999999999993</v>
      </c>
      <c r="AG66" s="131">
        <v>2</v>
      </c>
      <c r="AH66" s="131"/>
      <c r="AI66" s="131"/>
      <c r="AJ66" s="128">
        <v>2000</v>
      </c>
      <c r="AK66" s="128"/>
      <c r="AL66" s="133"/>
      <c r="AM66" s="133">
        <v>4.2000000000000003E-2</v>
      </c>
      <c r="AN66" s="133">
        <v>4.1553270000000003E-2</v>
      </c>
      <c r="AO66" s="133">
        <v>4.1235069999999999E-2</v>
      </c>
      <c r="AP66" s="128"/>
      <c r="AQ66" s="136"/>
      <c r="AR66" s="128" t="s">
        <v>400</v>
      </c>
    </row>
    <row r="67" spans="2:44" x14ac:dyDescent="0.45">
      <c r="B67" s="128" t="s">
        <v>587</v>
      </c>
      <c r="C67" s="128" t="s">
        <v>588</v>
      </c>
      <c r="D67" s="128" t="s">
        <v>224</v>
      </c>
      <c r="E67" s="128" t="s">
        <v>241</v>
      </c>
      <c r="F67" s="129" t="s">
        <v>392</v>
      </c>
      <c r="G67" s="130" t="s">
        <v>287</v>
      </c>
      <c r="H67" s="128" t="s">
        <v>243</v>
      </c>
      <c r="I67" s="129" t="s">
        <v>393</v>
      </c>
      <c r="J67" s="129" t="s">
        <v>486</v>
      </c>
      <c r="K67" s="128" t="s">
        <v>394</v>
      </c>
      <c r="L67" s="128" t="s">
        <v>222</v>
      </c>
      <c r="M67" s="128" t="s">
        <v>560</v>
      </c>
      <c r="N67" s="131">
        <v>11746</v>
      </c>
      <c r="O67" s="129" t="s">
        <v>245</v>
      </c>
      <c r="P67" s="132">
        <v>45009</v>
      </c>
      <c r="Q67" s="133">
        <v>1</v>
      </c>
      <c r="R67" s="134">
        <v>5.5</v>
      </c>
      <c r="S67" s="129" t="s">
        <v>396</v>
      </c>
      <c r="T67" s="134">
        <v>468.24</v>
      </c>
      <c r="U67" s="135"/>
      <c r="V67" s="128" t="s">
        <v>244</v>
      </c>
      <c r="W67" s="133">
        <v>6.2E-2</v>
      </c>
      <c r="X67" s="129" t="s">
        <v>412</v>
      </c>
      <c r="Y67" s="128" t="s">
        <v>394</v>
      </c>
      <c r="Z67" s="128"/>
      <c r="AA67" s="128" t="s">
        <v>589</v>
      </c>
      <c r="AB67" s="129"/>
      <c r="AC67" s="128" t="s">
        <v>394</v>
      </c>
      <c r="AD67" s="129"/>
      <c r="AE67" s="129" t="s">
        <v>415</v>
      </c>
      <c r="AF67" s="131">
        <v>0.41830000000000001</v>
      </c>
      <c r="AG67" s="131">
        <v>2</v>
      </c>
      <c r="AH67" s="131"/>
      <c r="AI67" s="131">
        <v>2</v>
      </c>
      <c r="AJ67" s="128">
        <v>1982</v>
      </c>
      <c r="AK67" s="128"/>
      <c r="AL67" s="133"/>
      <c r="AM67" s="133">
        <v>4.2000000000000003E-2</v>
      </c>
      <c r="AN67" s="133">
        <v>4.1553270000000003E-2</v>
      </c>
      <c r="AO67" s="133">
        <v>4.1235069999999999E-2</v>
      </c>
      <c r="AP67" s="128"/>
      <c r="AQ67" s="136"/>
      <c r="AR67" s="128" t="s">
        <v>400</v>
      </c>
    </row>
    <row r="68" spans="2:44" x14ac:dyDescent="0.45">
      <c r="B68" s="128" t="s">
        <v>590</v>
      </c>
      <c r="C68" s="128" t="s">
        <v>591</v>
      </c>
      <c r="D68" s="128" t="s">
        <v>224</v>
      </c>
      <c r="E68" s="128" t="s">
        <v>241</v>
      </c>
      <c r="F68" s="129" t="s">
        <v>392</v>
      </c>
      <c r="G68" s="130" t="s">
        <v>287</v>
      </c>
      <c r="H68" s="128" t="s">
        <v>243</v>
      </c>
      <c r="I68" s="129" t="s">
        <v>403</v>
      </c>
      <c r="J68" s="129" t="s">
        <v>404</v>
      </c>
      <c r="K68" s="128" t="s">
        <v>394</v>
      </c>
      <c r="L68" s="128" t="s">
        <v>222</v>
      </c>
      <c r="M68" s="128" t="s">
        <v>560</v>
      </c>
      <c r="N68" s="131">
        <v>34900</v>
      </c>
      <c r="O68" s="129" t="s">
        <v>245</v>
      </c>
      <c r="P68" s="132">
        <v>45008</v>
      </c>
      <c r="Q68" s="133">
        <v>1</v>
      </c>
      <c r="R68" s="134">
        <v>18.3</v>
      </c>
      <c r="S68" s="129" t="s">
        <v>396</v>
      </c>
      <c r="T68" s="134">
        <v>524.36</v>
      </c>
      <c r="U68" s="135"/>
      <c r="V68" s="128" t="s">
        <v>244</v>
      </c>
      <c r="W68" s="133">
        <v>2.9437919999999999E-2</v>
      </c>
      <c r="X68" s="129" t="s">
        <v>397</v>
      </c>
      <c r="Y68" s="128" t="s">
        <v>394</v>
      </c>
      <c r="Z68" s="128" t="s">
        <v>592</v>
      </c>
      <c r="AA68" s="128" t="s">
        <v>593</v>
      </c>
      <c r="AB68" s="129"/>
      <c r="AC68" s="128" t="s">
        <v>394</v>
      </c>
      <c r="AD68" s="129"/>
      <c r="AE68" s="129"/>
      <c r="AF68" s="131">
        <v>2.4900000000000002</v>
      </c>
      <c r="AG68" s="131"/>
      <c r="AH68" s="131"/>
      <c r="AI68" s="131"/>
      <c r="AJ68" s="128">
        <v>1959</v>
      </c>
      <c r="AK68" s="128"/>
      <c r="AL68" s="133"/>
      <c r="AM68" s="133">
        <v>4.2000000000000003E-2</v>
      </c>
      <c r="AN68" s="133">
        <v>4.1553270000000003E-2</v>
      </c>
      <c r="AO68" s="133">
        <v>4.1235069999999999E-2</v>
      </c>
      <c r="AP68" s="128"/>
      <c r="AQ68" s="136"/>
      <c r="AR68" s="128" t="s">
        <v>400</v>
      </c>
    </row>
    <row r="69" spans="2:44" x14ac:dyDescent="0.45">
      <c r="B69" s="128" t="s">
        <v>594</v>
      </c>
      <c r="C69" s="128" t="s">
        <v>595</v>
      </c>
      <c r="D69" s="128" t="s">
        <v>225</v>
      </c>
      <c r="E69" s="128" t="s">
        <v>241</v>
      </c>
      <c r="F69" s="129" t="s">
        <v>392</v>
      </c>
      <c r="G69" s="130" t="s">
        <v>242</v>
      </c>
      <c r="H69" s="128" t="s">
        <v>243</v>
      </c>
      <c r="I69" s="129" t="s">
        <v>403</v>
      </c>
      <c r="J69" s="129" t="s">
        <v>404</v>
      </c>
      <c r="K69" s="128" t="s">
        <v>394</v>
      </c>
      <c r="L69" s="128" t="s">
        <v>222</v>
      </c>
      <c r="M69" s="128" t="s">
        <v>560</v>
      </c>
      <c r="N69" s="131">
        <v>12000</v>
      </c>
      <c r="O69" s="129" t="s">
        <v>245</v>
      </c>
      <c r="P69" s="132">
        <v>44958</v>
      </c>
      <c r="Q69" s="133">
        <v>1</v>
      </c>
      <c r="R69" s="134">
        <v>5.65</v>
      </c>
      <c r="S69" s="129" t="s">
        <v>396</v>
      </c>
      <c r="T69" s="134">
        <v>471</v>
      </c>
      <c r="U69" s="135"/>
      <c r="V69" s="128" t="s">
        <v>244</v>
      </c>
      <c r="W69" s="133">
        <v>2.9437919999999999E-2</v>
      </c>
      <c r="X69" s="129" t="s">
        <v>397</v>
      </c>
      <c r="Y69" s="128" t="s">
        <v>394</v>
      </c>
      <c r="Z69" s="128" t="s">
        <v>596</v>
      </c>
      <c r="AA69" s="128" t="s">
        <v>597</v>
      </c>
      <c r="AB69" s="129"/>
      <c r="AC69" s="128" t="s">
        <v>394</v>
      </c>
      <c r="AD69" s="129"/>
      <c r="AE69" s="129"/>
      <c r="AF69" s="131">
        <v>0.68100000000000005</v>
      </c>
      <c r="AG69" s="131">
        <v>1</v>
      </c>
      <c r="AH69" s="131"/>
      <c r="AI69" s="131">
        <v>1</v>
      </c>
      <c r="AJ69" s="128">
        <v>1973</v>
      </c>
      <c r="AK69" s="128"/>
      <c r="AL69" s="133"/>
      <c r="AM69" s="133">
        <v>4.2000000000000003E-2</v>
      </c>
      <c r="AN69" s="133">
        <v>4.1553270000000003E-2</v>
      </c>
      <c r="AO69" s="133">
        <v>4.1235069999999999E-2</v>
      </c>
      <c r="AP69" s="128"/>
      <c r="AQ69" s="136"/>
      <c r="AR69" s="128" t="s">
        <v>400</v>
      </c>
    </row>
    <row r="70" spans="2:44" x14ac:dyDescent="0.45">
      <c r="B70" s="128" t="s">
        <v>598</v>
      </c>
      <c r="C70" s="128" t="s">
        <v>599</v>
      </c>
      <c r="D70" s="128" t="s">
        <v>224</v>
      </c>
      <c r="E70" s="128" t="s">
        <v>241</v>
      </c>
      <c r="F70" s="129" t="s">
        <v>392</v>
      </c>
      <c r="G70" s="130" t="s">
        <v>287</v>
      </c>
      <c r="H70" s="128" t="s">
        <v>243</v>
      </c>
      <c r="I70" s="129" t="s">
        <v>403</v>
      </c>
      <c r="J70" s="129" t="s">
        <v>486</v>
      </c>
      <c r="K70" s="128" t="s">
        <v>394</v>
      </c>
      <c r="L70" s="128" t="s">
        <v>222</v>
      </c>
      <c r="M70" s="128" t="s">
        <v>560</v>
      </c>
      <c r="N70" s="131">
        <v>92640</v>
      </c>
      <c r="O70" s="129" t="s">
        <v>245</v>
      </c>
      <c r="P70" s="132">
        <v>44949</v>
      </c>
      <c r="Q70" s="133">
        <v>1</v>
      </c>
      <c r="R70" s="134">
        <v>22.7</v>
      </c>
      <c r="S70" s="129" t="s">
        <v>396</v>
      </c>
      <c r="T70" s="134">
        <v>245.03</v>
      </c>
      <c r="U70" s="135"/>
      <c r="V70" s="128" t="s">
        <v>244</v>
      </c>
      <c r="W70" s="133">
        <v>4.2799999999999998E-2</v>
      </c>
      <c r="X70" s="129" t="s">
        <v>412</v>
      </c>
      <c r="Y70" s="128" t="s">
        <v>394</v>
      </c>
      <c r="Z70" s="128" t="s">
        <v>600</v>
      </c>
      <c r="AA70" s="128" t="s">
        <v>601</v>
      </c>
      <c r="AB70" s="129"/>
      <c r="AC70" s="128" t="s">
        <v>394</v>
      </c>
      <c r="AD70" s="129" t="s">
        <v>602</v>
      </c>
      <c r="AE70" s="129"/>
      <c r="AF70" s="131">
        <v>3.7</v>
      </c>
      <c r="AG70" s="131">
        <v>1</v>
      </c>
      <c r="AH70" s="131"/>
      <c r="AI70" s="131">
        <v>2</v>
      </c>
      <c r="AJ70" s="128">
        <v>1971</v>
      </c>
      <c r="AK70" s="128"/>
      <c r="AL70" s="133"/>
      <c r="AM70" s="133">
        <v>4.2000000000000003E-2</v>
      </c>
      <c r="AN70" s="133">
        <v>4.1553270000000003E-2</v>
      </c>
      <c r="AO70" s="133">
        <v>4.1235069999999999E-2</v>
      </c>
      <c r="AP70" s="128" t="s">
        <v>603</v>
      </c>
      <c r="AQ70" s="136">
        <v>10000000</v>
      </c>
      <c r="AR70" s="128" t="s">
        <v>400</v>
      </c>
    </row>
    <row r="71" spans="2:44" x14ac:dyDescent="0.45">
      <c r="B71" s="111" t="s">
        <v>604</v>
      </c>
      <c r="C71" s="111" t="s">
        <v>605</v>
      </c>
      <c r="D71" s="111"/>
      <c r="E71" s="111" t="s">
        <v>241</v>
      </c>
      <c r="F71" s="112" t="s">
        <v>392</v>
      </c>
      <c r="G71" s="113" t="s">
        <v>261</v>
      </c>
      <c r="H71" s="111" t="s">
        <v>243</v>
      </c>
      <c r="I71" s="112" t="s">
        <v>403</v>
      </c>
      <c r="J71" s="112" t="s">
        <v>606</v>
      </c>
      <c r="K71" s="111" t="s">
        <v>394</v>
      </c>
      <c r="L71" s="111" t="s">
        <v>222</v>
      </c>
      <c r="M71" s="111" t="s">
        <v>560</v>
      </c>
      <c r="N71" s="114">
        <v>511379</v>
      </c>
      <c r="O71" s="112" t="s">
        <v>245</v>
      </c>
      <c r="P71" s="115">
        <v>44922</v>
      </c>
      <c r="Q71" s="116">
        <v>1</v>
      </c>
      <c r="R71" s="117"/>
      <c r="S71" s="112" t="s">
        <v>396</v>
      </c>
      <c r="T71" s="117">
        <v>387.29</v>
      </c>
      <c r="U71" s="117"/>
      <c r="V71" s="111" t="s">
        <v>244</v>
      </c>
      <c r="W71" s="116">
        <v>5.0999999999999997E-2</v>
      </c>
      <c r="X71" s="112" t="s">
        <v>412</v>
      </c>
      <c r="Y71" s="111" t="s">
        <v>400</v>
      </c>
      <c r="Z71" s="111" t="s">
        <v>520</v>
      </c>
      <c r="AA71" s="111" t="s">
        <v>607</v>
      </c>
      <c r="AB71" s="112"/>
      <c r="AC71" s="111" t="s">
        <v>394</v>
      </c>
      <c r="AD71" s="112"/>
      <c r="AE71" s="112" t="s">
        <v>415</v>
      </c>
      <c r="AF71" s="131"/>
      <c r="AG71" s="131"/>
      <c r="AH71" s="131"/>
      <c r="AI71" s="131"/>
      <c r="AJ71" s="128">
        <v>1982</v>
      </c>
      <c r="AK71" s="128">
        <v>1983</v>
      </c>
      <c r="AL71" s="133">
        <v>1</v>
      </c>
      <c r="AM71" s="133">
        <v>4.2000000000000003E-2</v>
      </c>
      <c r="AN71" s="133">
        <v>4.1553270000000003E-2</v>
      </c>
      <c r="AO71" s="133">
        <v>4.1235069999999999E-2</v>
      </c>
      <c r="AP71" s="128"/>
      <c r="AQ71" s="136"/>
      <c r="AR71" s="128" t="s">
        <v>400</v>
      </c>
    </row>
    <row r="72" spans="2:44" x14ac:dyDescent="0.45">
      <c r="B72" s="111" t="s">
        <v>290</v>
      </c>
      <c r="C72" s="111" t="s">
        <v>605</v>
      </c>
      <c r="D72" s="111" t="s">
        <v>225</v>
      </c>
      <c r="E72" s="111" t="s">
        <v>241</v>
      </c>
      <c r="F72" s="112" t="s">
        <v>392</v>
      </c>
      <c r="G72" s="113" t="s">
        <v>261</v>
      </c>
      <c r="H72" s="111" t="s">
        <v>243</v>
      </c>
      <c r="I72" s="112" t="s">
        <v>403</v>
      </c>
      <c r="J72" s="112" t="s">
        <v>606</v>
      </c>
      <c r="K72" s="111" t="s">
        <v>394</v>
      </c>
      <c r="L72" s="111" t="s">
        <v>222</v>
      </c>
      <c r="M72" s="111" t="s">
        <v>560</v>
      </c>
      <c r="N72" s="114">
        <v>102143</v>
      </c>
      <c r="O72" s="112" t="s">
        <v>245</v>
      </c>
      <c r="P72" s="115">
        <v>44922</v>
      </c>
      <c r="Q72" s="116">
        <v>1</v>
      </c>
      <c r="R72" s="117">
        <v>37</v>
      </c>
      <c r="S72" s="112" t="s">
        <v>396</v>
      </c>
      <c r="T72" s="117">
        <v>362.24</v>
      </c>
      <c r="U72" s="118"/>
      <c r="V72" s="111" t="s">
        <v>244</v>
      </c>
      <c r="W72" s="116">
        <v>5.0999999999999997E-2</v>
      </c>
      <c r="X72" s="112" t="s">
        <v>412</v>
      </c>
      <c r="Y72" s="111" t="s">
        <v>400</v>
      </c>
      <c r="Z72" s="111" t="s">
        <v>520</v>
      </c>
      <c r="AA72" s="111" t="s">
        <v>607</v>
      </c>
      <c r="AB72" s="112"/>
      <c r="AC72" s="111" t="s">
        <v>394</v>
      </c>
      <c r="AD72" s="112"/>
      <c r="AE72" s="112" t="s">
        <v>415</v>
      </c>
      <c r="AF72" s="131"/>
      <c r="AG72" s="131"/>
      <c r="AH72" s="131"/>
      <c r="AI72" s="131"/>
      <c r="AJ72" s="128">
        <v>1982</v>
      </c>
      <c r="AK72" s="128">
        <v>1983</v>
      </c>
      <c r="AL72" s="133">
        <v>1</v>
      </c>
      <c r="AM72" s="133">
        <v>4.2000000000000003E-2</v>
      </c>
      <c r="AN72" s="133">
        <v>4.1553270000000003E-2</v>
      </c>
      <c r="AO72" s="133">
        <v>4.1235069999999999E-2</v>
      </c>
      <c r="AP72" s="128"/>
      <c r="AQ72" s="136"/>
      <c r="AR72" s="128" t="s">
        <v>400</v>
      </c>
    </row>
    <row r="73" spans="2:44" x14ac:dyDescent="0.45">
      <c r="B73" s="128" t="s">
        <v>608</v>
      </c>
      <c r="C73" s="128" t="s">
        <v>609</v>
      </c>
      <c r="D73" s="128" t="s">
        <v>223</v>
      </c>
      <c r="E73" s="128" t="s">
        <v>241</v>
      </c>
      <c r="F73" s="129" t="s">
        <v>392</v>
      </c>
      <c r="G73" s="130" t="s">
        <v>575</v>
      </c>
      <c r="H73" s="128" t="s">
        <v>243</v>
      </c>
      <c r="I73" s="129" t="s">
        <v>403</v>
      </c>
      <c r="J73" s="129"/>
      <c r="K73" s="128" t="s">
        <v>394</v>
      </c>
      <c r="L73" s="128" t="s">
        <v>222</v>
      </c>
      <c r="M73" s="128" t="s">
        <v>560</v>
      </c>
      <c r="N73" s="131">
        <v>51185</v>
      </c>
      <c r="O73" s="129" t="s">
        <v>245</v>
      </c>
      <c r="P73" s="132">
        <v>44812</v>
      </c>
      <c r="Q73" s="133">
        <v>1</v>
      </c>
      <c r="R73" s="134">
        <v>24.2</v>
      </c>
      <c r="S73" s="129" t="s">
        <v>396</v>
      </c>
      <c r="T73" s="134">
        <v>472.79</v>
      </c>
      <c r="U73" s="135"/>
      <c r="V73" s="128" t="s">
        <v>244</v>
      </c>
      <c r="W73" s="133">
        <v>2.7437920000000001E-2</v>
      </c>
      <c r="X73" s="129" t="s">
        <v>397</v>
      </c>
      <c r="Y73" s="128" t="s">
        <v>394</v>
      </c>
      <c r="Z73" s="128" t="s">
        <v>520</v>
      </c>
      <c r="AA73" s="128" t="s">
        <v>610</v>
      </c>
      <c r="AB73" s="129"/>
      <c r="AC73" s="128" t="s">
        <v>394</v>
      </c>
      <c r="AD73" s="129"/>
      <c r="AE73" s="129"/>
      <c r="AF73" s="131"/>
      <c r="AG73" s="131"/>
      <c r="AH73" s="131"/>
      <c r="AI73" s="131"/>
      <c r="AJ73" s="128">
        <v>2002</v>
      </c>
      <c r="AK73" s="128"/>
      <c r="AL73" s="133"/>
      <c r="AM73" s="133">
        <v>4.2000000000000003E-2</v>
      </c>
      <c r="AN73" s="133">
        <v>4.1553270000000003E-2</v>
      </c>
      <c r="AO73" s="133">
        <v>4.1235069999999999E-2</v>
      </c>
      <c r="AP73" s="128"/>
      <c r="AQ73" s="136"/>
      <c r="AR73" s="128" t="s">
        <v>400</v>
      </c>
    </row>
    <row r="74" spans="2:44" x14ac:dyDescent="0.45">
      <c r="B74" s="128" t="s">
        <v>611</v>
      </c>
      <c r="C74" s="128" t="s">
        <v>612</v>
      </c>
      <c r="D74" s="128" t="s">
        <v>225</v>
      </c>
      <c r="E74" s="128" t="s">
        <v>241</v>
      </c>
      <c r="F74" s="129" t="s">
        <v>392</v>
      </c>
      <c r="G74" s="130" t="s">
        <v>242</v>
      </c>
      <c r="H74" s="128" t="s">
        <v>243</v>
      </c>
      <c r="I74" s="129" t="s">
        <v>403</v>
      </c>
      <c r="J74" s="129"/>
      <c r="K74" s="128" t="s">
        <v>394</v>
      </c>
      <c r="L74" s="128" t="s">
        <v>222</v>
      </c>
      <c r="M74" s="128" t="s">
        <v>560</v>
      </c>
      <c r="N74" s="131">
        <v>74038</v>
      </c>
      <c r="O74" s="129" t="s">
        <v>245</v>
      </c>
      <c r="P74" s="132">
        <v>44714</v>
      </c>
      <c r="Q74" s="133">
        <v>1</v>
      </c>
      <c r="R74" s="134">
        <v>39.979999999999997</v>
      </c>
      <c r="S74" s="129" t="s">
        <v>396</v>
      </c>
      <c r="T74" s="134">
        <v>539.99</v>
      </c>
      <c r="U74" s="135"/>
      <c r="V74" s="128" t="s">
        <v>244</v>
      </c>
      <c r="W74" s="133">
        <v>2.8437919999999998E-2</v>
      </c>
      <c r="X74" s="129" t="s">
        <v>397</v>
      </c>
      <c r="Y74" s="128" t="s">
        <v>394</v>
      </c>
      <c r="Z74" s="128" t="s">
        <v>520</v>
      </c>
      <c r="AA74" s="128" t="s">
        <v>613</v>
      </c>
      <c r="AB74" s="129"/>
      <c r="AC74" s="128" t="s">
        <v>394</v>
      </c>
      <c r="AD74" s="129"/>
      <c r="AE74" s="129" t="s">
        <v>614</v>
      </c>
      <c r="AF74" s="131"/>
      <c r="AG74" s="131"/>
      <c r="AH74" s="131">
        <v>0</v>
      </c>
      <c r="AI74" s="131"/>
      <c r="AJ74" s="128">
        <v>2001</v>
      </c>
      <c r="AK74" s="128"/>
      <c r="AL74" s="133">
        <v>1</v>
      </c>
      <c r="AM74" s="133">
        <v>4.2000000000000003E-2</v>
      </c>
      <c r="AN74" s="133">
        <v>4.1553270000000003E-2</v>
      </c>
      <c r="AO74" s="133">
        <v>4.1235069999999999E-2</v>
      </c>
      <c r="AP74" s="128"/>
      <c r="AQ74" s="136"/>
      <c r="AR74" s="128" t="s">
        <v>400</v>
      </c>
    </row>
    <row r="75" spans="2:44" x14ac:dyDescent="0.45">
      <c r="B75" s="128" t="s">
        <v>615</v>
      </c>
      <c r="C75" s="128" t="s">
        <v>616</v>
      </c>
      <c r="D75" s="128" t="s">
        <v>225</v>
      </c>
      <c r="E75" s="128" t="s">
        <v>241</v>
      </c>
      <c r="F75" s="129" t="s">
        <v>392</v>
      </c>
      <c r="G75" s="130" t="s">
        <v>261</v>
      </c>
      <c r="H75" s="128" t="s">
        <v>243</v>
      </c>
      <c r="I75" s="129" t="s">
        <v>403</v>
      </c>
      <c r="J75" s="129"/>
      <c r="K75" s="128" t="s">
        <v>394</v>
      </c>
      <c r="L75" s="128" t="s">
        <v>222</v>
      </c>
      <c r="M75" s="128" t="s">
        <v>560</v>
      </c>
      <c r="N75" s="131">
        <v>47712</v>
      </c>
      <c r="O75" s="129" t="s">
        <v>245</v>
      </c>
      <c r="P75" s="132">
        <v>44601</v>
      </c>
      <c r="Q75" s="133">
        <v>1</v>
      </c>
      <c r="R75" s="134">
        <v>11.3</v>
      </c>
      <c r="S75" s="129" t="s">
        <v>396</v>
      </c>
      <c r="T75" s="134">
        <v>236.84</v>
      </c>
      <c r="U75" s="135"/>
      <c r="V75" s="128" t="s">
        <v>244</v>
      </c>
      <c r="W75" s="133">
        <v>2.593792E-2</v>
      </c>
      <c r="X75" s="129" t="s">
        <v>397</v>
      </c>
      <c r="Y75" s="128" t="s">
        <v>394</v>
      </c>
      <c r="Z75" s="128" t="s">
        <v>520</v>
      </c>
      <c r="AA75" s="128"/>
      <c r="AB75" s="129"/>
      <c r="AC75" s="128" t="s">
        <v>394</v>
      </c>
      <c r="AD75" s="129"/>
      <c r="AE75" s="129"/>
      <c r="AF75" s="131"/>
      <c r="AG75" s="131"/>
      <c r="AH75" s="131">
        <v>0</v>
      </c>
      <c r="AI75" s="131"/>
      <c r="AJ75" s="128">
        <v>1982</v>
      </c>
      <c r="AK75" s="128"/>
      <c r="AL75" s="133"/>
      <c r="AM75" s="133">
        <v>4.2000000000000003E-2</v>
      </c>
      <c r="AN75" s="133">
        <v>4.1553270000000003E-2</v>
      </c>
      <c r="AO75" s="133">
        <v>4.1235069999999999E-2</v>
      </c>
      <c r="AP75" s="128"/>
      <c r="AQ75" s="136"/>
      <c r="AR75" s="128" t="s">
        <v>400</v>
      </c>
    </row>
    <row r="76" spans="2:44" x14ac:dyDescent="0.45">
      <c r="B76" s="128" t="s">
        <v>617</v>
      </c>
      <c r="C76" s="128" t="s">
        <v>618</v>
      </c>
      <c r="D76" s="128" t="s">
        <v>225</v>
      </c>
      <c r="E76" s="128" t="s">
        <v>241</v>
      </c>
      <c r="F76" s="129" t="s">
        <v>392</v>
      </c>
      <c r="G76" s="130" t="s">
        <v>242</v>
      </c>
      <c r="H76" s="128" t="s">
        <v>243</v>
      </c>
      <c r="I76" s="129" t="s">
        <v>403</v>
      </c>
      <c r="J76" s="129"/>
      <c r="K76" s="128" t="s">
        <v>394</v>
      </c>
      <c r="L76" s="128" t="s">
        <v>222</v>
      </c>
      <c r="M76" s="128" t="s">
        <v>560</v>
      </c>
      <c r="N76" s="131">
        <v>65998</v>
      </c>
      <c r="O76" s="129" t="s">
        <v>245</v>
      </c>
      <c r="P76" s="132">
        <v>44537</v>
      </c>
      <c r="Q76" s="133">
        <v>1</v>
      </c>
      <c r="R76" s="134">
        <v>51.53</v>
      </c>
      <c r="S76" s="129" t="s">
        <v>396</v>
      </c>
      <c r="T76" s="134">
        <v>780.71</v>
      </c>
      <c r="U76" s="135"/>
      <c r="V76" s="128" t="s">
        <v>244</v>
      </c>
      <c r="W76" s="133">
        <v>2.4937919999999999E-2</v>
      </c>
      <c r="X76" s="129" t="s">
        <v>397</v>
      </c>
      <c r="Y76" s="128" t="s">
        <v>394</v>
      </c>
      <c r="Z76" s="128" t="s">
        <v>619</v>
      </c>
      <c r="AA76" s="128"/>
      <c r="AB76" s="129"/>
      <c r="AC76" s="128" t="s">
        <v>394</v>
      </c>
      <c r="AD76" s="129"/>
      <c r="AE76" s="129"/>
      <c r="AF76" s="131"/>
      <c r="AG76" s="131"/>
      <c r="AH76" s="131">
        <v>0</v>
      </c>
      <c r="AI76" s="131"/>
      <c r="AJ76" s="128">
        <v>1990</v>
      </c>
      <c r="AK76" s="128"/>
      <c r="AL76" s="133"/>
      <c r="AM76" s="133">
        <v>4.2000000000000003E-2</v>
      </c>
      <c r="AN76" s="133">
        <v>4.1553270000000003E-2</v>
      </c>
      <c r="AO76" s="133">
        <v>4.1235069999999999E-2</v>
      </c>
      <c r="AP76" s="128"/>
      <c r="AQ76" s="136"/>
      <c r="AR76" s="128" t="s">
        <v>400</v>
      </c>
    </row>
    <row r="77" spans="2:44" x14ac:dyDescent="0.45">
      <c r="B77" s="128" t="s">
        <v>620</v>
      </c>
      <c r="C77" s="128" t="s">
        <v>621</v>
      </c>
      <c r="D77" s="128" t="s">
        <v>225</v>
      </c>
      <c r="E77" s="128" t="s">
        <v>241</v>
      </c>
      <c r="F77" s="129" t="s">
        <v>392</v>
      </c>
      <c r="G77" s="130" t="s">
        <v>261</v>
      </c>
      <c r="H77" s="128" t="s">
        <v>243</v>
      </c>
      <c r="I77" s="129" t="s">
        <v>403</v>
      </c>
      <c r="J77" s="129"/>
      <c r="K77" s="128" t="s">
        <v>394</v>
      </c>
      <c r="L77" s="128" t="s">
        <v>222</v>
      </c>
      <c r="M77" s="128" t="s">
        <v>560</v>
      </c>
      <c r="N77" s="131">
        <v>20000</v>
      </c>
      <c r="O77" s="129" t="s">
        <v>245</v>
      </c>
      <c r="P77" s="132">
        <v>44433</v>
      </c>
      <c r="Q77" s="133">
        <v>1</v>
      </c>
      <c r="R77" s="134">
        <v>5.93</v>
      </c>
      <c r="S77" s="129" t="s">
        <v>396</v>
      </c>
      <c r="T77" s="134">
        <v>296.56</v>
      </c>
      <c r="U77" s="135"/>
      <c r="V77" s="128" t="s">
        <v>244</v>
      </c>
      <c r="W77" s="133">
        <v>2.593792E-2</v>
      </c>
      <c r="X77" s="129" t="s">
        <v>397</v>
      </c>
      <c r="Y77" s="128" t="s">
        <v>394</v>
      </c>
      <c r="Z77" s="128"/>
      <c r="AA77" s="128"/>
      <c r="AB77" s="129"/>
      <c r="AC77" s="128" t="s">
        <v>394</v>
      </c>
      <c r="AD77" s="129" t="s">
        <v>614</v>
      </c>
      <c r="AE77" s="129" t="s">
        <v>614</v>
      </c>
      <c r="AF77" s="131"/>
      <c r="AG77" s="131"/>
      <c r="AH77" s="131">
        <v>0</v>
      </c>
      <c r="AI77" s="131"/>
      <c r="AJ77" s="128"/>
      <c r="AK77" s="128"/>
      <c r="AL77" s="133"/>
      <c r="AM77" s="133">
        <v>4.2000000000000003E-2</v>
      </c>
      <c r="AN77" s="133">
        <v>4.1553270000000003E-2</v>
      </c>
      <c r="AO77" s="133">
        <v>4.1235069999999999E-2</v>
      </c>
      <c r="AP77" s="128"/>
      <c r="AQ77" s="136"/>
      <c r="AR77" s="128" t="s">
        <v>400</v>
      </c>
    </row>
    <row r="78" spans="2:44" x14ac:dyDescent="0.45">
      <c r="B78" s="128" t="s">
        <v>622</v>
      </c>
      <c r="C78" s="128" t="s">
        <v>623</v>
      </c>
      <c r="D78" s="128" t="s">
        <v>225</v>
      </c>
      <c r="E78" s="128" t="s">
        <v>241</v>
      </c>
      <c r="F78" s="129" t="s">
        <v>392</v>
      </c>
      <c r="G78" s="130" t="s">
        <v>293</v>
      </c>
      <c r="H78" s="128" t="s">
        <v>243</v>
      </c>
      <c r="I78" s="129" t="s">
        <v>403</v>
      </c>
      <c r="J78" s="129"/>
      <c r="K78" s="128" t="s">
        <v>394</v>
      </c>
      <c r="L78" s="128" t="s">
        <v>222</v>
      </c>
      <c r="M78" s="128" t="s">
        <v>560</v>
      </c>
      <c r="N78" s="131">
        <v>135000</v>
      </c>
      <c r="O78" s="129" t="s">
        <v>245</v>
      </c>
      <c r="P78" s="132">
        <v>44376</v>
      </c>
      <c r="Q78" s="133">
        <v>1</v>
      </c>
      <c r="R78" s="134">
        <v>34.5</v>
      </c>
      <c r="S78" s="129" t="s">
        <v>396</v>
      </c>
      <c r="T78" s="134">
        <v>255.56</v>
      </c>
      <c r="U78" s="135"/>
      <c r="V78" s="128" t="s">
        <v>244</v>
      </c>
      <c r="W78" s="133">
        <v>4.4999999999999998E-2</v>
      </c>
      <c r="X78" s="129" t="s">
        <v>412</v>
      </c>
      <c r="Y78" s="128" t="s">
        <v>394</v>
      </c>
      <c r="Z78" s="128" t="s">
        <v>624</v>
      </c>
      <c r="AA78" s="128" t="s">
        <v>625</v>
      </c>
      <c r="AB78" s="129"/>
      <c r="AC78" s="128" t="s">
        <v>394</v>
      </c>
      <c r="AD78" s="129"/>
      <c r="AE78" s="129" t="s">
        <v>415</v>
      </c>
      <c r="AF78" s="131"/>
      <c r="AG78" s="131"/>
      <c r="AH78" s="131">
        <v>0</v>
      </c>
      <c r="AI78" s="131"/>
      <c r="AJ78" s="128"/>
      <c r="AK78" s="128"/>
      <c r="AL78" s="133"/>
      <c r="AM78" s="133">
        <v>4.2000000000000003E-2</v>
      </c>
      <c r="AN78" s="133">
        <v>4.1553270000000003E-2</v>
      </c>
      <c r="AO78" s="133">
        <v>4.1235069999999999E-2</v>
      </c>
      <c r="AP78" s="128"/>
      <c r="AQ78" s="136"/>
      <c r="AR78" s="128" t="s">
        <v>400</v>
      </c>
    </row>
    <row r="79" spans="2:44" x14ac:dyDescent="0.45">
      <c r="B79" s="128" t="s">
        <v>626</v>
      </c>
      <c r="C79" s="128" t="s">
        <v>627</v>
      </c>
      <c r="D79" s="128" t="s">
        <v>225</v>
      </c>
      <c r="E79" s="128" t="s">
        <v>241</v>
      </c>
      <c r="F79" s="129" t="s">
        <v>392</v>
      </c>
      <c r="G79" s="130" t="s">
        <v>261</v>
      </c>
      <c r="H79" s="128" t="s">
        <v>243</v>
      </c>
      <c r="I79" s="129" t="s">
        <v>403</v>
      </c>
      <c r="J79" s="129" t="s">
        <v>404</v>
      </c>
      <c r="K79" s="128" t="s">
        <v>394</v>
      </c>
      <c r="L79" s="128" t="s">
        <v>222</v>
      </c>
      <c r="M79" s="128" t="s">
        <v>560</v>
      </c>
      <c r="N79" s="131">
        <v>16899</v>
      </c>
      <c r="O79" s="129" t="s">
        <v>245</v>
      </c>
      <c r="P79" s="132">
        <v>44328</v>
      </c>
      <c r="Q79" s="133">
        <v>1</v>
      </c>
      <c r="R79" s="134">
        <v>6.29</v>
      </c>
      <c r="S79" s="129" t="s">
        <v>396</v>
      </c>
      <c r="T79" s="134">
        <v>372.21</v>
      </c>
      <c r="U79" s="135"/>
      <c r="V79" s="128" t="s">
        <v>244</v>
      </c>
      <c r="W79" s="133">
        <v>4.7E-2</v>
      </c>
      <c r="X79" s="129" t="s">
        <v>412</v>
      </c>
      <c r="Y79" s="128" t="s">
        <v>394</v>
      </c>
      <c r="Z79" s="128" t="s">
        <v>628</v>
      </c>
      <c r="AA79" s="128"/>
      <c r="AB79" s="129"/>
      <c r="AC79" s="128" t="s">
        <v>394</v>
      </c>
      <c r="AD79" s="129"/>
      <c r="AE79" s="129" t="s">
        <v>614</v>
      </c>
      <c r="AF79" s="131">
        <v>1.21</v>
      </c>
      <c r="AG79" s="131">
        <v>2</v>
      </c>
      <c r="AH79" s="131">
        <v>0</v>
      </c>
      <c r="AI79" s="131"/>
      <c r="AJ79" s="128">
        <v>1980</v>
      </c>
      <c r="AK79" s="128"/>
      <c r="AL79" s="133"/>
      <c r="AM79" s="133">
        <v>4.2000000000000003E-2</v>
      </c>
      <c r="AN79" s="133">
        <v>4.1553270000000003E-2</v>
      </c>
      <c r="AO79" s="133">
        <v>4.1235069999999999E-2</v>
      </c>
      <c r="AP79" s="128"/>
      <c r="AQ79" s="136"/>
      <c r="AR79" s="128" t="s">
        <v>400</v>
      </c>
    </row>
    <row r="80" spans="2:44" x14ac:dyDescent="0.45">
      <c r="B80" s="111" t="s">
        <v>629</v>
      </c>
      <c r="C80" s="111" t="s">
        <v>630</v>
      </c>
      <c r="D80" s="111"/>
      <c r="E80" s="111" t="s">
        <v>241</v>
      </c>
      <c r="F80" s="112" t="s">
        <v>392</v>
      </c>
      <c r="G80" s="113" t="s">
        <v>287</v>
      </c>
      <c r="H80" s="111" t="s">
        <v>243</v>
      </c>
      <c r="I80" s="112" t="s">
        <v>403</v>
      </c>
      <c r="J80" s="112"/>
      <c r="K80" s="111" t="s">
        <v>394</v>
      </c>
      <c r="L80" s="111" t="s">
        <v>222</v>
      </c>
      <c r="M80" s="111" t="s">
        <v>560</v>
      </c>
      <c r="N80" s="114">
        <v>1335436</v>
      </c>
      <c r="O80" s="112" t="s">
        <v>245</v>
      </c>
      <c r="P80" s="115">
        <v>44119</v>
      </c>
      <c r="Q80" s="116">
        <v>0.95</v>
      </c>
      <c r="R80" s="117"/>
      <c r="S80" s="112" t="s">
        <v>396</v>
      </c>
      <c r="T80" s="117">
        <v>177.43</v>
      </c>
      <c r="U80" s="117"/>
      <c r="V80" s="111" t="s">
        <v>244</v>
      </c>
      <c r="W80" s="116"/>
      <c r="X80" s="112"/>
      <c r="Y80" s="111" t="s">
        <v>400</v>
      </c>
      <c r="Z80" s="111" t="s">
        <v>466</v>
      </c>
      <c r="AA80" s="111" t="s">
        <v>631</v>
      </c>
      <c r="AB80" s="112"/>
      <c r="AC80" s="111" t="s">
        <v>394</v>
      </c>
      <c r="AD80" s="112"/>
      <c r="AE80" s="112" t="s">
        <v>442</v>
      </c>
      <c r="AF80" s="131"/>
      <c r="AG80" s="131"/>
      <c r="AH80" s="131">
        <v>0</v>
      </c>
      <c r="AI80" s="131"/>
      <c r="AJ80" s="128"/>
      <c r="AK80" s="128"/>
      <c r="AL80" s="133"/>
      <c r="AM80" s="133">
        <v>4.2000000000000003E-2</v>
      </c>
      <c r="AN80" s="133">
        <v>4.1553270000000003E-2</v>
      </c>
      <c r="AO80" s="133">
        <v>4.1235069999999999E-2</v>
      </c>
      <c r="AP80" s="128"/>
      <c r="AQ80" s="136"/>
      <c r="AR80" s="128" t="s">
        <v>400</v>
      </c>
    </row>
    <row r="81" spans="2:44" x14ac:dyDescent="0.45">
      <c r="B81" s="111" t="s">
        <v>632</v>
      </c>
      <c r="C81" s="111" t="s">
        <v>630</v>
      </c>
      <c r="D81" s="111" t="s">
        <v>224</v>
      </c>
      <c r="E81" s="111" t="s">
        <v>241</v>
      </c>
      <c r="F81" s="112" t="s">
        <v>392</v>
      </c>
      <c r="G81" s="113" t="s">
        <v>287</v>
      </c>
      <c r="H81" s="111" t="s">
        <v>243</v>
      </c>
      <c r="I81" s="112" t="s">
        <v>403</v>
      </c>
      <c r="J81" s="112"/>
      <c r="K81" s="111" t="s">
        <v>394</v>
      </c>
      <c r="L81" s="111" t="s">
        <v>222</v>
      </c>
      <c r="M81" s="111" t="s">
        <v>560</v>
      </c>
      <c r="N81" s="114">
        <v>40000</v>
      </c>
      <c r="O81" s="112" t="s">
        <v>245</v>
      </c>
      <c r="P81" s="115">
        <v>44119</v>
      </c>
      <c r="Q81" s="116">
        <v>0.95</v>
      </c>
      <c r="R81" s="117"/>
      <c r="S81" s="112"/>
      <c r="T81" s="117"/>
      <c r="U81" s="118"/>
      <c r="V81" s="111" t="s">
        <v>244</v>
      </c>
      <c r="W81" s="116"/>
      <c r="X81" s="112"/>
      <c r="Y81" s="111" t="s">
        <v>400</v>
      </c>
      <c r="Z81" s="111" t="s">
        <v>466</v>
      </c>
      <c r="AA81" s="111" t="s">
        <v>631</v>
      </c>
      <c r="AB81" s="112"/>
      <c r="AC81" s="111" t="s">
        <v>394</v>
      </c>
      <c r="AD81" s="112"/>
      <c r="AE81" s="112" t="s">
        <v>442</v>
      </c>
      <c r="AF81" s="131"/>
      <c r="AG81" s="131"/>
      <c r="AH81" s="131">
        <v>0</v>
      </c>
      <c r="AI81" s="131"/>
      <c r="AJ81" s="128"/>
      <c r="AK81" s="128"/>
      <c r="AL81" s="133"/>
      <c r="AM81" s="133">
        <v>4.2000000000000003E-2</v>
      </c>
      <c r="AN81" s="133">
        <v>4.1553270000000003E-2</v>
      </c>
      <c r="AO81" s="133">
        <v>4.1235069999999999E-2</v>
      </c>
      <c r="AP81" s="128"/>
      <c r="AQ81" s="136"/>
      <c r="AR81" s="128" t="s">
        <v>400</v>
      </c>
    </row>
    <row r="82" spans="2:44" x14ac:dyDescent="0.45">
      <c r="B82" s="128" t="s">
        <v>633</v>
      </c>
      <c r="C82" s="128" t="s">
        <v>634</v>
      </c>
      <c r="D82" s="128" t="s">
        <v>225</v>
      </c>
      <c r="E82" s="128" t="s">
        <v>241</v>
      </c>
      <c r="F82" s="129" t="s">
        <v>392</v>
      </c>
      <c r="G82" s="130" t="s">
        <v>261</v>
      </c>
      <c r="H82" s="128" t="s">
        <v>243</v>
      </c>
      <c r="I82" s="129" t="s">
        <v>403</v>
      </c>
      <c r="J82" s="129"/>
      <c r="K82" s="128" t="s">
        <v>394</v>
      </c>
      <c r="L82" s="128" t="s">
        <v>222</v>
      </c>
      <c r="M82" s="128" t="s">
        <v>560</v>
      </c>
      <c r="N82" s="131">
        <v>153000</v>
      </c>
      <c r="O82" s="129" t="s">
        <v>245</v>
      </c>
      <c r="P82" s="132">
        <v>44042</v>
      </c>
      <c r="Q82" s="133">
        <v>1</v>
      </c>
      <c r="R82" s="134">
        <v>44.23</v>
      </c>
      <c r="S82" s="129" t="s">
        <v>396</v>
      </c>
      <c r="T82" s="134">
        <v>289.08</v>
      </c>
      <c r="U82" s="135"/>
      <c r="V82" s="128" t="s">
        <v>244</v>
      </c>
      <c r="W82" s="133">
        <v>3.4437919999999997E-2</v>
      </c>
      <c r="X82" s="129" t="s">
        <v>397</v>
      </c>
      <c r="Y82" s="128" t="s">
        <v>394</v>
      </c>
      <c r="Z82" s="128"/>
      <c r="AA82" s="128" t="s">
        <v>635</v>
      </c>
      <c r="AB82" s="129"/>
      <c r="AC82" s="128" t="s">
        <v>394</v>
      </c>
      <c r="AD82" s="129"/>
      <c r="AE82" s="129" t="s">
        <v>450</v>
      </c>
      <c r="AF82" s="131"/>
      <c r="AG82" s="131"/>
      <c r="AH82" s="131">
        <v>0</v>
      </c>
      <c r="AI82" s="131"/>
      <c r="AJ82" s="128"/>
      <c r="AK82" s="128"/>
      <c r="AL82" s="133"/>
      <c r="AM82" s="133">
        <v>4.2000000000000003E-2</v>
      </c>
      <c r="AN82" s="133">
        <v>4.1553270000000003E-2</v>
      </c>
      <c r="AO82" s="133">
        <v>4.1235069999999999E-2</v>
      </c>
      <c r="AP82" s="128"/>
      <c r="AQ82" s="136"/>
      <c r="AR82" s="128" t="s">
        <v>400</v>
      </c>
    </row>
    <row r="83" spans="2:44" x14ac:dyDescent="0.45">
      <c r="B83" s="128" t="s">
        <v>636</v>
      </c>
      <c r="C83" s="128" t="s">
        <v>637</v>
      </c>
      <c r="D83" s="128" t="s">
        <v>225</v>
      </c>
      <c r="E83" s="128" t="s">
        <v>241</v>
      </c>
      <c r="F83" s="129" t="s">
        <v>392</v>
      </c>
      <c r="G83" s="130" t="s">
        <v>293</v>
      </c>
      <c r="H83" s="128" t="s">
        <v>243</v>
      </c>
      <c r="I83" s="129" t="s">
        <v>403</v>
      </c>
      <c r="J83" s="129"/>
      <c r="K83" s="128" t="s">
        <v>394</v>
      </c>
      <c r="L83" s="128" t="s">
        <v>222</v>
      </c>
      <c r="M83" s="128" t="s">
        <v>560</v>
      </c>
      <c r="N83" s="131">
        <v>174000</v>
      </c>
      <c r="O83" s="129" t="s">
        <v>245</v>
      </c>
      <c r="P83" s="132">
        <v>43962</v>
      </c>
      <c r="Q83" s="133">
        <v>1</v>
      </c>
      <c r="R83" s="134">
        <v>49.5</v>
      </c>
      <c r="S83" s="129" t="s">
        <v>396</v>
      </c>
      <c r="T83" s="134">
        <v>284.48</v>
      </c>
      <c r="U83" s="135"/>
      <c r="V83" s="128" t="s">
        <v>244</v>
      </c>
      <c r="W83" s="133">
        <v>3.6437919999999999E-2</v>
      </c>
      <c r="X83" s="129" t="s">
        <v>397</v>
      </c>
      <c r="Y83" s="128" t="s">
        <v>394</v>
      </c>
      <c r="Z83" s="128" t="s">
        <v>482</v>
      </c>
      <c r="AA83" s="128"/>
      <c r="AB83" s="129"/>
      <c r="AC83" s="128" t="s">
        <v>394</v>
      </c>
      <c r="AD83" s="129"/>
      <c r="AE83" s="129" t="s">
        <v>638</v>
      </c>
      <c r="AF83" s="131"/>
      <c r="AG83" s="131"/>
      <c r="AH83" s="131">
        <v>0</v>
      </c>
      <c r="AI83" s="131"/>
      <c r="AJ83" s="128"/>
      <c r="AK83" s="128"/>
      <c r="AL83" s="133"/>
      <c r="AM83" s="133">
        <v>4.2000000000000003E-2</v>
      </c>
      <c r="AN83" s="133">
        <v>4.1553270000000003E-2</v>
      </c>
      <c r="AO83" s="133">
        <v>4.1235069999999999E-2</v>
      </c>
      <c r="AP83" s="128"/>
      <c r="AQ83" s="136"/>
      <c r="AR83" s="128" t="s">
        <v>400</v>
      </c>
    </row>
    <row r="84" spans="2:44" x14ac:dyDescent="0.45">
      <c r="B84" s="128" t="s">
        <v>639</v>
      </c>
      <c r="C84" s="128" t="s">
        <v>640</v>
      </c>
      <c r="D84" s="128" t="s">
        <v>225</v>
      </c>
      <c r="E84" s="128" t="s">
        <v>241</v>
      </c>
      <c r="F84" s="129" t="s">
        <v>392</v>
      </c>
      <c r="G84" s="130" t="s">
        <v>293</v>
      </c>
      <c r="H84" s="128" t="s">
        <v>243</v>
      </c>
      <c r="I84" s="129" t="s">
        <v>403</v>
      </c>
      <c r="J84" s="129"/>
      <c r="K84" s="128" t="s">
        <v>394</v>
      </c>
      <c r="L84" s="128" t="s">
        <v>222</v>
      </c>
      <c r="M84" s="128" t="s">
        <v>560</v>
      </c>
      <c r="N84" s="131">
        <v>61000</v>
      </c>
      <c r="O84" s="129" t="s">
        <v>245</v>
      </c>
      <c r="P84" s="132">
        <v>43776</v>
      </c>
      <c r="Q84" s="133">
        <v>1</v>
      </c>
      <c r="R84" s="134">
        <v>10.199999999999999</v>
      </c>
      <c r="S84" s="129" t="s">
        <v>396</v>
      </c>
      <c r="T84" s="134">
        <v>167.21</v>
      </c>
      <c r="U84" s="135"/>
      <c r="V84" s="128" t="s">
        <v>244</v>
      </c>
      <c r="W84" s="133">
        <v>3.4437919999999997E-2</v>
      </c>
      <c r="X84" s="129" t="s">
        <v>397</v>
      </c>
      <c r="Y84" s="128" t="s">
        <v>394</v>
      </c>
      <c r="Z84" s="128" t="s">
        <v>619</v>
      </c>
      <c r="AA84" s="128"/>
      <c r="AB84" s="129"/>
      <c r="AC84" s="128" t="s">
        <v>394</v>
      </c>
      <c r="AD84" s="129"/>
      <c r="AE84" s="129" t="s">
        <v>415</v>
      </c>
      <c r="AF84" s="131"/>
      <c r="AG84" s="131"/>
      <c r="AH84" s="131">
        <v>0</v>
      </c>
      <c r="AI84" s="131"/>
      <c r="AJ84" s="128">
        <v>1965</v>
      </c>
      <c r="AK84" s="128"/>
      <c r="AL84" s="133"/>
      <c r="AM84" s="133">
        <v>4.2000000000000003E-2</v>
      </c>
      <c r="AN84" s="133">
        <v>4.1553270000000003E-2</v>
      </c>
      <c r="AO84" s="133">
        <v>4.1235069999999999E-2</v>
      </c>
      <c r="AP84" s="128"/>
      <c r="AQ84" s="136"/>
      <c r="AR84" s="128" t="s">
        <v>400</v>
      </c>
    </row>
    <row r="85" spans="2:44" x14ac:dyDescent="0.45">
      <c r="B85" s="128" t="s">
        <v>641</v>
      </c>
      <c r="C85" s="128" t="s">
        <v>642</v>
      </c>
      <c r="D85" s="128" t="s">
        <v>225</v>
      </c>
      <c r="E85" s="128" t="s">
        <v>241</v>
      </c>
      <c r="F85" s="129" t="s">
        <v>392</v>
      </c>
      <c r="G85" s="130" t="s">
        <v>261</v>
      </c>
      <c r="H85" s="128" t="s">
        <v>243</v>
      </c>
      <c r="I85" s="129" t="s">
        <v>403</v>
      </c>
      <c r="J85" s="129"/>
      <c r="K85" s="128" t="s">
        <v>394</v>
      </c>
      <c r="L85" s="128" t="s">
        <v>222</v>
      </c>
      <c r="M85" s="128" t="s">
        <v>560</v>
      </c>
      <c r="N85" s="131">
        <v>31000</v>
      </c>
      <c r="O85" s="129" t="s">
        <v>245</v>
      </c>
      <c r="P85" s="132">
        <v>43709</v>
      </c>
      <c r="Q85" s="133">
        <v>1</v>
      </c>
      <c r="R85" s="134">
        <v>8.5</v>
      </c>
      <c r="S85" s="129" t="s">
        <v>396</v>
      </c>
      <c r="T85" s="134">
        <v>274.19</v>
      </c>
      <c r="U85" s="135"/>
      <c r="V85" s="128" t="s">
        <v>244</v>
      </c>
      <c r="W85" s="133">
        <v>3.5937919999999998E-2</v>
      </c>
      <c r="X85" s="129" t="s">
        <v>397</v>
      </c>
      <c r="Y85" s="128" t="s">
        <v>394</v>
      </c>
      <c r="Z85" s="128"/>
      <c r="AA85" s="128"/>
      <c r="AB85" s="129"/>
      <c r="AC85" s="128" t="s">
        <v>394</v>
      </c>
      <c r="AD85" s="129" t="s">
        <v>614</v>
      </c>
      <c r="AE85" s="129" t="s">
        <v>643</v>
      </c>
      <c r="AF85" s="131"/>
      <c r="AG85" s="131">
        <v>1</v>
      </c>
      <c r="AH85" s="131">
        <v>0</v>
      </c>
      <c r="AI85" s="131"/>
      <c r="AJ85" s="128">
        <v>1998</v>
      </c>
      <c r="AK85" s="128"/>
      <c r="AL85" s="133"/>
      <c r="AM85" s="133">
        <v>4.2000000000000003E-2</v>
      </c>
      <c r="AN85" s="133">
        <v>4.1553270000000003E-2</v>
      </c>
      <c r="AO85" s="133">
        <v>4.1235069999999999E-2</v>
      </c>
      <c r="AP85" s="128"/>
      <c r="AQ85" s="136"/>
      <c r="AR85" s="128" t="s">
        <v>400</v>
      </c>
    </row>
    <row r="86" spans="2:44" x14ac:dyDescent="0.45">
      <c r="B86" s="128" t="s">
        <v>644</v>
      </c>
      <c r="C86" s="128" t="s">
        <v>645</v>
      </c>
      <c r="D86" s="128" t="s">
        <v>225</v>
      </c>
      <c r="E86" s="128" t="s">
        <v>241</v>
      </c>
      <c r="F86" s="129" t="s">
        <v>392</v>
      </c>
      <c r="G86" s="130" t="s">
        <v>242</v>
      </c>
      <c r="H86" s="128" t="s">
        <v>243</v>
      </c>
      <c r="I86" s="129" t="s">
        <v>403</v>
      </c>
      <c r="J86" s="129"/>
      <c r="K86" s="128" t="s">
        <v>394</v>
      </c>
      <c r="L86" s="128" t="s">
        <v>222</v>
      </c>
      <c r="M86" s="128" t="s">
        <v>560</v>
      </c>
      <c r="N86" s="131">
        <v>79000</v>
      </c>
      <c r="O86" s="129" t="s">
        <v>245</v>
      </c>
      <c r="P86" s="132">
        <v>43544</v>
      </c>
      <c r="Q86" s="133">
        <v>1</v>
      </c>
      <c r="R86" s="134">
        <v>16.649999999999999</v>
      </c>
      <c r="S86" s="129" t="s">
        <v>396</v>
      </c>
      <c r="T86" s="134">
        <v>210.76</v>
      </c>
      <c r="U86" s="135"/>
      <c r="V86" s="128" t="s">
        <v>244</v>
      </c>
      <c r="W86" s="133">
        <v>3.743792E-2</v>
      </c>
      <c r="X86" s="129" t="s">
        <v>397</v>
      </c>
      <c r="Y86" s="128" t="s">
        <v>394</v>
      </c>
      <c r="Z86" s="128" t="s">
        <v>646</v>
      </c>
      <c r="AA86" s="128" t="s">
        <v>647</v>
      </c>
      <c r="AB86" s="129"/>
      <c r="AC86" s="128" t="s">
        <v>394</v>
      </c>
      <c r="AD86" s="129"/>
      <c r="AE86" s="129" t="s">
        <v>456</v>
      </c>
      <c r="AF86" s="131"/>
      <c r="AG86" s="131"/>
      <c r="AH86" s="131">
        <v>0</v>
      </c>
      <c r="AI86" s="131"/>
      <c r="AJ86" s="128"/>
      <c r="AK86" s="128"/>
      <c r="AL86" s="133"/>
      <c r="AM86" s="133">
        <v>4.2000000000000003E-2</v>
      </c>
      <c r="AN86" s="133">
        <v>4.1553270000000003E-2</v>
      </c>
      <c r="AO86" s="133">
        <v>4.1235069999999999E-2</v>
      </c>
      <c r="AP86" s="128"/>
      <c r="AQ86" s="136"/>
      <c r="AR86" s="128" t="s">
        <v>400</v>
      </c>
    </row>
    <row r="87" spans="2:44" x14ac:dyDescent="0.45">
      <c r="B87" s="128" t="s">
        <v>648</v>
      </c>
      <c r="C87" s="128" t="s">
        <v>649</v>
      </c>
      <c r="D87" s="128" t="s">
        <v>225</v>
      </c>
      <c r="E87" s="128" t="s">
        <v>241</v>
      </c>
      <c r="F87" s="129" t="s">
        <v>392</v>
      </c>
      <c r="G87" s="130" t="s">
        <v>242</v>
      </c>
      <c r="H87" s="128" t="s">
        <v>243</v>
      </c>
      <c r="I87" s="129" t="s">
        <v>403</v>
      </c>
      <c r="J87" s="129"/>
      <c r="K87" s="128" t="s">
        <v>394</v>
      </c>
      <c r="L87" s="128" t="s">
        <v>222</v>
      </c>
      <c r="M87" s="128" t="s">
        <v>560</v>
      </c>
      <c r="N87" s="131">
        <v>512000</v>
      </c>
      <c r="O87" s="129" t="s">
        <v>245</v>
      </c>
      <c r="P87" s="132">
        <v>43213</v>
      </c>
      <c r="Q87" s="133">
        <v>1</v>
      </c>
      <c r="R87" s="134">
        <v>102.5</v>
      </c>
      <c r="S87" s="129" t="s">
        <v>396</v>
      </c>
      <c r="T87" s="134">
        <v>200.2</v>
      </c>
      <c r="U87" s="135"/>
      <c r="V87" s="128" t="s">
        <v>244</v>
      </c>
      <c r="W87" s="133">
        <v>3.743792E-2</v>
      </c>
      <c r="X87" s="129" t="s">
        <v>397</v>
      </c>
      <c r="Y87" s="128" t="s">
        <v>394</v>
      </c>
      <c r="Z87" s="128" t="s">
        <v>650</v>
      </c>
      <c r="AA87" s="128" t="s">
        <v>651</v>
      </c>
      <c r="AB87" s="129"/>
      <c r="AC87" s="128" t="s">
        <v>394</v>
      </c>
      <c r="AD87" s="129"/>
      <c r="AE87" s="129" t="s">
        <v>450</v>
      </c>
      <c r="AF87" s="131"/>
      <c r="AG87" s="131"/>
      <c r="AH87" s="131">
        <v>0</v>
      </c>
      <c r="AI87" s="131"/>
      <c r="AJ87" s="128"/>
      <c r="AK87" s="128"/>
      <c r="AL87" s="133"/>
      <c r="AM87" s="133">
        <v>4.2000000000000003E-2</v>
      </c>
      <c r="AN87" s="133">
        <v>4.1553270000000003E-2</v>
      </c>
      <c r="AO87" s="133">
        <v>4.1235069999999999E-2</v>
      </c>
      <c r="AP87" s="128"/>
      <c r="AQ87" s="136"/>
      <c r="AR87" s="128" t="s">
        <v>400</v>
      </c>
    </row>
    <row r="88" spans="2:44" x14ac:dyDescent="0.45">
      <c r="B88" s="128" t="s">
        <v>652</v>
      </c>
      <c r="C88" s="128" t="s">
        <v>653</v>
      </c>
      <c r="D88" s="128" t="s">
        <v>225</v>
      </c>
      <c r="E88" s="128" t="s">
        <v>241</v>
      </c>
      <c r="F88" s="129" t="s">
        <v>392</v>
      </c>
      <c r="G88" s="130" t="s">
        <v>242</v>
      </c>
      <c r="H88" s="128" t="s">
        <v>243</v>
      </c>
      <c r="I88" s="129" t="s">
        <v>403</v>
      </c>
      <c r="J88" s="129"/>
      <c r="K88" s="128" t="s">
        <v>394</v>
      </c>
      <c r="L88" s="128" t="s">
        <v>222</v>
      </c>
      <c r="M88" s="128" t="s">
        <v>560</v>
      </c>
      <c r="N88" s="131">
        <v>98660</v>
      </c>
      <c r="O88" s="129" t="s">
        <v>245</v>
      </c>
      <c r="P88" s="132">
        <v>43131</v>
      </c>
      <c r="Q88" s="133">
        <v>1</v>
      </c>
      <c r="R88" s="134">
        <v>17.5</v>
      </c>
      <c r="S88" s="129" t="s">
        <v>396</v>
      </c>
      <c r="T88" s="134">
        <v>177.38</v>
      </c>
      <c r="U88" s="135"/>
      <c r="V88" s="128" t="s">
        <v>244</v>
      </c>
      <c r="W88" s="133">
        <v>3.8937920000000001E-2</v>
      </c>
      <c r="X88" s="129" t="s">
        <v>397</v>
      </c>
      <c r="Y88" s="128" t="s">
        <v>394</v>
      </c>
      <c r="Z88" s="128" t="s">
        <v>628</v>
      </c>
      <c r="AA88" s="128"/>
      <c r="AB88" s="129"/>
      <c r="AC88" s="128" t="s">
        <v>394</v>
      </c>
      <c r="AD88" s="129"/>
      <c r="AE88" s="129"/>
      <c r="AF88" s="131"/>
      <c r="AG88" s="131"/>
      <c r="AH88" s="131">
        <v>0</v>
      </c>
      <c r="AI88" s="131"/>
      <c r="AJ88" s="128">
        <v>1978</v>
      </c>
      <c r="AK88" s="128"/>
      <c r="AL88" s="133"/>
      <c r="AM88" s="133">
        <v>4.2000000000000003E-2</v>
      </c>
      <c r="AN88" s="133">
        <v>4.1553270000000003E-2</v>
      </c>
      <c r="AO88" s="133">
        <v>4.1235069999999999E-2</v>
      </c>
      <c r="AP88" s="128"/>
      <c r="AQ88" s="136"/>
      <c r="AR88" s="128" t="s">
        <v>400</v>
      </c>
    </row>
    <row r="89" spans="2:44" x14ac:dyDescent="0.45">
      <c r="B89" s="128" t="s">
        <v>654</v>
      </c>
      <c r="C89" s="128" t="s">
        <v>649</v>
      </c>
      <c r="D89" s="128" t="s">
        <v>225</v>
      </c>
      <c r="E89" s="128" t="s">
        <v>241</v>
      </c>
      <c r="F89" s="129" t="s">
        <v>392</v>
      </c>
      <c r="G89" s="130" t="s">
        <v>242</v>
      </c>
      <c r="H89" s="128" t="s">
        <v>243</v>
      </c>
      <c r="I89" s="129" t="s">
        <v>403</v>
      </c>
      <c r="J89" s="129"/>
      <c r="K89" s="128" t="s">
        <v>394</v>
      </c>
      <c r="L89" s="128" t="s">
        <v>222</v>
      </c>
      <c r="M89" s="128" t="s">
        <v>560</v>
      </c>
      <c r="N89" s="131">
        <v>665000</v>
      </c>
      <c r="O89" s="129" t="s">
        <v>245</v>
      </c>
      <c r="P89" s="132">
        <v>42566</v>
      </c>
      <c r="Q89" s="133">
        <v>1</v>
      </c>
      <c r="R89" s="134">
        <v>43</v>
      </c>
      <c r="S89" s="129" t="s">
        <v>396</v>
      </c>
      <c r="T89" s="134">
        <v>64.66</v>
      </c>
      <c r="U89" s="135"/>
      <c r="V89" s="128" t="s">
        <v>244</v>
      </c>
      <c r="W89" s="133">
        <v>4.1937919999999997E-2</v>
      </c>
      <c r="X89" s="129" t="s">
        <v>397</v>
      </c>
      <c r="Y89" s="128" t="s">
        <v>394</v>
      </c>
      <c r="Z89" s="128" t="s">
        <v>651</v>
      </c>
      <c r="AA89" s="128"/>
      <c r="AB89" s="129"/>
      <c r="AC89" s="128" t="s">
        <v>394</v>
      </c>
      <c r="AD89" s="129"/>
      <c r="AE89" s="129" t="s">
        <v>450</v>
      </c>
      <c r="AF89" s="131"/>
      <c r="AG89" s="131"/>
      <c r="AH89" s="131">
        <v>0</v>
      </c>
      <c r="AI89" s="131"/>
      <c r="AJ89" s="128"/>
      <c r="AK89" s="128"/>
      <c r="AL89" s="133"/>
      <c r="AM89" s="133">
        <v>4.2000000000000003E-2</v>
      </c>
      <c r="AN89" s="133">
        <v>4.1553270000000003E-2</v>
      </c>
      <c r="AO89" s="133">
        <v>4.1235069999999999E-2</v>
      </c>
      <c r="AP89" s="128"/>
      <c r="AQ89" s="136"/>
      <c r="AR89" s="128" t="s">
        <v>400</v>
      </c>
    </row>
    <row r="90" spans="2:44" x14ac:dyDescent="0.45">
      <c r="B90" s="128" t="s">
        <v>655</v>
      </c>
      <c r="C90" s="128" t="s">
        <v>656</v>
      </c>
      <c r="D90" s="128" t="s">
        <v>225</v>
      </c>
      <c r="E90" s="128" t="s">
        <v>241</v>
      </c>
      <c r="F90" s="129" t="s">
        <v>392</v>
      </c>
      <c r="G90" s="130" t="s">
        <v>293</v>
      </c>
      <c r="H90" s="128" t="s">
        <v>243</v>
      </c>
      <c r="I90" s="129" t="s">
        <v>403</v>
      </c>
      <c r="J90" s="129"/>
      <c r="K90" s="128" t="s">
        <v>394</v>
      </c>
      <c r="L90" s="128" t="s">
        <v>222</v>
      </c>
      <c r="M90" s="128" t="s">
        <v>560</v>
      </c>
      <c r="N90" s="131">
        <v>133000</v>
      </c>
      <c r="O90" s="129" t="s">
        <v>245</v>
      </c>
      <c r="P90" s="132">
        <v>41520</v>
      </c>
      <c r="Q90" s="133">
        <v>1</v>
      </c>
      <c r="R90" s="134">
        <v>33.6</v>
      </c>
      <c r="S90" s="129" t="s">
        <v>396</v>
      </c>
      <c r="T90" s="134">
        <v>252.63</v>
      </c>
      <c r="U90" s="135"/>
      <c r="V90" s="128" t="s">
        <v>244</v>
      </c>
      <c r="W90" s="133">
        <v>4.4262290000000003E-2</v>
      </c>
      <c r="X90" s="129" t="s">
        <v>397</v>
      </c>
      <c r="Y90" s="128" t="s">
        <v>394</v>
      </c>
      <c r="Z90" s="128" t="s">
        <v>657</v>
      </c>
      <c r="AA90" s="128"/>
      <c r="AB90" s="129"/>
      <c r="AC90" s="128" t="s">
        <v>394</v>
      </c>
      <c r="AD90" s="129"/>
      <c r="AE90" s="129" t="s">
        <v>415</v>
      </c>
      <c r="AF90" s="131"/>
      <c r="AG90" s="131"/>
      <c r="AH90" s="131">
        <v>0</v>
      </c>
      <c r="AI90" s="131"/>
      <c r="AJ90" s="128"/>
      <c r="AK90" s="128"/>
      <c r="AL90" s="133"/>
      <c r="AM90" s="133">
        <v>4.2000000000000003E-2</v>
      </c>
      <c r="AN90" s="133">
        <v>4.1553270000000003E-2</v>
      </c>
      <c r="AO90" s="133">
        <v>4.1235069999999999E-2</v>
      </c>
      <c r="AP90" s="128"/>
      <c r="AQ90" s="136"/>
      <c r="AR90" s="128" t="s">
        <v>400</v>
      </c>
    </row>
    <row r="91" spans="2:44" x14ac:dyDescent="0.45">
      <c r="B91" s="128" t="s">
        <v>658</v>
      </c>
      <c r="C91" s="128" t="s">
        <v>659</v>
      </c>
      <c r="D91" s="128" t="s">
        <v>225</v>
      </c>
      <c r="E91" s="128" t="s">
        <v>241</v>
      </c>
      <c r="F91" s="129" t="s">
        <v>392</v>
      </c>
      <c r="G91" s="130" t="s">
        <v>285</v>
      </c>
      <c r="H91" s="128" t="s">
        <v>243</v>
      </c>
      <c r="I91" s="129" t="s">
        <v>403</v>
      </c>
      <c r="J91" s="129"/>
      <c r="K91" s="128" t="s">
        <v>394</v>
      </c>
      <c r="L91" s="128" t="s">
        <v>222</v>
      </c>
      <c r="M91" s="128" t="s">
        <v>560</v>
      </c>
      <c r="N91" s="131">
        <v>363000</v>
      </c>
      <c r="O91" s="129" t="s">
        <v>245</v>
      </c>
      <c r="P91" s="132">
        <v>40801</v>
      </c>
      <c r="Q91" s="133">
        <v>1</v>
      </c>
      <c r="R91" s="134">
        <v>44.4</v>
      </c>
      <c r="S91" s="129" t="s">
        <v>396</v>
      </c>
      <c r="T91" s="134">
        <v>122.31</v>
      </c>
      <c r="U91" s="135"/>
      <c r="V91" s="128" t="s">
        <v>244</v>
      </c>
      <c r="W91" s="133">
        <v>5.0096189999999999E-2</v>
      </c>
      <c r="X91" s="129" t="s">
        <v>397</v>
      </c>
      <c r="Y91" s="128" t="s">
        <v>394</v>
      </c>
      <c r="Z91" s="128" t="s">
        <v>660</v>
      </c>
      <c r="AA91" s="128" t="s">
        <v>661</v>
      </c>
      <c r="AB91" s="129"/>
      <c r="AC91" s="128" t="s">
        <v>394</v>
      </c>
      <c r="AD91" s="129"/>
      <c r="AE91" s="129" t="s">
        <v>530</v>
      </c>
      <c r="AF91" s="131"/>
      <c r="AG91" s="131"/>
      <c r="AH91" s="131">
        <v>0</v>
      </c>
      <c r="AI91" s="131"/>
      <c r="AJ91" s="128"/>
      <c r="AK91" s="128"/>
      <c r="AL91" s="133"/>
      <c r="AM91" s="133">
        <v>4.2000000000000003E-2</v>
      </c>
      <c r="AN91" s="133">
        <v>4.1553270000000003E-2</v>
      </c>
      <c r="AO91" s="133">
        <v>4.1235069999999999E-2</v>
      </c>
      <c r="AP91" s="128"/>
      <c r="AQ91" s="136"/>
      <c r="AR91" s="128" t="s">
        <v>400</v>
      </c>
    </row>
    <row r="92" spans="2:44" x14ac:dyDescent="0.45">
      <c r="B92" s="128" t="s">
        <v>662</v>
      </c>
      <c r="C92" s="128" t="s">
        <v>663</v>
      </c>
      <c r="D92" s="128" t="s">
        <v>225</v>
      </c>
      <c r="E92" s="128" t="s">
        <v>241</v>
      </c>
      <c r="F92" s="129" t="s">
        <v>392</v>
      </c>
      <c r="G92" s="130" t="s">
        <v>261</v>
      </c>
      <c r="H92" s="128" t="s">
        <v>243</v>
      </c>
      <c r="I92" s="129" t="s">
        <v>403</v>
      </c>
      <c r="J92" s="129"/>
      <c r="K92" s="128" t="s">
        <v>394</v>
      </c>
      <c r="L92" s="128" t="s">
        <v>222</v>
      </c>
      <c r="M92" s="128" t="s">
        <v>560</v>
      </c>
      <c r="N92" s="131">
        <v>434000</v>
      </c>
      <c r="O92" s="129" t="s">
        <v>245</v>
      </c>
      <c r="P92" s="132">
        <v>39142</v>
      </c>
      <c r="Q92" s="133">
        <v>1</v>
      </c>
      <c r="R92" s="134">
        <v>81.819999999999993</v>
      </c>
      <c r="S92" s="129" t="s">
        <v>396</v>
      </c>
      <c r="T92" s="134">
        <v>188.52</v>
      </c>
      <c r="U92" s="135"/>
      <c r="V92" s="128" t="s">
        <v>244</v>
      </c>
      <c r="W92" s="133">
        <v>4.7737109999999999E-2</v>
      </c>
      <c r="X92" s="129" t="s">
        <v>397</v>
      </c>
      <c r="Y92" s="128" t="s">
        <v>394</v>
      </c>
      <c r="Z92" s="128" t="s">
        <v>664</v>
      </c>
      <c r="AA92" s="128" t="s">
        <v>665</v>
      </c>
      <c r="AB92" s="129"/>
      <c r="AC92" s="128" t="s">
        <v>394</v>
      </c>
      <c r="AD92" s="129"/>
      <c r="AE92" s="129"/>
      <c r="AF92" s="131"/>
      <c r="AG92" s="131"/>
      <c r="AH92" s="131">
        <v>0</v>
      </c>
      <c r="AI92" s="131"/>
      <c r="AJ92" s="128"/>
      <c r="AK92" s="128"/>
      <c r="AL92" s="133"/>
      <c r="AM92" s="133">
        <v>4.2000000000000003E-2</v>
      </c>
      <c r="AN92" s="133">
        <v>4.1553270000000003E-2</v>
      </c>
      <c r="AO92" s="133">
        <v>4.1235069999999999E-2</v>
      </c>
      <c r="AP92" s="128"/>
      <c r="AQ92" s="136"/>
      <c r="AR92" s="128" t="s">
        <v>400</v>
      </c>
    </row>
    <row r="93" spans="2:44" x14ac:dyDescent="0.45">
      <c r="B93" s="111" t="s">
        <v>666</v>
      </c>
      <c r="C93" s="111" t="s">
        <v>667</v>
      </c>
      <c r="D93" s="111" t="s">
        <v>225</v>
      </c>
      <c r="E93" s="111" t="s">
        <v>241</v>
      </c>
      <c r="F93" s="112" t="s">
        <v>392</v>
      </c>
      <c r="G93" s="113" t="s">
        <v>242</v>
      </c>
      <c r="H93" s="111" t="s">
        <v>243</v>
      </c>
      <c r="I93" s="112" t="s">
        <v>403</v>
      </c>
      <c r="J93" s="112"/>
      <c r="K93" s="111" t="s">
        <v>394</v>
      </c>
      <c r="L93" s="111" t="s">
        <v>222</v>
      </c>
      <c r="M93" s="111" t="s">
        <v>560</v>
      </c>
      <c r="N93" s="114">
        <v>4324000</v>
      </c>
      <c r="O93" s="112" t="s">
        <v>245</v>
      </c>
      <c r="P93" s="115">
        <v>38718</v>
      </c>
      <c r="Q93" s="116">
        <v>1</v>
      </c>
      <c r="R93" s="117"/>
      <c r="S93" s="112" t="s">
        <v>396</v>
      </c>
      <c r="T93" s="117">
        <v>172.92</v>
      </c>
      <c r="U93" s="117"/>
      <c r="V93" s="111" t="s">
        <v>244</v>
      </c>
      <c r="W93" s="116"/>
      <c r="X93" s="112"/>
      <c r="Y93" s="111" t="s">
        <v>400</v>
      </c>
      <c r="Z93" s="111" t="s">
        <v>668</v>
      </c>
      <c r="AA93" s="111" t="s">
        <v>669</v>
      </c>
      <c r="AB93" s="112"/>
      <c r="AC93" s="111" t="s">
        <v>394</v>
      </c>
      <c r="AD93" s="112"/>
      <c r="AE93" s="112" t="s">
        <v>670</v>
      </c>
      <c r="AF93" s="131"/>
      <c r="AG93" s="131"/>
      <c r="AH93" s="131">
        <v>0</v>
      </c>
      <c r="AI93" s="131"/>
      <c r="AJ93" s="128"/>
      <c r="AK93" s="128"/>
      <c r="AL93" s="133"/>
      <c r="AM93" s="133">
        <v>4.2000000000000003E-2</v>
      </c>
      <c r="AN93" s="133">
        <v>4.1553270000000003E-2</v>
      </c>
      <c r="AO93" s="133">
        <v>4.1235069999999999E-2</v>
      </c>
      <c r="AP93" s="128"/>
      <c r="AQ93" s="136"/>
      <c r="AR93" s="128" t="s">
        <v>400</v>
      </c>
    </row>
    <row r="94" spans="2:44" x14ac:dyDescent="0.45">
      <c r="B94" s="111" t="s">
        <v>671</v>
      </c>
      <c r="C94" s="111" t="s">
        <v>667</v>
      </c>
      <c r="D94" s="111" t="s">
        <v>225</v>
      </c>
      <c r="E94" s="111" t="s">
        <v>241</v>
      </c>
      <c r="F94" s="112" t="s">
        <v>392</v>
      </c>
      <c r="G94" s="113" t="s">
        <v>242</v>
      </c>
      <c r="H94" s="111" t="s">
        <v>243</v>
      </c>
      <c r="I94" s="112" t="s">
        <v>403</v>
      </c>
      <c r="J94" s="112"/>
      <c r="K94" s="111" t="s">
        <v>394</v>
      </c>
      <c r="L94" s="111" t="s">
        <v>222</v>
      </c>
      <c r="M94" s="111" t="s">
        <v>560</v>
      </c>
      <c r="N94" s="114">
        <v>1253000</v>
      </c>
      <c r="O94" s="112" t="s">
        <v>245</v>
      </c>
      <c r="P94" s="115">
        <v>38718</v>
      </c>
      <c r="Q94" s="116">
        <v>1</v>
      </c>
      <c r="R94" s="117"/>
      <c r="S94" s="112"/>
      <c r="T94" s="117"/>
      <c r="U94" s="118"/>
      <c r="V94" s="111" t="s">
        <v>244</v>
      </c>
      <c r="W94" s="116"/>
      <c r="X94" s="112"/>
      <c r="Y94" s="111" t="s">
        <v>400</v>
      </c>
      <c r="Z94" s="111" t="s">
        <v>668</v>
      </c>
      <c r="AA94" s="111" t="s">
        <v>669</v>
      </c>
      <c r="AB94" s="112"/>
      <c r="AC94" s="111" t="s">
        <v>394</v>
      </c>
      <c r="AD94" s="112"/>
      <c r="AE94" s="112" t="s">
        <v>670</v>
      </c>
      <c r="AF94" s="131"/>
      <c r="AG94" s="131"/>
      <c r="AH94" s="131">
        <v>0</v>
      </c>
      <c r="AI94" s="131"/>
      <c r="AJ94" s="128"/>
      <c r="AK94" s="128"/>
      <c r="AL94" s="133"/>
      <c r="AM94" s="133">
        <v>4.2000000000000003E-2</v>
      </c>
      <c r="AN94" s="133">
        <v>4.1553270000000003E-2</v>
      </c>
      <c r="AO94" s="133">
        <v>4.1235069999999999E-2</v>
      </c>
      <c r="AP94" s="128"/>
      <c r="AQ94" s="136"/>
      <c r="AR94" s="128" t="s">
        <v>400</v>
      </c>
    </row>
    <row r="95" spans="2:44" x14ac:dyDescent="0.45">
      <c r="B95" s="128" t="s">
        <v>672</v>
      </c>
      <c r="C95" s="128" t="s">
        <v>673</v>
      </c>
      <c r="D95" s="128" t="s">
        <v>225</v>
      </c>
      <c r="E95" s="128" t="s">
        <v>241</v>
      </c>
      <c r="F95" s="129" t="s">
        <v>392</v>
      </c>
      <c r="G95" s="130" t="s">
        <v>261</v>
      </c>
      <c r="H95" s="128" t="s">
        <v>243</v>
      </c>
      <c r="I95" s="129" t="s">
        <v>403</v>
      </c>
      <c r="J95" s="129"/>
      <c r="K95" s="128" t="s">
        <v>394</v>
      </c>
      <c r="L95" s="128" t="s">
        <v>222</v>
      </c>
      <c r="M95" s="128" t="s">
        <v>560</v>
      </c>
      <c r="N95" s="131">
        <v>559000</v>
      </c>
      <c r="O95" s="129" t="s">
        <v>245</v>
      </c>
      <c r="P95" s="132">
        <v>38508</v>
      </c>
      <c r="Q95" s="133">
        <v>1</v>
      </c>
      <c r="R95" s="134">
        <v>38.700000000000003</v>
      </c>
      <c r="S95" s="129" t="s">
        <v>396</v>
      </c>
      <c r="T95" s="134">
        <v>69.23</v>
      </c>
      <c r="U95" s="135"/>
      <c r="V95" s="128" t="s">
        <v>244</v>
      </c>
      <c r="W95" s="133">
        <v>5.3518339999999998E-2</v>
      </c>
      <c r="X95" s="129" t="s">
        <v>397</v>
      </c>
      <c r="Y95" s="128" t="s">
        <v>394</v>
      </c>
      <c r="Z95" s="128" t="s">
        <v>664</v>
      </c>
      <c r="AA95" s="128" t="s">
        <v>674</v>
      </c>
      <c r="AB95" s="129"/>
      <c r="AC95" s="128" t="s">
        <v>394</v>
      </c>
      <c r="AD95" s="129"/>
      <c r="AE95" s="129"/>
      <c r="AF95" s="131"/>
      <c r="AG95" s="131"/>
      <c r="AH95" s="131">
        <v>0</v>
      </c>
      <c r="AI95" s="131"/>
      <c r="AJ95" s="128"/>
      <c r="AK95" s="128"/>
      <c r="AL95" s="133"/>
      <c r="AM95" s="133">
        <v>4.2000000000000003E-2</v>
      </c>
      <c r="AN95" s="133">
        <v>4.1553270000000003E-2</v>
      </c>
      <c r="AO95" s="133">
        <v>4.1235069999999999E-2</v>
      </c>
      <c r="AP95" s="128"/>
      <c r="AQ95" s="136"/>
      <c r="AR95" s="128" t="s">
        <v>400</v>
      </c>
    </row>
    <row r="96" spans="2:44" x14ac:dyDescent="0.45">
      <c r="B96" s="137" t="s">
        <v>675</v>
      </c>
      <c r="C96" s="137" t="s">
        <v>676</v>
      </c>
      <c r="D96" s="137" t="s">
        <v>225</v>
      </c>
      <c r="E96" s="137" t="s">
        <v>241</v>
      </c>
      <c r="F96" s="138" t="s">
        <v>392</v>
      </c>
      <c r="G96" s="139" t="s">
        <v>261</v>
      </c>
      <c r="H96" s="137" t="s">
        <v>243</v>
      </c>
      <c r="I96" s="138" t="s">
        <v>403</v>
      </c>
      <c r="J96" s="138"/>
      <c r="K96" s="137" t="s">
        <v>394</v>
      </c>
      <c r="L96" s="137" t="s">
        <v>222</v>
      </c>
      <c r="M96" s="137" t="s">
        <v>560</v>
      </c>
      <c r="N96" s="140">
        <v>860000</v>
      </c>
      <c r="O96" s="138" t="s">
        <v>245</v>
      </c>
      <c r="P96" s="141">
        <v>38231</v>
      </c>
      <c r="Q96" s="142">
        <v>1</v>
      </c>
      <c r="R96" s="143">
        <v>65</v>
      </c>
      <c r="S96" s="138" t="s">
        <v>396</v>
      </c>
      <c r="T96" s="143">
        <v>75.58</v>
      </c>
      <c r="U96" s="144"/>
      <c r="V96" s="137" t="s">
        <v>244</v>
      </c>
      <c r="W96" s="142"/>
      <c r="X96" s="138"/>
      <c r="Y96" s="137" t="s">
        <v>394</v>
      </c>
      <c r="Z96" s="137" t="s">
        <v>677</v>
      </c>
      <c r="AA96" s="137" t="s">
        <v>678</v>
      </c>
      <c r="AB96" s="138"/>
      <c r="AC96" s="137" t="s">
        <v>394</v>
      </c>
      <c r="AD96" s="138"/>
      <c r="AE96" s="138" t="s">
        <v>415</v>
      </c>
      <c r="AF96" s="140"/>
      <c r="AG96" s="140"/>
      <c r="AH96" s="140">
        <v>0</v>
      </c>
      <c r="AI96" s="140"/>
      <c r="AJ96" s="137">
        <v>2000</v>
      </c>
      <c r="AK96" s="137"/>
      <c r="AL96" s="142"/>
      <c r="AM96" s="142">
        <v>4.2000000000000003E-2</v>
      </c>
      <c r="AN96" s="142">
        <v>4.1553270000000003E-2</v>
      </c>
      <c r="AO96" s="142">
        <v>4.1235069999999999E-2</v>
      </c>
      <c r="AP96" s="137"/>
      <c r="AQ96" s="145"/>
      <c r="AR96" s="137" t="s">
        <v>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Annual Projections</vt:lpstr>
      <vt:lpstr>Redlands Pro Forma</vt:lpstr>
      <vt:lpstr>Redlands Inputs</vt:lpstr>
      <vt:lpstr>Redlands Partnership Returns</vt:lpstr>
      <vt:lpstr>Cap Rate Analysis</vt:lpstr>
      <vt:lpstr>Growth Rates</vt:lpstr>
      <vt:lpstr>Rent Summary</vt:lpstr>
      <vt:lpstr>Rent Table</vt:lpstr>
      <vt:lpstr>Sales Table</vt:lpstr>
      <vt:lpstr>analysis_start</vt:lpstr>
      <vt:lpstr>market_rent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Tran</dc:creator>
  <cp:keywords/>
  <dc:description/>
  <cp:lastModifiedBy>Kyle Tran</cp:lastModifiedBy>
  <cp:revision/>
  <dcterms:created xsi:type="dcterms:W3CDTF">2025-03-02T23:10:30Z</dcterms:created>
  <dcterms:modified xsi:type="dcterms:W3CDTF">2025-03-11T08:19:36Z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19.2.5.0</vt:lpwstr>
  </property>
</Properties>
</file>