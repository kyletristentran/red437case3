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\\Mac\Home\Library\CloudStorage\OneDrive-UniversityofSouthernCalifornia\Semesters\Spring 2025\RED 437\Cases\Case Finals\Case 3 Submission - Tran, Kyle\"/>
    </mc:Choice>
  </mc:AlternateContent>
  <xr:revisionPtr revIDLastSave="0" documentId="8_{6F069205-7283-43F9-B917-F1F59D6F9DB5}" xr6:coauthVersionLast="47" xr6:coauthVersionMax="47" xr10:uidLastSave="{00000000-0000-0000-0000-000000000000}"/>
  <bookViews>
    <workbookView xWindow="-98" yWindow="-98" windowWidth="26116" windowHeight="16381" activeTab="1" xr2:uid="{1B6FDBE7-BF21-4263-8E49-A5AF3850D382}"/>
    <workbookView xWindow="-98" yWindow="-98" windowWidth="26116" windowHeight="16381" firstSheet="1" activeTab="2" xr2:uid="{3157FCDD-82CC-4BBC-9887-5D94BBDACF13}"/>
  </bookViews>
  <sheets>
    <sheet name="Annual Pro Forma" sheetId="7" r:id="rId1"/>
    <sheet name="Torrance Pro Forma" sheetId="5" r:id="rId2"/>
    <sheet name="Torrance Inputs" sheetId="6" r:id="rId3"/>
    <sheet name="Debt &amp; Equity Assumptions" sheetId="2" r:id="rId4"/>
    <sheet name="Debt Returns" sheetId="3" r:id="rId5"/>
    <sheet name="Equity Returns" sheetId="1" r:id="rId6"/>
  </sheets>
  <definedNames>
    <definedName name="analysis_start" localSheetId="2">'Torrance Inputs'!$D$18</definedName>
    <definedName name="analysis_start">#REF!</definedName>
    <definedName name="market_rent" localSheetId="2">'Torrance Inputs'!$D$32</definedName>
    <definedName name="market_rent">#REF!</definedName>
    <definedName name="Pal_Workbook_GUID" hidden="1">"XXE9JFB1Z8XY1XAAKHTHRBNR"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 a="1"/>
  <c r="D2" i="3" s="1"/>
  <c r="H21" i="2"/>
  <c r="H25" i="2"/>
  <c r="C67" i="7"/>
  <c r="D67" i="7"/>
  <c r="E67" i="7"/>
  <c r="F67" i="7"/>
  <c r="G67" i="7"/>
  <c r="H67" i="7"/>
  <c r="I67" i="7"/>
  <c r="J67" i="7"/>
  <c r="K67" i="7"/>
  <c r="L67" i="7"/>
  <c r="M67" i="7"/>
  <c r="B68" i="7"/>
  <c r="D16" i="6"/>
  <c r="I17" i="6" l="1"/>
  <c r="D11" i="6"/>
  <c r="D19" i="2" s="1"/>
  <c r="C32" i="2" s="1"/>
  <c r="H19" i="2"/>
  <c r="D21" i="2"/>
  <c r="E9" i="7"/>
  <c r="F9" i="7" s="1"/>
  <c r="G9" i="7" s="1"/>
  <c r="H9" i="7" s="1"/>
  <c r="I9" i="7" s="1"/>
  <c r="J9" i="7" s="1"/>
  <c r="K9" i="7" s="1"/>
  <c r="L9" i="7" s="1"/>
  <c r="M9" i="7" s="1"/>
  <c r="C9" i="7"/>
  <c r="B9" i="7" s="1"/>
  <c r="C10" i="5"/>
  <c r="C8" i="7"/>
  <c r="C39" i="7" s="1"/>
  <c r="C32" i="7"/>
  <c r="C36" i="7"/>
  <c r="C41" i="7"/>
  <c r="C45" i="7"/>
  <c r="B46" i="7"/>
  <c r="B47" i="7"/>
  <c r="B48" i="7"/>
  <c r="H6" i="6"/>
  <c r="B51" i="7"/>
  <c r="B53" i="7"/>
  <c r="B61" i="7"/>
  <c r="C61" i="7"/>
  <c r="B62" i="7"/>
  <c r="B63" i="7"/>
  <c r="B64" i="7"/>
  <c r="B65" i="7"/>
  <c r="B66" i="7"/>
  <c r="B67" i="7"/>
  <c r="B69" i="7"/>
  <c r="B71" i="7"/>
  <c r="B72" i="7"/>
  <c r="C72" i="7"/>
  <c r="B73" i="7"/>
  <c r="B74" i="7"/>
  <c r="B75" i="7"/>
  <c r="B76" i="7"/>
  <c r="B77" i="7"/>
  <c r="B78" i="7"/>
  <c r="B79" i="7"/>
  <c r="B81" i="7"/>
  <c r="B82" i="7"/>
  <c r="C82" i="7"/>
  <c r="B83" i="7"/>
  <c r="B78" i="5"/>
  <c r="B84" i="7"/>
  <c r="B79" i="5"/>
  <c r="B85" i="7"/>
  <c r="B80" i="5"/>
  <c r="B86" i="7"/>
  <c r="B88" i="7"/>
  <c r="B89" i="7"/>
  <c r="B90" i="7"/>
  <c r="B91" i="7"/>
  <c r="B87" i="5"/>
  <c r="B93" i="7" s="1"/>
  <c r="I3" i="6"/>
  <c r="H3" i="6"/>
  <c r="G3" i="6"/>
  <c r="H4" i="6"/>
  <c r="I4" i="6"/>
  <c r="G5" i="6"/>
  <c r="H5" i="6"/>
  <c r="I5" i="6"/>
  <c r="W5" i="6" a="1"/>
  <c r="W5" i="6"/>
  <c r="H7" i="6"/>
  <c r="I7" i="6"/>
  <c r="D9" i="6"/>
  <c r="G4" i="6"/>
  <c r="H10" i="6"/>
  <c r="I10" i="6"/>
  <c r="C12" i="6"/>
  <c r="I15" i="6"/>
  <c r="N15" i="6"/>
  <c r="N17" i="6"/>
  <c r="D19" i="6"/>
  <c r="Q22" i="6"/>
  <c r="R22" i="6"/>
  <c r="Q23" i="6"/>
  <c r="R23" i="6"/>
  <c r="Q24" i="6"/>
  <c r="S24" i="6"/>
  <c r="R25" i="6"/>
  <c r="D26" i="6"/>
  <c r="Q17" i="6"/>
  <c r="D27" i="6"/>
  <c r="C27" i="6"/>
  <c r="C39" i="6"/>
  <c r="D30" i="6"/>
  <c r="G36" i="6"/>
  <c r="N36" i="6"/>
  <c r="G37" i="6"/>
  <c r="G38" i="6"/>
  <c r="N38" i="6"/>
  <c r="N39" i="6"/>
  <c r="X10" i="6"/>
  <c r="G39" i="6"/>
  <c r="G40" i="6"/>
  <c r="N40" i="6"/>
  <c r="H34" i="6" s="1"/>
  <c r="G41" i="6"/>
  <c r="H41" i="6"/>
  <c r="I41" i="6"/>
  <c r="M41" i="6"/>
  <c r="B8" i="5"/>
  <c r="C9" i="5" a="1"/>
  <c r="M8" i="5"/>
  <c r="B10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C41" i="5"/>
  <c r="CD41" i="5"/>
  <c r="CE41" i="5"/>
  <c r="CF41" i="5"/>
  <c r="CG41" i="5"/>
  <c r="CH41" i="5"/>
  <c r="CI41" i="5"/>
  <c r="CJ41" i="5"/>
  <c r="CK41" i="5"/>
  <c r="CL41" i="5"/>
  <c r="CM41" i="5"/>
  <c r="CN41" i="5"/>
  <c r="CO41" i="5"/>
  <c r="CP41" i="5"/>
  <c r="CQ41" i="5"/>
  <c r="CR41" i="5"/>
  <c r="CS41" i="5"/>
  <c r="CT41" i="5"/>
  <c r="CU41" i="5"/>
  <c r="CV41" i="5"/>
  <c r="CW41" i="5"/>
  <c r="CX41" i="5"/>
  <c r="CY41" i="5"/>
  <c r="CZ41" i="5"/>
  <c r="DA41" i="5"/>
  <c r="DB41" i="5"/>
  <c r="DC41" i="5"/>
  <c r="DD41" i="5"/>
  <c r="DE41" i="5"/>
  <c r="DF41" i="5"/>
  <c r="DG41" i="5"/>
  <c r="DH41" i="5"/>
  <c r="DI41" i="5"/>
  <c r="DJ41" i="5"/>
  <c r="DK41" i="5"/>
  <c r="DL41" i="5"/>
  <c r="DM41" i="5"/>
  <c r="DN41" i="5"/>
  <c r="DO41" i="5"/>
  <c r="DP41" i="5"/>
  <c r="DQ41" i="5"/>
  <c r="DR41" i="5"/>
  <c r="DS41" i="5"/>
  <c r="DT41" i="5"/>
  <c r="DU41" i="5"/>
  <c r="DV41" i="5"/>
  <c r="DW41" i="5"/>
  <c r="DX41" i="5"/>
  <c r="DY41" i="5"/>
  <c r="DZ41" i="5"/>
  <c r="EA41" i="5"/>
  <c r="EB41" i="5"/>
  <c r="EC41" i="5"/>
  <c r="ED41" i="5"/>
  <c r="F83" i="5"/>
  <c r="G83" i="5"/>
  <c r="G84" i="5" s="1"/>
  <c r="G85" i="5" s="1"/>
  <c r="J83" i="5"/>
  <c r="K83" i="5"/>
  <c r="N83" i="5"/>
  <c r="N84" i="5" s="1"/>
  <c r="O83" i="5"/>
  <c r="O84" i="5" s="1"/>
  <c r="R83" i="5"/>
  <c r="R84" i="5" s="1"/>
  <c r="R85" i="5" s="1"/>
  <c r="S83" i="5"/>
  <c r="V83" i="5"/>
  <c r="W83" i="5"/>
  <c r="Z83" i="5"/>
  <c r="Z84" i="5" s="1"/>
  <c r="AA83" i="5"/>
  <c r="AA84" i="5" s="1"/>
  <c r="AD83" i="5"/>
  <c r="AE83" i="5"/>
  <c r="AH83" i="5"/>
  <c r="AH84" i="5" s="1"/>
  <c r="AI83" i="5"/>
  <c r="AJ83" i="5"/>
  <c r="AJ84" i="5" s="1"/>
  <c r="AJ85" i="5" s="1"/>
  <c r="AL83" i="5"/>
  <c r="AM83" i="5"/>
  <c r="AM84" i="5" s="1"/>
  <c r="AM85" i="5" s="1"/>
  <c r="AN83" i="5"/>
  <c r="AO83" i="5"/>
  <c r="AO84" i="5" s="1"/>
  <c r="AO85" i="5" s="1"/>
  <c r="AP83" i="5"/>
  <c r="AQ83" i="5"/>
  <c r="AR83" i="5"/>
  <c r="AR84" i="5" s="1"/>
  <c r="AR85" i="5" s="1"/>
  <c r="AS83" i="5"/>
  <c r="AS84" i="5" s="1"/>
  <c r="AS85" i="5" s="1"/>
  <c r="AT83" i="5"/>
  <c r="AT84" i="5" s="1"/>
  <c r="AU83" i="5"/>
  <c r="AU84" i="5" s="1"/>
  <c r="AU85" i="5" s="1"/>
  <c r="AV83" i="5"/>
  <c r="AV84" i="5" s="1"/>
  <c r="AW83" i="5"/>
  <c r="AW84" i="5" s="1"/>
  <c r="AX83" i="5"/>
  <c r="AY83" i="5"/>
  <c r="AY84" i="5" s="1"/>
  <c r="AZ83" i="5"/>
  <c r="AZ84" i="5" s="1"/>
  <c r="AZ85" i="5" s="1"/>
  <c r="BA83" i="5"/>
  <c r="BB83" i="5"/>
  <c r="BB84" i="5" s="1"/>
  <c r="BB85" i="5" s="1"/>
  <c r="BC83" i="5"/>
  <c r="BC84" i="5" s="1"/>
  <c r="BC85" i="5" s="1"/>
  <c r="BD83" i="5"/>
  <c r="BD84" i="5" s="1"/>
  <c r="BD85" i="5" s="1"/>
  <c r="BE83" i="5"/>
  <c r="BE84" i="5" s="1"/>
  <c r="BF83" i="5"/>
  <c r="BG83" i="5"/>
  <c r="BG84" i="5" s="1"/>
  <c r="BG85" i="5" s="1"/>
  <c r="BI83" i="5"/>
  <c r="BJ83" i="5"/>
  <c r="BJ84" i="5" s="1"/>
  <c r="BJ85" i="5" s="1"/>
  <c r="BK83" i="5"/>
  <c r="BL83" i="5"/>
  <c r="BL84" i="5" s="1"/>
  <c r="BL85" i="5" s="1"/>
  <c r="BM83" i="5"/>
  <c r="BM84" i="5" s="1"/>
  <c r="BM85" i="5" s="1"/>
  <c r="BN83" i="5"/>
  <c r="BN84" i="5" s="1"/>
  <c r="BN85" i="5" s="1"/>
  <c r="BO83" i="5"/>
  <c r="BO84" i="5" s="1"/>
  <c r="BP83" i="5"/>
  <c r="BP84" i="5" s="1"/>
  <c r="BP85" i="5" s="1"/>
  <c r="BQ83" i="5"/>
  <c r="BQ84" i="5" s="1"/>
  <c r="BQ85" i="5" s="1"/>
  <c r="BR83" i="5"/>
  <c r="BR84" i="5" s="1"/>
  <c r="BS83" i="5"/>
  <c r="BT83" i="5"/>
  <c r="BT84" i="5" s="1"/>
  <c r="BT85" i="5" s="1"/>
  <c r="BU83" i="5"/>
  <c r="BU84" i="5" s="1"/>
  <c r="BU85" i="5" s="1"/>
  <c r="BV83" i="5"/>
  <c r="BV84" i="5" s="1"/>
  <c r="BV85" i="5" s="1"/>
  <c r="BW83" i="5"/>
  <c r="BW84" i="5" s="1"/>
  <c r="BX83" i="5"/>
  <c r="BX84" i="5" s="1"/>
  <c r="BY83" i="5"/>
  <c r="BY84" i="5" s="1"/>
  <c r="BZ83" i="5"/>
  <c r="BZ84" i="5" s="1"/>
  <c r="BZ85" i="5" s="1"/>
  <c r="CA83" i="5"/>
  <c r="CB83" i="5"/>
  <c r="CB84" i="5" s="1"/>
  <c r="CB85" i="5" s="1"/>
  <c r="CC83" i="5"/>
  <c r="CC84" i="5" s="1"/>
  <c r="CD83" i="5"/>
  <c r="CD84" i="5" s="1"/>
  <c r="CD85" i="5" s="1"/>
  <c r="CE83" i="5"/>
  <c r="CE84" i="5" s="1"/>
  <c r="CE85" i="5" s="1"/>
  <c r="CF83" i="5"/>
  <c r="CF84" i="5" s="1"/>
  <c r="CF85" i="5" s="1"/>
  <c r="CG83" i="5"/>
  <c r="CH83" i="5"/>
  <c r="CH84" i="5" s="1"/>
  <c r="CH85" i="5" s="1"/>
  <c r="CI83" i="5"/>
  <c r="CI84" i="5" s="1"/>
  <c r="CI85" i="5" s="1"/>
  <c r="CJ83" i="5"/>
  <c r="CJ84" i="5" s="1"/>
  <c r="CJ85" i="5" s="1"/>
  <c r="CK83" i="5"/>
  <c r="CK84" i="5" s="1"/>
  <c r="CL83" i="5"/>
  <c r="CL84" i="5" s="1"/>
  <c r="CL85" i="5" s="1"/>
  <c r="CM83" i="5"/>
  <c r="CM84" i="5" s="1"/>
  <c r="CM85" i="5" s="1"/>
  <c r="CN83" i="5"/>
  <c r="CN84" i="5" s="1"/>
  <c r="CN85" i="5" s="1"/>
  <c r="CO83" i="5"/>
  <c r="CO84" i="5" s="1"/>
  <c r="CP83" i="5"/>
  <c r="CQ83" i="5"/>
  <c r="CQ84" i="5" s="1"/>
  <c r="CR83" i="5"/>
  <c r="CR84" i="5" s="1"/>
  <c r="CR85" i="5" s="1"/>
  <c r="CS83" i="5"/>
  <c r="CS84" i="5" s="1"/>
  <c r="CS85" i="5" s="1"/>
  <c r="CT83" i="5"/>
  <c r="CT84" i="5" s="1"/>
  <c r="CT85" i="5" s="1"/>
  <c r="CU83" i="5"/>
  <c r="CU84" i="5" s="1"/>
  <c r="CV83" i="5"/>
  <c r="CW83" i="5"/>
  <c r="CW84" i="5" s="1"/>
  <c r="CW85" i="5" s="1"/>
  <c r="CX83" i="5"/>
  <c r="CX84" i="5" s="1"/>
  <c r="CY83" i="5"/>
  <c r="CZ83" i="5"/>
  <c r="CZ84" i="5" s="1"/>
  <c r="CZ85" i="5" s="1"/>
  <c r="DA83" i="5"/>
  <c r="DA84" i="5" s="1"/>
  <c r="DB83" i="5"/>
  <c r="DB84" i="5" s="1"/>
  <c r="DB85" i="5" s="1"/>
  <c r="DC83" i="5"/>
  <c r="DC84" i="5" s="1"/>
  <c r="DC85" i="5" s="1"/>
  <c r="DD83" i="5"/>
  <c r="DD84" i="5" s="1"/>
  <c r="DD85" i="5" s="1"/>
  <c r="DE83" i="5"/>
  <c r="DE84" i="5" s="1"/>
  <c r="DF83" i="5"/>
  <c r="DF84" i="5" s="1"/>
  <c r="DF85" i="5" s="1"/>
  <c r="DG83" i="5"/>
  <c r="DH83" i="5"/>
  <c r="DH84" i="5" s="1"/>
  <c r="DH85" i="5" s="1"/>
  <c r="DI83" i="5"/>
  <c r="DJ83" i="5"/>
  <c r="DJ84" i="5" s="1"/>
  <c r="DK83" i="5"/>
  <c r="DK84" i="5" s="1"/>
  <c r="DK85" i="5" s="1"/>
  <c r="DL83" i="5"/>
  <c r="DL84" i="5" s="1"/>
  <c r="DM83" i="5"/>
  <c r="DN83" i="5"/>
  <c r="DO83" i="5"/>
  <c r="DO84" i="5" s="1"/>
  <c r="DO85" i="5" s="1"/>
  <c r="DP83" i="5"/>
  <c r="DP84" i="5" s="1"/>
  <c r="DP85" i="5" s="1"/>
  <c r="DQ83" i="5"/>
  <c r="DQ84" i="5" s="1"/>
  <c r="DQ85" i="5" s="1"/>
  <c r="DS83" i="5"/>
  <c r="DT83" i="5"/>
  <c r="DU83" i="5"/>
  <c r="DU84" i="5" s="1"/>
  <c r="DV83" i="5"/>
  <c r="DV84" i="5" s="1"/>
  <c r="DV85" i="5" s="1"/>
  <c r="DW83" i="5"/>
  <c r="DX83" i="5"/>
  <c r="DX84" i="5" s="1"/>
  <c r="DY83" i="5"/>
  <c r="DY84" i="5" s="1"/>
  <c r="DY85" i="5" s="1"/>
  <c r="DZ83" i="5"/>
  <c r="EA83" i="5"/>
  <c r="EB83" i="5"/>
  <c r="EB84" i="5" s="1"/>
  <c r="EB85" i="5" s="1"/>
  <c r="EC83" i="5"/>
  <c r="EC84" i="5" s="1"/>
  <c r="ED83" i="5"/>
  <c r="DS87" i="5"/>
  <c r="DT87" i="5"/>
  <c r="DU87" i="5"/>
  <c r="DV87" i="5"/>
  <c r="DW87" i="5"/>
  <c r="DX87" i="5"/>
  <c r="DY87" i="5"/>
  <c r="DZ87" i="5"/>
  <c r="EA87" i="5"/>
  <c r="EB87" i="5"/>
  <c r="EC87" i="5"/>
  <c r="ED87" i="5"/>
  <c r="O4" i="1"/>
  <c r="O13" i="1"/>
  <c r="O12" i="1"/>
  <c r="D12" i="1"/>
  <c r="D12" i="3"/>
  <c r="E12" i="3"/>
  <c r="F12" i="3" s="1"/>
  <c r="Q16" i="6"/>
  <c r="D9" i="7"/>
  <c r="X5" i="6"/>
  <c r="R24" i="6"/>
  <c r="CW8" i="5"/>
  <c r="AK8" i="5"/>
  <c r="X8" i="6"/>
  <c r="X6" i="6"/>
  <c r="EC8" i="5"/>
  <c r="CG8" i="5"/>
  <c r="U8" i="5"/>
  <c r="D62" i="5"/>
  <c r="M62" i="5"/>
  <c r="X14" i="6"/>
  <c r="X11" i="6"/>
  <c r="X7" i="6"/>
  <c r="AK83" i="5"/>
  <c r="AK84" i="5" s="1"/>
  <c r="AK85" i="5" s="1"/>
  <c r="AG83" i="5"/>
  <c r="AG84" i="5" s="1"/>
  <c r="AG85" i="5" s="1"/>
  <c r="AC83" i="5"/>
  <c r="AC84" i="5" s="1"/>
  <c r="AC85" i="5" s="1"/>
  <c r="Y83" i="5"/>
  <c r="Y84" i="5" s="1"/>
  <c r="Y85" i="5" s="1"/>
  <c r="U83" i="5"/>
  <c r="U84" i="5" s="1"/>
  <c r="Q83" i="5"/>
  <c r="Q84" i="5" s="1"/>
  <c r="Q85" i="5" s="1"/>
  <c r="M83" i="5"/>
  <c r="I83" i="5"/>
  <c r="I84" i="5" s="1"/>
  <c r="E83" i="5"/>
  <c r="E84" i="5" s="1"/>
  <c r="E85" i="5" s="1"/>
  <c r="DX8" i="5"/>
  <c r="BQ8" i="5"/>
  <c r="E8" i="5"/>
  <c r="X13" i="6"/>
  <c r="X9" i="6"/>
  <c r="BH83" i="5"/>
  <c r="BH84" i="5" s="1"/>
  <c r="BH85" i="5" s="1"/>
  <c r="AF83" i="5"/>
  <c r="AF84" i="5" s="1"/>
  <c r="AF85" i="5" s="1"/>
  <c r="AB83" i="5"/>
  <c r="AB84" i="5" s="1"/>
  <c r="X83" i="5"/>
  <c r="X84" i="5" s="1"/>
  <c r="X85" i="5" s="1"/>
  <c r="T83" i="5"/>
  <c r="P83" i="5"/>
  <c r="P84" i="5" s="1"/>
  <c r="L83" i="5"/>
  <c r="L84" i="5" s="1"/>
  <c r="L85" i="5" s="1"/>
  <c r="H83" i="5"/>
  <c r="D83" i="5"/>
  <c r="DM8" i="5"/>
  <c r="DM62" i="5"/>
  <c r="DM63" i="5" s="1"/>
  <c r="BA8" i="5"/>
  <c r="BA62" i="5"/>
  <c r="BA63" i="5" s="1"/>
  <c r="X12" i="6"/>
  <c r="M61" i="5"/>
  <c r="DH8" i="5"/>
  <c r="CR8" i="5"/>
  <c r="CB8" i="5"/>
  <c r="BL8" i="5"/>
  <c r="AV8" i="5"/>
  <c r="AV61" i="5"/>
  <c r="AF8" i="5"/>
  <c r="P8" i="5"/>
  <c r="DM61" i="5"/>
  <c r="CG61" i="5"/>
  <c r="U61" i="5"/>
  <c r="DU8" i="5"/>
  <c r="DE8" i="5"/>
  <c r="CO8" i="5"/>
  <c r="BY8" i="5"/>
  <c r="BI8" i="5"/>
  <c r="AS8" i="5"/>
  <c r="AS61" i="5"/>
  <c r="AC8" i="5"/>
  <c r="E61" i="5"/>
  <c r="F8" i="5"/>
  <c r="I8" i="5"/>
  <c r="Q8" i="5"/>
  <c r="Y8" i="5"/>
  <c r="AG8" i="5"/>
  <c r="AO8" i="5"/>
  <c r="AO61" i="5"/>
  <c r="AW8" i="5"/>
  <c r="AW61" i="5"/>
  <c r="BE8" i="5"/>
  <c r="BM8" i="5"/>
  <c r="BU8" i="5"/>
  <c r="CC8" i="5"/>
  <c r="CK8" i="5"/>
  <c r="CS8" i="5"/>
  <c r="DA8" i="5"/>
  <c r="DI8" i="5"/>
  <c r="DQ8" i="5"/>
  <c r="DY8" i="5"/>
  <c r="C9" i="5"/>
  <c r="D8" i="5"/>
  <c r="L8" i="5"/>
  <c r="T8" i="5"/>
  <c r="AB8" i="5"/>
  <c r="AJ8" i="5"/>
  <c r="AJ62" i="5"/>
  <c r="AJ63" i="5" s="1"/>
  <c r="AR8" i="5"/>
  <c r="AR61" i="5"/>
  <c r="AZ8" i="5"/>
  <c r="BH8" i="5"/>
  <c r="BP8" i="5"/>
  <c r="BP62" i="5"/>
  <c r="BX8" i="5"/>
  <c r="CF8" i="5"/>
  <c r="CF62" i="5"/>
  <c r="CN8" i="5"/>
  <c r="CN62" i="5"/>
  <c r="CN63" i="5" s="1"/>
  <c r="CV8" i="5"/>
  <c r="CV62" i="5"/>
  <c r="DD8" i="5"/>
  <c r="DD62" i="5"/>
  <c r="DD63" i="5" s="1"/>
  <c r="DL8" i="5"/>
  <c r="DL62" i="5"/>
  <c r="DT8" i="5"/>
  <c r="DT62" i="5"/>
  <c r="DT63" i="5" s="1"/>
  <c r="EB8" i="5"/>
  <c r="EB62" i="5"/>
  <c r="DP8" i="5"/>
  <c r="CZ8" i="5"/>
  <c r="CJ8" i="5"/>
  <c r="BT8" i="5"/>
  <c r="BD8" i="5"/>
  <c r="AN8" i="5"/>
  <c r="AN61" i="5"/>
  <c r="X8" i="5"/>
  <c r="H8" i="5"/>
  <c r="D10" i="5"/>
  <c r="EA8" i="5"/>
  <c r="DW8" i="5"/>
  <c r="DS8" i="5"/>
  <c r="DO8" i="5"/>
  <c r="DK8" i="5"/>
  <c r="DG8" i="5"/>
  <c r="DC8" i="5"/>
  <c r="CY8" i="5"/>
  <c r="CU8" i="5"/>
  <c r="CQ8" i="5"/>
  <c r="CM8" i="5"/>
  <c r="CI8" i="5"/>
  <c r="CE8" i="5"/>
  <c r="CA8" i="5"/>
  <c r="BW8" i="5"/>
  <c r="BS8" i="5"/>
  <c r="BO8" i="5"/>
  <c r="BK8" i="5"/>
  <c r="BG8" i="5"/>
  <c r="BC8" i="5"/>
  <c r="AY8" i="5"/>
  <c r="AU8" i="5"/>
  <c r="AQ8" i="5"/>
  <c r="AM8" i="5"/>
  <c r="AI8" i="5"/>
  <c r="AE8" i="5"/>
  <c r="AA8" i="5"/>
  <c r="W8" i="5"/>
  <c r="S8" i="5"/>
  <c r="O8" i="5"/>
  <c r="K8" i="5"/>
  <c r="G8" i="5"/>
  <c r="ED8" i="5"/>
  <c r="DZ8" i="5"/>
  <c r="DV8" i="5"/>
  <c r="DR8" i="5"/>
  <c r="DN8" i="5"/>
  <c r="DJ8" i="5"/>
  <c r="DF8" i="5"/>
  <c r="DB8" i="5"/>
  <c r="CX8" i="5"/>
  <c r="CT8" i="5"/>
  <c r="CP8" i="5"/>
  <c r="CL8" i="5"/>
  <c r="CH8" i="5"/>
  <c r="CD8" i="5"/>
  <c r="BZ8" i="5"/>
  <c r="BV8" i="5"/>
  <c r="BR8" i="5"/>
  <c r="BN8" i="5"/>
  <c r="BJ8" i="5"/>
  <c r="BF8" i="5"/>
  <c r="BB8" i="5"/>
  <c r="AX8" i="5"/>
  <c r="AT8" i="5"/>
  <c r="AP8" i="5"/>
  <c r="AL8" i="5"/>
  <c r="AH8" i="5"/>
  <c r="AD8" i="5"/>
  <c r="Z8" i="5"/>
  <c r="V8" i="5"/>
  <c r="R8" i="5"/>
  <c r="N8" i="5"/>
  <c r="J8" i="5"/>
  <c r="T62" i="5"/>
  <c r="T63" i="5" s="1"/>
  <c r="CG62" i="5"/>
  <c r="CG63" i="5"/>
  <c r="BX62" i="5"/>
  <c r="BX63" i="5" s="1"/>
  <c r="AZ62" i="5"/>
  <c r="AZ63" i="5" s="1"/>
  <c r="AB62" i="5"/>
  <c r="U62" i="5"/>
  <c r="U63" i="5" s="1"/>
  <c r="L62" i="5"/>
  <c r="L63" i="5" s="1"/>
  <c r="E62" i="5"/>
  <c r="E63" i="5"/>
  <c r="BH62" i="5"/>
  <c r="CV61" i="5"/>
  <c r="CN61" i="5"/>
  <c r="BA61" i="5"/>
  <c r="EB61" i="5"/>
  <c r="EB63" i="5"/>
  <c r="BP61" i="5"/>
  <c r="BP63" i="5"/>
  <c r="BQ62" i="5"/>
  <c r="BQ63" i="5" s="1"/>
  <c r="BQ61" i="5"/>
  <c r="AK62" i="5"/>
  <c r="AK63" i="5" s="1"/>
  <c r="AK61" i="5"/>
  <c r="DT61" i="5"/>
  <c r="AJ61" i="5"/>
  <c r="DX62" i="5"/>
  <c r="DX63" i="5" s="1"/>
  <c r="DX61" i="5"/>
  <c r="EC62" i="5"/>
  <c r="EC61" i="5"/>
  <c r="CW62" i="5"/>
  <c r="CW63" i="5" s="1"/>
  <c r="CW61" i="5"/>
  <c r="CV63" i="5"/>
  <c r="BD62" i="5"/>
  <c r="BD61" i="5"/>
  <c r="DP62" i="5"/>
  <c r="DP63" i="5" s="1"/>
  <c r="DP61" i="5"/>
  <c r="DQ62" i="5"/>
  <c r="DQ61" i="5"/>
  <c r="CK61" i="5"/>
  <c r="CK62" i="5"/>
  <c r="CK63" i="5" s="1"/>
  <c r="BE62" i="5"/>
  <c r="BE61" i="5"/>
  <c r="Y61" i="5"/>
  <c r="Y62" i="5"/>
  <c r="Y63" i="5" s="1"/>
  <c r="BH61" i="5"/>
  <c r="AB61" i="5"/>
  <c r="AC61" i="5"/>
  <c r="AC62" i="5"/>
  <c r="AC63" i="5" s="1"/>
  <c r="CO61" i="5"/>
  <c r="CO62" i="5"/>
  <c r="BL62" i="5"/>
  <c r="BL63" i="5" s="1"/>
  <c r="BL61" i="5"/>
  <c r="CZ62" i="5"/>
  <c r="CZ61" i="5"/>
  <c r="DY62" i="5"/>
  <c r="DY63" i="5" s="1"/>
  <c r="DY61" i="5"/>
  <c r="CS62" i="5"/>
  <c r="CS61" i="5"/>
  <c r="BM62" i="5"/>
  <c r="BM63" i="5" s="1"/>
  <c r="BM61" i="5"/>
  <c r="AG62" i="5"/>
  <c r="AG61" i="5"/>
  <c r="F61" i="5"/>
  <c r="F62" i="5"/>
  <c r="BY62" i="5"/>
  <c r="BY61" i="5"/>
  <c r="DH62" i="5"/>
  <c r="DH63" i="5" s="1"/>
  <c r="DH61" i="5"/>
  <c r="H61" i="5"/>
  <c r="H62" i="5"/>
  <c r="BT62" i="5"/>
  <c r="BT63" i="5" s="1"/>
  <c r="BT61" i="5"/>
  <c r="D61" i="5"/>
  <c r="DI61" i="5"/>
  <c r="DI62" i="5"/>
  <c r="DI63" i="5" s="1"/>
  <c r="CC61" i="5"/>
  <c r="CC62" i="5"/>
  <c r="Q61" i="5"/>
  <c r="Q62" i="5"/>
  <c r="Q63" i="5" s="1"/>
  <c r="DL61" i="5"/>
  <c r="DL63" i="5"/>
  <c r="CF61" i="5"/>
  <c r="CF63" i="5"/>
  <c r="AZ61" i="5"/>
  <c r="T61" i="5"/>
  <c r="DE62" i="5"/>
  <c r="DE61" i="5"/>
  <c r="P62" i="5"/>
  <c r="P63" i="5" s="1"/>
  <c r="P61" i="5"/>
  <c r="CB62" i="5"/>
  <c r="CB63" i="5" s="1"/>
  <c r="CB61" i="5"/>
  <c r="M63" i="5"/>
  <c r="X62" i="5"/>
  <c r="X63" i="5" s="1"/>
  <c r="X61" i="5"/>
  <c r="CJ62" i="5"/>
  <c r="CJ61" i="5"/>
  <c r="C8" i="5"/>
  <c r="C83" i="5"/>
  <c r="C84" i="5" s="1"/>
  <c r="DA61" i="5"/>
  <c r="DA62" i="5"/>
  <c r="DA63" i="5" s="1"/>
  <c r="BU62" i="5"/>
  <c r="BU63" i="5" s="1"/>
  <c r="BU61" i="5"/>
  <c r="I62" i="5"/>
  <c r="I61" i="5"/>
  <c r="DD61" i="5"/>
  <c r="BX61" i="5"/>
  <c r="L61" i="5"/>
  <c r="BI61" i="5"/>
  <c r="BI62" i="5"/>
  <c r="BI63" i="5" s="1"/>
  <c r="DU61" i="5"/>
  <c r="DU62" i="5"/>
  <c r="AF62" i="5"/>
  <c r="AF63" i="5" s="1"/>
  <c r="AF61" i="5"/>
  <c r="CR62" i="5"/>
  <c r="CR63" i="5" s="1"/>
  <c r="CR61" i="5"/>
  <c r="E10" i="5"/>
  <c r="S61" i="5"/>
  <c r="S62" i="5"/>
  <c r="S63" i="5" s="1"/>
  <c r="AI61" i="5"/>
  <c r="AI62" i="5"/>
  <c r="AI63" i="5" s="1"/>
  <c r="AY61" i="5"/>
  <c r="AY62" i="5"/>
  <c r="BO61" i="5"/>
  <c r="BO62" i="5"/>
  <c r="BO63" i="5" s="1"/>
  <c r="CE61" i="5"/>
  <c r="CE62" i="5"/>
  <c r="CE63" i="5" s="1"/>
  <c r="CU61" i="5"/>
  <c r="CU62" i="5"/>
  <c r="CU63" i="5" s="1"/>
  <c r="DK61" i="5"/>
  <c r="DK62" i="5"/>
  <c r="DK63" i="5" s="1"/>
  <c r="EA61" i="5"/>
  <c r="EA62" i="5"/>
  <c r="EA63" i="5" s="1"/>
  <c r="J61" i="5"/>
  <c r="J62" i="5"/>
  <c r="J63" i="5" s="1"/>
  <c r="Z61" i="5"/>
  <c r="Z62" i="5"/>
  <c r="Z63" i="5" s="1"/>
  <c r="AP61" i="5"/>
  <c r="BF61" i="5"/>
  <c r="BF62" i="5"/>
  <c r="BF63" i="5" s="1"/>
  <c r="BV61" i="5"/>
  <c r="BV62" i="5"/>
  <c r="BV63" i="5" s="1"/>
  <c r="CL61" i="5"/>
  <c r="CL62" i="5"/>
  <c r="CL63" i="5" s="1"/>
  <c r="DB61" i="5"/>
  <c r="DB62" i="5"/>
  <c r="DB63" i="5" s="1"/>
  <c r="DR61" i="5"/>
  <c r="DR62" i="5"/>
  <c r="DR63" i="5" s="1"/>
  <c r="G61" i="5"/>
  <c r="G62" i="5"/>
  <c r="G63" i="5" s="1"/>
  <c r="W61" i="5"/>
  <c r="W62" i="5"/>
  <c r="W63" i="5" s="1"/>
  <c r="AM61" i="5"/>
  <c r="BC61" i="5"/>
  <c r="BC62" i="5"/>
  <c r="BC63" i="5" s="1"/>
  <c r="BS61" i="5"/>
  <c r="BS62" i="5"/>
  <c r="CI61" i="5"/>
  <c r="CI62" i="5"/>
  <c r="CI63" i="5" s="1"/>
  <c r="CY61" i="5"/>
  <c r="CY62" i="5"/>
  <c r="CY63" i="5" s="1"/>
  <c r="DO61" i="5"/>
  <c r="DO62" i="5"/>
  <c r="DO63" i="5" s="1"/>
  <c r="R61" i="5"/>
  <c r="R62" i="5"/>
  <c r="R63" i="5" s="1"/>
  <c r="AH61" i="5"/>
  <c r="AH62" i="5"/>
  <c r="AH63" i="5" s="1"/>
  <c r="AX61" i="5"/>
  <c r="BN61" i="5"/>
  <c r="BN62" i="5"/>
  <c r="BN63" i="5" s="1"/>
  <c r="V61" i="5"/>
  <c r="V62" i="5"/>
  <c r="V63" i="5" s="1"/>
  <c r="AL61" i="5"/>
  <c r="AL62" i="5"/>
  <c r="AL63" i="5" s="1"/>
  <c r="BB61" i="5"/>
  <c r="BB62" i="5"/>
  <c r="BR61" i="5"/>
  <c r="BR62" i="5"/>
  <c r="CH61" i="5"/>
  <c r="CH62" i="5"/>
  <c r="CH63" i="5" s="1"/>
  <c r="CX61" i="5"/>
  <c r="CX62" i="5"/>
  <c r="CX63" i="5" s="1"/>
  <c r="DN61" i="5"/>
  <c r="DN62" i="5"/>
  <c r="DN63" i="5" s="1"/>
  <c r="ED61" i="5"/>
  <c r="ED62" i="5"/>
  <c r="ED63" i="5" s="1"/>
  <c r="N61" i="5"/>
  <c r="N62" i="5"/>
  <c r="N63" i="5" s="1"/>
  <c r="AD61" i="5"/>
  <c r="AD62" i="5"/>
  <c r="AD63" i="5" s="1"/>
  <c r="AT61" i="5"/>
  <c r="BJ61" i="5"/>
  <c r="BJ62" i="5"/>
  <c r="BJ63" i="5" s="1"/>
  <c r="BZ61" i="5"/>
  <c r="BZ62" i="5"/>
  <c r="CP61" i="5"/>
  <c r="CP62" i="5"/>
  <c r="DF61" i="5"/>
  <c r="DF62" i="5"/>
  <c r="DF63" i="5" s="1"/>
  <c r="DV61" i="5"/>
  <c r="DV62" i="5"/>
  <c r="DV63" i="5" s="1"/>
  <c r="K61" i="5"/>
  <c r="K62" i="5"/>
  <c r="K63" i="5" s="1"/>
  <c r="AA61" i="5"/>
  <c r="AA62" i="5"/>
  <c r="AQ61" i="5"/>
  <c r="BG61" i="5"/>
  <c r="BG62" i="5"/>
  <c r="BG63" i="5" s="1"/>
  <c r="BW61" i="5"/>
  <c r="BW62" i="5"/>
  <c r="BW63" i="5" s="1"/>
  <c r="CM61" i="5"/>
  <c r="CM62" i="5"/>
  <c r="CM63" i="5" s="1"/>
  <c r="DC61" i="5"/>
  <c r="DC62" i="5"/>
  <c r="DC63" i="5" s="1"/>
  <c r="DS61" i="5"/>
  <c r="DS62" i="5"/>
  <c r="DS63" i="5" s="1"/>
  <c r="CD61" i="5"/>
  <c r="CD62" i="5"/>
  <c r="CD63" i="5" s="1"/>
  <c r="CT61" i="5"/>
  <c r="CT62" i="5"/>
  <c r="CT63" i="5" s="1"/>
  <c r="DJ61" i="5"/>
  <c r="DJ62" i="5"/>
  <c r="DJ63" i="5" s="1"/>
  <c r="DZ61" i="5"/>
  <c r="DZ62" i="5"/>
  <c r="DZ63" i="5" s="1"/>
  <c r="O61" i="5"/>
  <c r="O62" i="5"/>
  <c r="AE61" i="5"/>
  <c r="AE62" i="5"/>
  <c r="AE63" i="5" s="1"/>
  <c r="AU61" i="5"/>
  <c r="BK61" i="5"/>
  <c r="BK62" i="5"/>
  <c r="BK63" i="5" s="1"/>
  <c r="CA61" i="5"/>
  <c r="CA62" i="5"/>
  <c r="CA63" i="5" s="1"/>
  <c r="CQ61" i="5"/>
  <c r="CQ62" i="5"/>
  <c r="CQ63" i="5" s="1"/>
  <c r="DG61" i="5"/>
  <c r="DG62" i="5"/>
  <c r="DW61" i="5"/>
  <c r="DW62" i="5"/>
  <c r="DW63" i="5" s="1"/>
  <c r="BH63" i="5"/>
  <c r="BR63" i="5"/>
  <c r="AB63" i="5"/>
  <c r="AG63" i="5"/>
  <c r="CS63" i="5"/>
  <c r="CZ63" i="5"/>
  <c r="DU63" i="5"/>
  <c r="CC63" i="5"/>
  <c r="EC63" i="5"/>
  <c r="H63" i="5"/>
  <c r="BE63" i="5"/>
  <c r="DQ63" i="5"/>
  <c r="BD63" i="5"/>
  <c r="I63" i="5"/>
  <c r="C62" i="5"/>
  <c r="C61" i="5"/>
  <c r="CJ63" i="5"/>
  <c r="F63" i="5"/>
  <c r="DE63" i="5"/>
  <c r="D63" i="5"/>
  <c r="BY63" i="5"/>
  <c r="CO63" i="5"/>
  <c r="E14" i="5"/>
  <c r="F10" i="5"/>
  <c r="DG63" i="5"/>
  <c r="BS63" i="5"/>
  <c r="CP63" i="5"/>
  <c r="BZ63" i="5"/>
  <c r="AA63" i="5"/>
  <c r="BB63" i="5"/>
  <c r="AY63" i="5"/>
  <c r="G10" i="5"/>
  <c r="F14" i="5"/>
  <c r="H10" i="5"/>
  <c r="G14" i="5"/>
  <c r="I10" i="5"/>
  <c r="H14" i="5"/>
  <c r="J10" i="5"/>
  <c r="I14" i="5"/>
  <c r="J14" i="5"/>
  <c r="K10" i="5"/>
  <c r="L10" i="5"/>
  <c r="K14" i="5"/>
  <c r="M10" i="5"/>
  <c r="L14" i="5"/>
  <c r="M14" i="5"/>
  <c r="N10" i="5"/>
  <c r="L25" i="2"/>
  <c r="G29" i="2"/>
  <c r="H30" i="2" s="1"/>
  <c r="D13" i="3" a="1"/>
  <c r="D13" i="3"/>
  <c r="N14" i="5"/>
  <c r="O10" i="5"/>
  <c r="D25" i="2"/>
  <c r="D9" i="1"/>
  <c r="O11" i="1"/>
  <c r="P10" i="5"/>
  <c r="E2" i="1" a="1"/>
  <c r="E2" i="1"/>
  <c r="D14" i="2"/>
  <c r="D6" i="2"/>
  <c r="Q10" i="5"/>
  <c r="R10" i="5"/>
  <c r="S10" i="5"/>
  <c r="T10" i="5"/>
  <c r="U10" i="5"/>
  <c r="O15" i="1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CD10" i="5"/>
  <c r="CE10" i="5"/>
  <c r="CF10" i="5"/>
  <c r="CG10" i="5"/>
  <c r="CH10" i="5"/>
  <c r="CI10" i="5"/>
  <c r="CJ10" i="5"/>
  <c r="CK10" i="5"/>
  <c r="CL10" i="5"/>
  <c r="CM10" i="5"/>
  <c r="CN10" i="5"/>
  <c r="CO10" i="5"/>
  <c r="CP10" i="5"/>
  <c r="CQ10" i="5"/>
  <c r="CR10" i="5"/>
  <c r="CS10" i="5"/>
  <c r="CT10" i="5"/>
  <c r="CU10" i="5"/>
  <c r="CV10" i="5"/>
  <c r="CW10" i="5"/>
  <c r="CX10" i="5"/>
  <c r="CY10" i="5"/>
  <c r="CZ10" i="5"/>
  <c r="DA10" i="5"/>
  <c r="DB10" i="5"/>
  <c r="DC10" i="5"/>
  <c r="DD10" i="5"/>
  <c r="DE10" i="5"/>
  <c r="DF10" i="5"/>
  <c r="DG10" i="5"/>
  <c r="DH10" i="5"/>
  <c r="DI10" i="5"/>
  <c r="DJ10" i="5"/>
  <c r="DK10" i="5"/>
  <c r="DL10" i="5"/>
  <c r="DM10" i="5"/>
  <c r="DN10" i="5"/>
  <c r="DO10" i="5"/>
  <c r="DP10" i="5"/>
  <c r="DQ10" i="5"/>
  <c r="DR10" i="5"/>
  <c r="DS10" i="5"/>
  <c r="DT10" i="5"/>
  <c r="DU10" i="5"/>
  <c r="DV10" i="5"/>
  <c r="DW10" i="5"/>
  <c r="DX10" i="5"/>
  <c r="DY10" i="5"/>
  <c r="DZ10" i="5"/>
  <c r="EA10" i="5"/>
  <c r="EB10" i="5"/>
  <c r="EC10" i="5"/>
  <c r="ED10" i="5"/>
  <c r="C14" i="5" l="1"/>
  <c r="S40" i="6"/>
  <c r="H35" i="6"/>
  <c r="H44" i="6"/>
  <c r="C68" i="7"/>
  <c r="C63" i="5"/>
  <c r="C69" i="7" s="1"/>
  <c r="L68" i="7"/>
  <c r="D68" i="7"/>
  <c r="O63" i="5"/>
  <c r="I68" i="7"/>
  <c r="G68" i="7"/>
  <c r="H68" i="7"/>
  <c r="M68" i="7"/>
  <c r="E68" i="7"/>
  <c r="J68" i="7"/>
  <c r="K68" i="7"/>
  <c r="D14" i="5"/>
  <c r="C14" i="7"/>
  <c r="G12" i="3"/>
  <c r="EC85" i="5"/>
  <c r="C86" i="7"/>
  <c r="C85" i="7"/>
  <c r="C84" i="7"/>
  <c r="C83" i="7"/>
  <c r="D8" i="7"/>
  <c r="C38" i="7"/>
  <c r="C40" i="7"/>
  <c r="C22" i="7"/>
  <c r="C30" i="7"/>
  <c r="C33" i="7"/>
  <c r="C44" i="7"/>
  <c r="C73" i="7"/>
  <c r="C88" i="7"/>
  <c r="C66" i="7"/>
  <c r="C42" i="7"/>
  <c r="C23" i="7"/>
  <c r="I85" i="5"/>
  <c r="BX85" i="5"/>
  <c r="DL85" i="5"/>
  <c r="AW85" i="5"/>
  <c r="DX85" i="5"/>
  <c r="CQ85" i="5"/>
  <c r="U85" i="5"/>
  <c r="CX85" i="5"/>
  <c r="AH85" i="5"/>
  <c r="I6" i="6"/>
  <c r="G6" i="6"/>
  <c r="AD84" i="5"/>
  <c r="AD85" i="5" s="1"/>
  <c r="O14" i="1"/>
  <c r="BR85" i="5"/>
  <c r="N85" i="5"/>
  <c r="H28" i="2"/>
  <c r="D30" i="3"/>
  <c r="D29" i="3" s="1"/>
  <c r="D33" i="3" s="1"/>
  <c r="T84" i="5"/>
  <c r="T85" i="5" s="1"/>
  <c r="CV84" i="5"/>
  <c r="CV85" i="5" s="1"/>
  <c r="BI84" i="5"/>
  <c r="BI85" i="5" s="1"/>
  <c r="V84" i="5"/>
  <c r="V85" i="5" s="1"/>
  <c r="CA84" i="5"/>
  <c r="CA85" i="5" s="1"/>
  <c r="C85" i="5"/>
  <c r="CP84" i="5"/>
  <c r="CP85" i="5" s="1"/>
  <c r="AN84" i="5"/>
  <c r="AN85" i="5" s="1"/>
  <c r="DG84" i="5"/>
  <c r="DG85" i="5" s="1"/>
  <c r="BF84" i="5"/>
  <c r="BF85" i="5" s="1"/>
  <c r="AL84" i="5"/>
  <c r="AL85" i="5" s="1"/>
  <c r="K84" i="5"/>
  <c r="K85" i="5" s="1"/>
  <c r="F84" i="5"/>
  <c r="F85" i="5" s="1"/>
  <c r="EA84" i="5"/>
  <c r="EA85" i="5" s="1"/>
  <c r="DT84" i="5"/>
  <c r="DT85" i="5" s="1"/>
  <c r="CG84" i="5"/>
  <c r="CG85" i="5" s="1"/>
  <c r="BS84" i="5"/>
  <c r="BS85" i="5" s="1"/>
  <c r="AP84" i="5"/>
  <c r="AP85" i="5" s="1"/>
  <c r="W84" i="5"/>
  <c r="W85" i="5" s="1"/>
  <c r="S84" i="5"/>
  <c r="S85" i="5" s="1"/>
  <c r="J84" i="5"/>
  <c r="J85" i="5" s="1"/>
  <c r="DN84" i="5"/>
  <c r="DN85" i="5" s="1"/>
  <c r="CY84" i="5"/>
  <c r="CY85" i="5" s="1"/>
  <c r="BA84" i="5"/>
  <c r="BA85" i="5" s="1"/>
  <c r="M84" i="5"/>
  <c r="M85" i="5" s="1"/>
  <c r="DU85" i="5"/>
  <c r="D84" i="5"/>
  <c r="C89" i="7"/>
  <c r="P85" i="5"/>
  <c r="D89" i="7"/>
  <c r="ED84" i="5"/>
  <c r="ED85" i="5" s="1"/>
  <c r="DZ84" i="5"/>
  <c r="DZ85" i="5" s="1"/>
  <c r="DW84" i="5"/>
  <c r="DW85" i="5" s="1"/>
  <c r="AA85" i="5"/>
  <c r="H84" i="5"/>
  <c r="H85" i="5" s="1"/>
  <c r="CK85" i="5"/>
  <c r="BW85" i="5"/>
  <c r="BE85" i="5"/>
  <c r="AQ84" i="5"/>
  <c r="AQ85" i="5" s="1"/>
  <c r="AI84" i="5"/>
  <c r="AI85" i="5" s="1"/>
  <c r="AE84" i="5"/>
  <c r="AY85" i="5"/>
  <c r="O85" i="5"/>
  <c r="DS84" i="5"/>
  <c r="DM84" i="5"/>
  <c r="DM85" i="5" s="1"/>
  <c r="DJ85" i="5"/>
  <c r="DA85" i="5"/>
  <c r="CO85" i="5"/>
  <c r="BY85" i="5"/>
  <c r="BK84" i="5"/>
  <c r="AT85" i="5"/>
  <c r="AB85" i="5"/>
  <c r="DI84" i="5"/>
  <c r="DI85" i="5" s="1"/>
  <c r="DE85" i="5"/>
  <c r="CU85" i="5"/>
  <c r="CC85" i="5"/>
  <c r="BO85" i="5"/>
  <c r="AX84" i="5"/>
  <c r="AX85" i="5" s="1"/>
  <c r="AV85" i="5"/>
  <c r="Z85" i="5"/>
  <c r="AN62" i="5" l="1"/>
  <c r="AN63" i="5" s="1"/>
  <c r="AW62" i="5"/>
  <c r="AW63" i="5" s="1"/>
  <c r="AU62" i="5"/>
  <c r="AU63" i="5" s="1"/>
  <c r="AV62" i="5"/>
  <c r="AV63" i="5" s="1"/>
  <c r="AR62" i="5"/>
  <c r="AR63" i="5" s="1"/>
  <c r="AP62" i="5"/>
  <c r="AP63" i="5" s="1"/>
  <c r="AM62" i="5"/>
  <c r="AX62" i="5"/>
  <c r="AX63" i="5" s="1"/>
  <c r="AT62" i="5"/>
  <c r="AT63" i="5" s="1"/>
  <c r="AQ62" i="5"/>
  <c r="AQ63" i="5" s="1"/>
  <c r="AO62" i="5"/>
  <c r="AO63" i="5" s="1"/>
  <c r="AS62" i="5"/>
  <c r="AS63" i="5" s="1"/>
  <c r="C56" i="5"/>
  <c r="G56" i="5"/>
  <c r="G58" i="5" s="1"/>
  <c r="H56" i="5"/>
  <c r="P57" i="5"/>
  <c r="R56" i="5"/>
  <c r="R57" i="5"/>
  <c r="T57" i="5"/>
  <c r="U56" i="5"/>
  <c r="V57" i="5"/>
  <c r="X56" i="5"/>
  <c r="Y56" i="5"/>
  <c r="AJ56" i="5"/>
  <c r="AN57" i="5"/>
  <c r="AO57" i="5"/>
  <c r="AR57" i="5"/>
  <c r="I18" i="6"/>
  <c r="C57" i="5"/>
  <c r="D56" i="5"/>
  <c r="E56" i="5"/>
  <c r="F56" i="5"/>
  <c r="G57" i="5"/>
  <c r="J57" i="5"/>
  <c r="J56" i="5"/>
  <c r="J58" i="5" s="1"/>
  <c r="K57" i="5"/>
  <c r="M57" i="5"/>
  <c r="N57" i="5"/>
  <c r="P56" i="5"/>
  <c r="T56" i="5"/>
  <c r="U57" i="5"/>
  <c r="W56" i="5"/>
  <c r="AA57" i="5"/>
  <c r="AA56" i="5"/>
  <c r="I56" i="5"/>
  <c r="O56" i="5"/>
  <c r="Q56" i="5"/>
  <c r="AB57" i="5"/>
  <c r="AC57" i="5"/>
  <c r="AE57" i="5"/>
  <c r="AK57" i="5"/>
  <c r="AL56" i="5"/>
  <c r="AM56" i="5"/>
  <c r="AP56" i="5"/>
  <c r="AP57" i="5"/>
  <c r="AR56" i="5"/>
  <c r="AS57" i="5"/>
  <c r="AT56" i="5"/>
  <c r="AW57" i="5"/>
  <c r="AZ57" i="5"/>
  <c r="BD57" i="5"/>
  <c r="BF57" i="5"/>
  <c r="BG57" i="5"/>
  <c r="BH56" i="5"/>
  <c r="BM57" i="5"/>
  <c r="E57" i="5"/>
  <c r="H57" i="5"/>
  <c r="I57" i="5"/>
  <c r="L57" i="5"/>
  <c r="L56" i="5"/>
  <c r="L58" i="5" s="1"/>
  <c r="L59" i="5" s="1"/>
  <c r="N56" i="5"/>
  <c r="N58" i="5" s="1"/>
  <c r="N59" i="5" s="1"/>
  <c r="O57" i="5"/>
  <c r="S57" i="5"/>
  <c r="AD57" i="5"/>
  <c r="AG57" i="5"/>
  <c r="AG56" i="5"/>
  <c r="AH57" i="5"/>
  <c r="AI56" i="5"/>
  <c r="AQ57" i="5"/>
  <c r="AT57" i="5"/>
  <c r="AV56" i="5"/>
  <c r="BA57" i="5"/>
  <c r="BB56" i="5"/>
  <c r="BB57" i="5"/>
  <c r="BC57" i="5"/>
  <c r="BD56" i="5"/>
  <c r="BD58" i="5" s="1"/>
  <c r="BG56" i="5"/>
  <c r="BG58" i="5" s="1"/>
  <c r="BI56" i="5"/>
  <c r="BK57" i="5"/>
  <c r="BK56" i="5"/>
  <c r="BO56" i="5"/>
  <c r="BP57" i="5"/>
  <c r="K56" i="5"/>
  <c r="W57" i="5"/>
  <c r="Z56" i="5"/>
  <c r="AH56" i="5"/>
  <c r="AH58" i="5" s="1"/>
  <c r="AH65" i="5" s="1"/>
  <c r="AJ57" i="5"/>
  <c r="AN56" i="5"/>
  <c r="AN58" i="5" s="1"/>
  <c r="AO56" i="5"/>
  <c r="AO58" i="5" s="1"/>
  <c r="AQ56" i="5"/>
  <c r="AS56" i="5"/>
  <c r="AS58" i="5" s="1"/>
  <c r="AV57" i="5"/>
  <c r="BA56" i="5"/>
  <c r="BA58" i="5" s="1"/>
  <c r="BJ57" i="5"/>
  <c r="BN57" i="5"/>
  <c r="BP56" i="5"/>
  <c r="BQ57" i="5"/>
  <c r="BR56" i="5"/>
  <c r="BT56" i="5"/>
  <c r="BX56" i="5"/>
  <c r="BZ56" i="5"/>
  <c r="BZ58" i="5" s="1"/>
  <c r="CB57" i="5"/>
  <c r="CE56" i="5"/>
  <c r="CJ56" i="5"/>
  <c r="CL57" i="5"/>
  <c r="CN56" i="5"/>
  <c r="CT57" i="5"/>
  <c r="CW57" i="5"/>
  <c r="CX57" i="5"/>
  <c r="CY57" i="5"/>
  <c r="CZ57" i="5"/>
  <c r="DA57" i="5"/>
  <c r="DD56" i="5"/>
  <c r="DI57" i="5"/>
  <c r="DO56" i="5"/>
  <c r="DO57" i="5"/>
  <c r="DQ56" i="5"/>
  <c r="DQ58" i="5" s="1"/>
  <c r="DQ59" i="5" s="1"/>
  <c r="DT56" i="5"/>
  <c r="DV56" i="5"/>
  <c r="DX57" i="5"/>
  <c r="DZ57" i="5"/>
  <c r="EB57" i="5"/>
  <c r="ED56" i="5"/>
  <c r="EC57" i="5"/>
  <c r="X57" i="5"/>
  <c r="AB56" i="5"/>
  <c r="AB58" i="5" s="1"/>
  <c r="AB59" i="5" s="1"/>
  <c r="AF56" i="5"/>
  <c r="AL57" i="5"/>
  <c r="AU56" i="5"/>
  <c r="AX57" i="5"/>
  <c r="AY57" i="5"/>
  <c r="BJ56" i="5"/>
  <c r="BL57" i="5"/>
  <c r="BR57" i="5"/>
  <c r="BU56" i="5"/>
  <c r="BX57" i="5"/>
  <c r="D57" i="5"/>
  <c r="D58" i="5" s="1"/>
  <c r="M56" i="5"/>
  <c r="M58" i="5" s="1"/>
  <c r="M59" i="5" s="1"/>
  <c r="V56" i="5"/>
  <c r="V58" i="5" s="1"/>
  <c r="Y57" i="5"/>
  <c r="AC56" i="5"/>
  <c r="AC58" i="5" s="1"/>
  <c r="AE56" i="5"/>
  <c r="AM57" i="5"/>
  <c r="AM58" i="5" s="1"/>
  <c r="AU57" i="5"/>
  <c r="AW56" i="5"/>
  <c r="AX56" i="5"/>
  <c r="AY56" i="5"/>
  <c r="AY58" i="5" s="1"/>
  <c r="BC56" i="5"/>
  <c r="BC58" i="5" s="1"/>
  <c r="BE57" i="5"/>
  <c r="BL56" i="5"/>
  <c r="BN56" i="5"/>
  <c r="BN58" i="5" s="1"/>
  <c r="BO57" i="5"/>
  <c r="BW56" i="5"/>
  <c r="CA57" i="5"/>
  <c r="CC57" i="5"/>
  <c r="CI56" i="5"/>
  <c r="CJ57" i="5"/>
  <c r="CK56" i="5"/>
  <c r="CM56" i="5"/>
  <c r="CN57" i="5"/>
  <c r="CP57" i="5"/>
  <c r="CR57" i="5"/>
  <c r="CW56" i="5"/>
  <c r="CZ56" i="5"/>
  <c r="DB57" i="5"/>
  <c r="DD57" i="5"/>
  <c r="DE56" i="5"/>
  <c r="DG57" i="5"/>
  <c r="DN57" i="5"/>
  <c r="DP57" i="5"/>
  <c r="DS57" i="5"/>
  <c r="DY57" i="5"/>
  <c r="EA56" i="5"/>
  <c r="EB56" i="5"/>
  <c r="EB58" i="5" s="1"/>
  <c r="Q57" i="5"/>
  <c r="Z57" i="5"/>
  <c r="AI57" i="5"/>
  <c r="AK56" i="5"/>
  <c r="BT57" i="5"/>
  <c r="BU57" i="5"/>
  <c r="BV56" i="5"/>
  <c r="BY57" i="5"/>
  <c r="BZ57" i="5"/>
  <c r="BF56" i="5"/>
  <c r="BF58" i="5" s="1"/>
  <c r="BY56" i="5"/>
  <c r="CD57" i="5"/>
  <c r="CG56" i="5"/>
  <c r="CI57" i="5"/>
  <c r="CK57" i="5"/>
  <c r="CO57" i="5"/>
  <c r="CP56" i="5"/>
  <c r="CR56" i="5"/>
  <c r="CU56" i="5"/>
  <c r="DB56" i="5"/>
  <c r="DF57" i="5"/>
  <c r="DH57" i="5"/>
  <c r="DJ57" i="5"/>
  <c r="DM56" i="5"/>
  <c r="DN56" i="5"/>
  <c r="DR57" i="5"/>
  <c r="DT57" i="5"/>
  <c r="DX56" i="5"/>
  <c r="EA57" i="5"/>
  <c r="DM57" i="5"/>
  <c r="DU56" i="5"/>
  <c r="DV57" i="5"/>
  <c r="DV58" i="5" s="1"/>
  <c r="BE56" i="5"/>
  <c r="CA56" i="5"/>
  <c r="CH56" i="5"/>
  <c r="CH58" i="5" s="1"/>
  <c r="CS56" i="5"/>
  <c r="CV57" i="5"/>
  <c r="CX56" i="5"/>
  <c r="DH56" i="5"/>
  <c r="DH58" i="5" s="1"/>
  <c r="DL57" i="5"/>
  <c r="DQ57" i="5"/>
  <c r="EC56" i="5"/>
  <c r="EC58" i="5" s="1"/>
  <c r="S56" i="5"/>
  <c r="S58" i="5" s="1"/>
  <c r="AD56" i="5"/>
  <c r="BI57" i="5"/>
  <c r="BQ56" i="5"/>
  <c r="BV57" i="5"/>
  <c r="CF56" i="5"/>
  <c r="CM57" i="5"/>
  <c r="CO56" i="5"/>
  <c r="CS57" i="5"/>
  <c r="CV56" i="5"/>
  <c r="CY56" i="5"/>
  <c r="DK56" i="5"/>
  <c r="DK58" i="5" s="1"/>
  <c r="DU57" i="5"/>
  <c r="DU58" i="5" s="1"/>
  <c r="AZ56" i="5"/>
  <c r="BH57" i="5"/>
  <c r="BM56" i="5"/>
  <c r="BM58" i="5" s="1"/>
  <c r="BS56" i="5"/>
  <c r="BS58" i="5" s="1"/>
  <c r="CC56" i="5"/>
  <c r="CC58" i="5" s="1"/>
  <c r="CF57" i="5"/>
  <c r="CH57" i="5"/>
  <c r="CL56" i="5"/>
  <c r="CL58" i="5" s="1"/>
  <c r="CQ57" i="5"/>
  <c r="DK57" i="5"/>
  <c r="DW57" i="5"/>
  <c r="DY56" i="5"/>
  <c r="DY58" i="5" s="1"/>
  <c r="ED57" i="5"/>
  <c r="CB56" i="5"/>
  <c r="CE57" i="5"/>
  <c r="CU57" i="5"/>
  <c r="DC57" i="5"/>
  <c r="DF56" i="5"/>
  <c r="DF58" i="5" s="1"/>
  <c r="DI56" i="5"/>
  <c r="DJ56" i="5"/>
  <c r="DJ58" i="5" s="1"/>
  <c r="DR56" i="5"/>
  <c r="DW56" i="5"/>
  <c r="DZ56" i="5"/>
  <c r="F57" i="5"/>
  <c r="AF57" i="5"/>
  <c r="BS57" i="5"/>
  <c r="BW57" i="5"/>
  <c r="CD56" i="5"/>
  <c r="CG57" i="5"/>
  <c r="CQ56" i="5"/>
  <c r="CT56" i="5"/>
  <c r="CT58" i="5" s="1"/>
  <c r="DA56" i="5"/>
  <c r="DA58" i="5" s="1"/>
  <c r="DA65" i="5" s="1"/>
  <c r="DC56" i="5"/>
  <c r="DC58" i="5" s="1"/>
  <c r="DC65" i="5" s="1"/>
  <c r="DE57" i="5"/>
  <c r="DG56" i="5"/>
  <c r="DG58" i="5" s="1"/>
  <c r="DG59" i="5" s="1"/>
  <c r="DL56" i="5"/>
  <c r="DP56" i="5"/>
  <c r="DP58" i="5" s="1"/>
  <c r="DP59" i="5" s="1"/>
  <c r="DS56" i="5"/>
  <c r="DS58" i="5" s="1"/>
  <c r="D26" i="3"/>
  <c r="E26" i="3" s="1"/>
  <c r="H22" i="2"/>
  <c r="D40" i="3"/>
  <c r="E40" i="3" s="1"/>
  <c r="AC68" i="5"/>
  <c r="T68" i="5"/>
  <c r="N68" i="5"/>
  <c r="BJ68" i="5"/>
  <c r="AZ68" i="5"/>
  <c r="BL68" i="5"/>
  <c r="CG68" i="5"/>
  <c r="DC68" i="5"/>
  <c r="AJ68" i="5"/>
  <c r="I44" i="6"/>
  <c r="D68" i="5" s="1"/>
  <c r="BF68" i="5"/>
  <c r="BW68" i="5"/>
  <c r="BY68" i="5"/>
  <c r="CE68" i="5"/>
  <c r="CF68" i="5"/>
  <c r="CI68" i="5"/>
  <c r="CO68" i="5"/>
  <c r="CQ68" i="5"/>
  <c r="CV68" i="5"/>
  <c r="CY68" i="5"/>
  <c r="CZ68" i="5"/>
  <c r="DG68" i="5"/>
  <c r="DK68" i="5"/>
  <c r="DM68" i="5"/>
  <c r="DT68" i="5"/>
  <c r="DW68" i="5"/>
  <c r="DZ68" i="5"/>
  <c r="C68" i="5"/>
  <c r="AI68" i="5"/>
  <c r="AR68" i="5"/>
  <c r="BN68" i="5"/>
  <c r="CN68" i="5"/>
  <c r="DY68" i="5"/>
  <c r="EC68" i="5"/>
  <c r="CM68" i="5"/>
  <c r="CP68" i="5"/>
  <c r="DE68" i="5"/>
  <c r="DI68" i="5"/>
  <c r="DO68" i="5"/>
  <c r="DV68" i="5"/>
  <c r="AV68" i="5"/>
  <c r="CJ68" i="5"/>
  <c r="DD68" i="5"/>
  <c r="DL68" i="5"/>
  <c r="DN68" i="5"/>
  <c r="EB68" i="5"/>
  <c r="AN68" i="5"/>
  <c r="BB68" i="5"/>
  <c r="BO68" i="5"/>
  <c r="CL68" i="5"/>
  <c r="DF68" i="5"/>
  <c r="DJ68" i="5"/>
  <c r="BK68" i="5"/>
  <c r="ED68" i="5"/>
  <c r="AA68" i="5"/>
  <c r="BP68" i="5"/>
  <c r="CB68" i="5"/>
  <c r="DX68" i="5"/>
  <c r="AB65" i="5"/>
  <c r="L65" i="5"/>
  <c r="DG65" i="5"/>
  <c r="DC59" i="5"/>
  <c r="V65" i="5"/>
  <c r="V59" i="5"/>
  <c r="DQ65" i="5"/>
  <c r="G65" i="5"/>
  <c r="G59" i="5"/>
  <c r="AH59" i="5"/>
  <c r="N65" i="5"/>
  <c r="M65" i="5"/>
  <c r="DS65" i="5"/>
  <c r="DS59" i="5"/>
  <c r="DA59" i="5"/>
  <c r="H12" i="3"/>
  <c r="D23" i="7"/>
  <c r="D32" i="7"/>
  <c r="D42" i="7"/>
  <c r="D61" i="7"/>
  <c r="D82" i="7"/>
  <c r="E8" i="7"/>
  <c r="D38" i="7"/>
  <c r="D40" i="7"/>
  <c r="D33" i="7"/>
  <c r="D36" i="7"/>
  <c r="D72" i="7"/>
  <c r="D88" i="7"/>
  <c r="D45" i="7"/>
  <c r="D39" i="7"/>
  <c r="D83" i="7"/>
  <c r="D85" i="7"/>
  <c r="D69" i="7"/>
  <c r="D22" i="7"/>
  <c r="D30" i="7"/>
  <c r="D44" i="7"/>
  <c r="D66" i="7"/>
  <c r="D73" i="7"/>
  <c r="D84" i="7"/>
  <c r="D86" i="7"/>
  <c r="D41" i="7"/>
  <c r="D90" i="7"/>
  <c r="C49" i="5"/>
  <c r="E49" i="5"/>
  <c r="E27" i="5" s="1"/>
  <c r="I49" i="5"/>
  <c r="I27" i="5" s="1"/>
  <c r="M49" i="5"/>
  <c r="M27" i="5" s="1"/>
  <c r="Q49" i="5"/>
  <c r="Q27" i="5" s="1"/>
  <c r="U49" i="5"/>
  <c r="U27" i="5" s="1"/>
  <c r="Y49" i="5"/>
  <c r="Y27" i="5" s="1"/>
  <c r="AC49" i="5"/>
  <c r="AC27" i="5" s="1"/>
  <c r="AG49" i="5"/>
  <c r="AG27" i="5" s="1"/>
  <c r="AK49" i="5"/>
  <c r="AK27" i="5" s="1"/>
  <c r="AO49" i="5"/>
  <c r="AO27" i="5" s="1"/>
  <c r="AS49" i="5"/>
  <c r="AS27" i="5" s="1"/>
  <c r="AW49" i="5"/>
  <c r="AW27" i="5" s="1"/>
  <c r="BA49" i="5"/>
  <c r="BE49" i="5"/>
  <c r="BI49" i="5"/>
  <c r="BM49" i="5"/>
  <c r="BQ49" i="5"/>
  <c r="BU49" i="5"/>
  <c r="BY49" i="5"/>
  <c r="CC49" i="5"/>
  <c r="CC27" i="5" s="1"/>
  <c r="CG49" i="5"/>
  <c r="CK49" i="5"/>
  <c r="CO49" i="5"/>
  <c r="CS49" i="5"/>
  <c r="CS27" i="5" s="1"/>
  <c r="CW49" i="5"/>
  <c r="DA49" i="5"/>
  <c r="DE49" i="5"/>
  <c r="DI49" i="5"/>
  <c r="DI27" i="5" s="1"/>
  <c r="DM49" i="5"/>
  <c r="DQ49" i="5"/>
  <c r="DU49" i="5"/>
  <c r="DY49" i="5"/>
  <c r="DY27" i="5" s="1"/>
  <c r="EC49" i="5"/>
  <c r="B49" i="5"/>
  <c r="B49" i="7" s="1"/>
  <c r="F49" i="5"/>
  <c r="F27" i="5" s="1"/>
  <c r="J49" i="5"/>
  <c r="J27" i="5" s="1"/>
  <c r="N49" i="5"/>
  <c r="N27" i="5" s="1"/>
  <c r="R49" i="5"/>
  <c r="R27" i="5" s="1"/>
  <c r="V49" i="5"/>
  <c r="V27" i="5" s="1"/>
  <c r="Z49" i="5"/>
  <c r="Z27" i="5" s="1"/>
  <c r="AD49" i="5"/>
  <c r="AD27" i="5" s="1"/>
  <c r="AH49" i="5"/>
  <c r="AH27" i="5" s="1"/>
  <c r="AL49" i="5"/>
  <c r="AL27" i="5" s="1"/>
  <c r="AP49" i="5"/>
  <c r="AP27" i="5" s="1"/>
  <c r="AT49" i="5"/>
  <c r="AT27" i="5" s="1"/>
  <c r="AX49" i="5"/>
  <c r="AX27" i="5" s="1"/>
  <c r="BB49" i="5"/>
  <c r="BF49" i="5"/>
  <c r="BJ49" i="5"/>
  <c r="BN49" i="5"/>
  <c r="BR49" i="5"/>
  <c r="BV49" i="5"/>
  <c r="BZ49" i="5"/>
  <c r="CD49" i="5"/>
  <c r="CH49" i="5"/>
  <c r="CL49" i="5"/>
  <c r="CL27" i="5" s="1"/>
  <c r="CP49" i="5"/>
  <c r="CT49" i="5"/>
  <c r="CX49" i="5"/>
  <c r="DB49" i="5"/>
  <c r="DB27" i="5" s="1"/>
  <c r="DF49" i="5"/>
  <c r="DJ49" i="5"/>
  <c r="DN49" i="5"/>
  <c r="DR49" i="5"/>
  <c r="DR27" i="5" s="1"/>
  <c r="DV49" i="5"/>
  <c r="DZ49" i="5"/>
  <c r="ED49" i="5"/>
  <c r="G49" i="5"/>
  <c r="G27" i="5" s="1"/>
  <c r="K49" i="5"/>
  <c r="K27" i="5" s="1"/>
  <c r="O49" i="5"/>
  <c r="S49" i="5"/>
  <c r="S27" i="5" s="1"/>
  <c r="W49" i="5"/>
  <c r="W27" i="5" s="1"/>
  <c r="AA49" i="5"/>
  <c r="AE49" i="5"/>
  <c r="AE27" i="5" s="1"/>
  <c r="AI49" i="5"/>
  <c r="AI27" i="5" s="1"/>
  <c r="AM49" i="5"/>
  <c r="AQ49" i="5"/>
  <c r="AQ27" i="5" s="1"/>
  <c r="AU49" i="5"/>
  <c r="AU27" i="5" s="1"/>
  <c r="AY49" i="5"/>
  <c r="BC49" i="5"/>
  <c r="BG49" i="5"/>
  <c r="BK49" i="5"/>
  <c r="BO49" i="5"/>
  <c r="BS49" i="5"/>
  <c r="BW49" i="5"/>
  <c r="CA49" i="5"/>
  <c r="CE49" i="5"/>
  <c r="CI49" i="5"/>
  <c r="CM49" i="5"/>
  <c r="CQ49" i="5"/>
  <c r="CU49" i="5"/>
  <c r="CY49" i="5"/>
  <c r="CY27" i="5" s="1"/>
  <c r="DC49" i="5"/>
  <c r="DG49" i="5"/>
  <c r="DK49" i="5"/>
  <c r="DO49" i="5"/>
  <c r="DO27" i="5" s="1"/>
  <c r="DS49" i="5"/>
  <c r="DW49" i="5"/>
  <c r="EA49" i="5"/>
  <c r="D49" i="5"/>
  <c r="D27" i="5" s="1"/>
  <c r="T49" i="5"/>
  <c r="T27" i="5" s="1"/>
  <c r="AJ49" i="5"/>
  <c r="AJ27" i="5" s="1"/>
  <c r="AZ49" i="5"/>
  <c r="BP49" i="5"/>
  <c r="CF49" i="5"/>
  <c r="CV49" i="5"/>
  <c r="DL49" i="5"/>
  <c r="EB49" i="5"/>
  <c r="EB27" i="5" s="1"/>
  <c r="BL49" i="5"/>
  <c r="H49" i="5"/>
  <c r="H27" i="5" s="1"/>
  <c r="X49" i="5"/>
  <c r="X27" i="5" s="1"/>
  <c r="AN49" i="5"/>
  <c r="AN27" i="5" s="1"/>
  <c r="BD49" i="5"/>
  <c r="BT49" i="5"/>
  <c r="CJ49" i="5"/>
  <c r="CZ49" i="5"/>
  <c r="CZ27" i="5" s="1"/>
  <c r="DP49" i="5"/>
  <c r="CB49" i="5"/>
  <c r="DH49" i="5"/>
  <c r="L49" i="5"/>
  <c r="L27" i="5" s="1"/>
  <c r="AB49" i="5"/>
  <c r="AB27" i="5" s="1"/>
  <c r="AR49" i="5"/>
  <c r="AR27" i="5" s="1"/>
  <c r="BH49" i="5"/>
  <c r="BX49" i="5"/>
  <c r="CN49" i="5"/>
  <c r="DD49" i="5"/>
  <c r="DT49" i="5"/>
  <c r="P49" i="5"/>
  <c r="P27" i="5" s="1"/>
  <c r="AF49" i="5"/>
  <c r="AF27" i="5" s="1"/>
  <c r="AV49" i="5"/>
  <c r="AV27" i="5" s="1"/>
  <c r="CR49" i="5"/>
  <c r="DX49" i="5"/>
  <c r="DX27" i="5" s="1"/>
  <c r="DS85" i="5"/>
  <c r="E90" i="7"/>
  <c r="BK85" i="5"/>
  <c r="AE85" i="5"/>
  <c r="C90" i="7"/>
  <c r="D85" i="5"/>
  <c r="C91" i="7" s="1"/>
  <c r="D91" i="7"/>
  <c r="DT27" i="5" l="1"/>
  <c r="DH27" i="5"/>
  <c r="CJ27" i="5"/>
  <c r="DL27" i="5"/>
  <c r="EA27" i="5"/>
  <c r="DK27" i="5"/>
  <c r="CE27" i="5"/>
  <c r="ED27" i="5"/>
  <c r="DN27" i="5"/>
  <c r="CX27" i="5"/>
  <c r="CH27" i="5"/>
  <c r="DU27" i="5"/>
  <c r="DE27" i="5"/>
  <c r="CO27" i="5"/>
  <c r="O68" i="5"/>
  <c r="DB68" i="5"/>
  <c r="CD68" i="5"/>
  <c r="BC68" i="5"/>
  <c r="AY68" i="5"/>
  <c r="BE68" i="5"/>
  <c r="M68" i="5"/>
  <c r="Q68" i="5"/>
  <c r="Z68" i="5"/>
  <c r="CD58" i="5"/>
  <c r="CD65" i="5" s="1"/>
  <c r="CS58" i="5"/>
  <c r="DT58" i="5"/>
  <c r="BY58" i="5"/>
  <c r="DB58" i="5"/>
  <c r="DB65" i="5" s="1"/>
  <c r="AU58" i="5"/>
  <c r="DD58" i="5"/>
  <c r="Z58" i="5"/>
  <c r="BO58" i="5"/>
  <c r="BO65" i="5" s="1"/>
  <c r="BB58" i="5"/>
  <c r="Q58" i="5"/>
  <c r="E58" i="5"/>
  <c r="Y58" i="5"/>
  <c r="Y59" i="5" s="1"/>
  <c r="AM63" i="5"/>
  <c r="F68" i="7"/>
  <c r="CR27" i="5"/>
  <c r="DD27" i="5"/>
  <c r="CV27" i="5"/>
  <c r="DW27" i="5"/>
  <c r="CQ27" i="5"/>
  <c r="DZ27" i="5"/>
  <c r="DJ27" i="5"/>
  <c r="CT27" i="5"/>
  <c r="CD27" i="5"/>
  <c r="DQ27" i="5"/>
  <c r="DA27" i="5"/>
  <c r="CK27" i="5"/>
  <c r="DP65" i="5"/>
  <c r="CA68" i="5"/>
  <c r="BM68" i="5"/>
  <c r="BT68" i="5"/>
  <c r="DS68" i="5"/>
  <c r="CU68" i="5"/>
  <c r="BV68" i="5"/>
  <c r="AD68" i="5"/>
  <c r="AF68" i="5"/>
  <c r="AX68" i="5"/>
  <c r="H68" i="5"/>
  <c r="AK68" i="5"/>
  <c r="F68" i="5"/>
  <c r="DI58" i="5"/>
  <c r="DI59" i="5" s="1"/>
  <c r="CO58" i="5"/>
  <c r="CR58" i="5"/>
  <c r="BJ58" i="5"/>
  <c r="AL58" i="5"/>
  <c r="AL65" i="5" s="1"/>
  <c r="BP58" i="5"/>
  <c r="AT58" i="5"/>
  <c r="AE58" i="5"/>
  <c r="O58" i="5"/>
  <c r="O65" i="5" s="1"/>
  <c r="CN27" i="5"/>
  <c r="DP27" i="5"/>
  <c r="CF27" i="5"/>
  <c r="DS27" i="5"/>
  <c r="DC27" i="5"/>
  <c r="CM27" i="5"/>
  <c r="DF27" i="5"/>
  <c r="CP27" i="5"/>
  <c r="EC27" i="5"/>
  <c r="DM27" i="5"/>
  <c r="CW27" i="5"/>
  <c r="CG27" i="5"/>
  <c r="DR68" i="5"/>
  <c r="DA68" i="5"/>
  <c r="CR68" i="5"/>
  <c r="CH68" i="5"/>
  <c r="BZ68" i="5"/>
  <c r="BG68" i="5"/>
  <c r="BS68" i="5"/>
  <c r="DQ68" i="5"/>
  <c r="CT68" i="5"/>
  <c r="BU68" i="5"/>
  <c r="R68" i="5"/>
  <c r="Y68" i="5"/>
  <c r="AU68" i="5"/>
  <c r="AB68" i="5"/>
  <c r="AH68" i="5"/>
  <c r="E68" i="5"/>
  <c r="CQ58" i="5"/>
  <c r="CB58" i="5"/>
  <c r="CY58" i="5"/>
  <c r="K58" i="5"/>
  <c r="K59" i="5" s="1"/>
  <c r="E32" i="3"/>
  <c r="E31" i="3"/>
  <c r="L21" i="2"/>
  <c r="D22" i="2"/>
  <c r="DJ59" i="5"/>
  <c r="DJ65" i="5"/>
  <c r="DY59" i="5"/>
  <c r="DY65" i="5"/>
  <c r="CL59" i="5"/>
  <c r="CL65" i="5"/>
  <c r="BS59" i="5"/>
  <c r="BS65" i="5"/>
  <c r="DU59" i="5"/>
  <c r="DU65" i="5"/>
  <c r="CS65" i="5"/>
  <c r="CS59" i="5"/>
  <c r="S59" i="5"/>
  <c r="S65" i="5"/>
  <c r="DH65" i="5"/>
  <c r="DH59" i="5"/>
  <c r="CH65" i="5"/>
  <c r="CH59" i="5"/>
  <c r="DT65" i="5"/>
  <c r="DT59" i="5"/>
  <c r="CU58" i="5"/>
  <c r="BY59" i="5"/>
  <c r="BY65" i="5"/>
  <c r="BV58" i="5"/>
  <c r="DB59" i="5"/>
  <c r="AC65" i="5"/>
  <c r="AC59" i="5"/>
  <c r="D59" i="5"/>
  <c r="D65" i="5"/>
  <c r="AU59" i="5"/>
  <c r="AU65" i="5"/>
  <c r="DD59" i="5"/>
  <c r="DD65" i="5"/>
  <c r="BZ65" i="5"/>
  <c r="BZ59" i="5"/>
  <c r="BA59" i="5"/>
  <c r="BA65" i="5"/>
  <c r="AO59" i="5"/>
  <c r="AO65" i="5"/>
  <c r="Z59" i="5"/>
  <c r="Z65" i="5"/>
  <c r="BG59" i="5"/>
  <c r="BG65" i="5"/>
  <c r="BB65" i="5"/>
  <c r="BB59" i="5"/>
  <c r="AW58" i="5"/>
  <c r="Q65" i="5"/>
  <c r="Q59" i="5"/>
  <c r="P58" i="5"/>
  <c r="D62" i="7"/>
  <c r="J65" i="5"/>
  <c r="J59" i="5"/>
  <c r="E59" i="5"/>
  <c r="E65" i="5"/>
  <c r="Y65" i="5"/>
  <c r="D63" i="7"/>
  <c r="F26" i="3"/>
  <c r="CT65" i="5"/>
  <c r="CT59" i="5"/>
  <c r="BW58" i="5"/>
  <c r="DZ58" i="5"/>
  <c r="DI65" i="5"/>
  <c r="BM59" i="5"/>
  <c r="BM65" i="5"/>
  <c r="DK59" i="5"/>
  <c r="DK65" i="5"/>
  <c r="CO65" i="5"/>
  <c r="CO59" i="5"/>
  <c r="BQ58" i="5"/>
  <c r="EC65" i="5"/>
  <c r="EC59" i="5"/>
  <c r="CX58" i="5"/>
  <c r="BF59" i="5"/>
  <c r="BF65" i="5"/>
  <c r="CI58" i="5"/>
  <c r="BC65" i="5"/>
  <c r="BC59" i="5"/>
  <c r="BJ65" i="5"/>
  <c r="BJ59" i="5"/>
  <c r="AL59" i="5"/>
  <c r="CJ58" i="5"/>
  <c r="BX58" i="5"/>
  <c r="BP65" i="5"/>
  <c r="BP59" i="5"/>
  <c r="AN65" i="5"/>
  <c r="AN59" i="5"/>
  <c r="BD65" i="5"/>
  <c r="BD59" i="5"/>
  <c r="AI58" i="5"/>
  <c r="AT65" i="5"/>
  <c r="AT59" i="5"/>
  <c r="AP58" i="5"/>
  <c r="AE65" i="5"/>
  <c r="AE59" i="5"/>
  <c r="W58" i="5"/>
  <c r="X58" i="5"/>
  <c r="AS68" i="5"/>
  <c r="BI68" i="5"/>
  <c r="EA68" i="5"/>
  <c r="DP68" i="5"/>
  <c r="CX68" i="5"/>
  <c r="CS68" i="5"/>
  <c r="CC68" i="5"/>
  <c r="BR68" i="5"/>
  <c r="AW68" i="5"/>
  <c r="P68" i="5"/>
  <c r="AT68" i="5"/>
  <c r="U68" i="5"/>
  <c r="BD68" i="5"/>
  <c r="V68" i="5"/>
  <c r="L68" i="5"/>
  <c r="X68" i="5"/>
  <c r="AM68" i="5"/>
  <c r="AG68" i="5"/>
  <c r="I68" i="5"/>
  <c r="CQ59" i="5"/>
  <c r="CQ65" i="5"/>
  <c r="DW58" i="5"/>
  <c r="DF65" i="5"/>
  <c r="DF59" i="5"/>
  <c r="CB59" i="5"/>
  <c r="CB65" i="5"/>
  <c r="CV58" i="5"/>
  <c r="BE58" i="5"/>
  <c r="EA58" i="5"/>
  <c r="DN58" i="5"/>
  <c r="CP58" i="5"/>
  <c r="CG58" i="5"/>
  <c r="DE58" i="5"/>
  <c r="CW58" i="5"/>
  <c r="CM58" i="5"/>
  <c r="BN59" i="5"/>
  <c r="BN65" i="5"/>
  <c r="AY59" i="5"/>
  <c r="AY65" i="5"/>
  <c r="AM59" i="5"/>
  <c r="AM65" i="5"/>
  <c r="BU58" i="5"/>
  <c r="AF58" i="5"/>
  <c r="ED58" i="5"/>
  <c r="DO58" i="5"/>
  <c r="CZ58" i="5"/>
  <c r="CE58" i="5"/>
  <c r="BT58" i="5"/>
  <c r="AS59" i="5"/>
  <c r="AS65" i="5"/>
  <c r="BK58" i="5"/>
  <c r="AV58" i="5"/>
  <c r="I58" i="5"/>
  <c r="C63" i="7"/>
  <c r="R58" i="5"/>
  <c r="C58" i="5"/>
  <c r="C62" i="7"/>
  <c r="H58" i="5"/>
  <c r="H45" i="6"/>
  <c r="K44" i="6"/>
  <c r="AP68" i="5"/>
  <c r="DU68" i="5"/>
  <c r="DH68" i="5"/>
  <c r="CW68" i="5"/>
  <c r="CK68" i="5"/>
  <c r="BX68" i="5"/>
  <c r="BQ68" i="5"/>
  <c r="AQ68" i="5"/>
  <c r="BH68" i="5"/>
  <c r="AO68" i="5"/>
  <c r="J68" i="5"/>
  <c r="BA68" i="5"/>
  <c r="S68" i="5"/>
  <c r="K68" i="5"/>
  <c r="W68" i="5"/>
  <c r="AL68" i="5"/>
  <c r="AE68" i="5"/>
  <c r="G68" i="5"/>
  <c r="E46" i="3"/>
  <c r="F40" i="3"/>
  <c r="DR58" i="5"/>
  <c r="CC59" i="5"/>
  <c r="CC65" i="5"/>
  <c r="CF58" i="5"/>
  <c r="AD58" i="5"/>
  <c r="DL58" i="5"/>
  <c r="DV59" i="5"/>
  <c r="DV65" i="5"/>
  <c r="DX58" i="5"/>
  <c r="DM58" i="5"/>
  <c r="AK58" i="5"/>
  <c r="EB65" i="5"/>
  <c r="EB59" i="5"/>
  <c r="CK58" i="5"/>
  <c r="CA58" i="5"/>
  <c r="BL58" i="5"/>
  <c r="AX58" i="5"/>
  <c r="CN58" i="5"/>
  <c r="BR58" i="5"/>
  <c r="AQ58" i="5"/>
  <c r="BI58" i="5"/>
  <c r="AG58" i="5"/>
  <c r="BH58" i="5"/>
  <c r="AZ58" i="5"/>
  <c r="AR58" i="5"/>
  <c r="AA58" i="5"/>
  <c r="T58" i="5"/>
  <c r="F58" i="5"/>
  <c r="R18" i="6"/>
  <c r="C47" i="5"/>
  <c r="J47" i="5"/>
  <c r="J25" i="5" s="1"/>
  <c r="M48" i="5"/>
  <c r="M26" i="5" s="1"/>
  <c r="N47" i="5"/>
  <c r="N25" i="5" s="1"/>
  <c r="P46" i="5"/>
  <c r="T47" i="5"/>
  <c r="T25" i="5" s="1"/>
  <c r="AB46" i="5"/>
  <c r="AF47" i="5"/>
  <c r="AF25" i="5" s="1"/>
  <c r="AJ48" i="5"/>
  <c r="AJ26" i="5" s="1"/>
  <c r="AK46" i="5"/>
  <c r="AN46" i="5"/>
  <c r="AP48" i="5"/>
  <c r="AP26" i="5" s="1"/>
  <c r="AP46" i="5"/>
  <c r="AQ46" i="5"/>
  <c r="AR46" i="5"/>
  <c r="I20" i="6"/>
  <c r="H46" i="5"/>
  <c r="I46" i="5"/>
  <c r="N48" i="5"/>
  <c r="N26" i="5" s="1"/>
  <c r="O46" i="5"/>
  <c r="R47" i="5"/>
  <c r="S46" i="5"/>
  <c r="U46" i="5"/>
  <c r="X46" i="5"/>
  <c r="Y47" i="5"/>
  <c r="Y25" i="5" s="1"/>
  <c r="Z47" i="5"/>
  <c r="Z25" i="5" s="1"/>
  <c r="D31" i="6"/>
  <c r="U14" i="5" s="1"/>
  <c r="G46" i="5"/>
  <c r="P47" i="5"/>
  <c r="P25" i="5" s="1"/>
  <c r="R25" i="5"/>
  <c r="T48" i="5"/>
  <c r="AE48" i="5"/>
  <c r="AE26" i="5" s="1"/>
  <c r="AJ47" i="5"/>
  <c r="AM46" i="5"/>
  <c r="AV46" i="5"/>
  <c r="AW47" i="5"/>
  <c r="AW25" i="5" s="1"/>
  <c r="AZ47" i="5"/>
  <c r="BB27" i="5"/>
  <c r="BC27" i="5"/>
  <c r="BG27" i="5"/>
  <c r="BI46" i="5"/>
  <c r="BJ48" i="5"/>
  <c r="BJ26" i="5" s="1"/>
  <c r="BK46" i="5"/>
  <c r="BK47" i="5"/>
  <c r="BK25" i="5" s="1"/>
  <c r="BL47" i="5"/>
  <c r="BL25" i="5" s="1"/>
  <c r="BL48" i="5"/>
  <c r="BN48" i="5"/>
  <c r="BN26" i="5" s="1"/>
  <c r="N18" i="6"/>
  <c r="D47" i="5"/>
  <c r="D25" i="5" s="1"/>
  <c r="G48" i="5"/>
  <c r="G26" i="5" s="1"/>
  <c r="Q47" i="5"/>
  <c r="Q25" i="5" s="1"/>
  <c r="R46" i="5"/>
  <c r="T26" i="5"/>
  <c r="V48" i="5"/>
  <c r="V26" i="5" s="1"/>
  <c r="X48" i="5"/>
  <c r="X26" i="5" s="1"/>
  <c r="Z46" i="5"/>
  <c r="AJ46" i="5"/>
  <c r="AJ25" i="5"/>
  <c r="AK47" i="5"/>
  <c r="AK25" i="5" s="1"/>
  <c r="AN47" i="5"/>
  <c r="AQ48" i="5"/>
  <c r="AQ26" i="5" s="1"/>
  <c r="AR48" i="5"/>
  <c r="AR26" i="5" s="1"/>
  <c r="AS46" i="5"/>
  <c r="AU46" i="5"/>
  <c r="AV47" i="5"/>
  <c r="AV25" i="5" s="1"/>
  <c r="AW46" i="5"/>
  <c r="AY27" i="5"/>
  <c r="AZ48" i="5"/>
  <c r="AZ26" i="5" s="1"/>
  <c r="BA46" i="5"/>
  <c r="BC47" i="5"/>
  <c r="BD47" i="5"/>
  <c r="BD25" i="5" s="1"/>
  <c r="BE46" i="5"/>
  <c r="BF27" i="5"/>
  <c r="BL46" i="5"/>
  <c r="BL26" i="5"/>
  <c r="BM47" i="5"/>
  <c r="BN27" i="5"/>
  <c r="BQ48" i="5"/>
  <c r="J48" i="5"/>
  <c r="J26" i="5" s="1"/>
  <c r="Y46" i="5"/>
  <c r="AL48" i="5"/>
  <c r="AL26" i="5" s="1"/>
  <c r="AM47" i="5"/>
  <c r="AM25" i="5" s="1"/>
  <c r="AY48" i="5"/>
  <c r="AY26" i="5" s="1"/>
  <c r="BI47" i="5"/>
  <c r="BI25" i="5" s="1"/>
  <c r="BK48" i="5"/>
  <c r="BK26" i="5" s="1"/>
  <c r="BM25" i="5"/>
  <c r="BO48" i="5"/>
  <c r="BO26" i="5" s="1"/>
  <c r="BW48" i="5"/>
  <c r="BW47" i="5"/>
  <c r="BW25" i="5" s="1"/>
  <c r="BY27" i="5"/>
  <c r="CA47" i="5"/>
  <c r="CA25" i="5" s="1"/>
  <c r="CA27" i="5"/>
  <c r="CB48" i="5"/>
  <c r="CB26" i="5" s="1"/>
  <c r="CD46" i="5"/>
  <c r="CE47" i="5"/>
  <c r="CH46" i="5"/>
  <c r="CI46" i="5"/>
  <c r="CI48" i="5"/>
  <c r="CI26" i="5" s="1"/>
  <c r="CK48" i="5"/>
  <c r="CK26" i="5" s="1"/>
  <c r="CL46" i="5"/>
  <c r="CN48" i="5"/>
  <c r="CN26" i="5" s="1"/>
  <c r="CP46" i="5"/>
  <c r="CQ46" i="5"/>
  <c r="CQ48" i="5"/>
  <c r="CQ26" i="5" s="1"/>
  <c r="CR47" i="5"/>
  <c r="CR25" i="5" s="1"/>
  <c r="CU48" i="5"/>
  <c r="CU26" i="5" s="1"/>
  <c r="CV47" i="5"/>
  <c r="CV25" i="5" s="1"/>
  <c r="CY47" i="5"/>
  <c r="DC48" i="5"/>
  <c r="DC26" i="5" s="1"/>
  <c r="DE46" i="5"/>
  <c r="DF46" i="5"/>
  <c r="DF48" i="5"/>
  <c r="DG46" i="5"/>
  <c r="DG48" i="5"/>
  <c r="DJ47" i="5"/>
  <c r="DJ25" i="5" s="1"/>
  <c r="DJ48" i="5"/>
  <c r="DJ26" i="5" s="1"/>
  <c r="DK46" i="5"/>
  <c r="DM47" i="5"/>
  <c r="DS47" i="5"/>
  <c r="DS25" i="5" s="1"/>
  <c r="DU48" i="5"/>
  <c r="DU26" i="5" s="1"/>
  <c r="DW46" i="5"/>
  <c r="DX48" i="5"/>
  <c r="DX26" i="5" s="1"/>
  <c r="DY47" i="5"/>
  <c r="DY25" i="5" s="1"/>
  <c r="EA46" i="5"/>
  <c r="ED46" i="5"/>
  <c r="AI47" i="5"/>
  <c r="AI25" i="5" s="1"/>
  <c r="AX47" i="5"/>
  <c r="BB48" i="5"/>
  <c r="BE47" i="5"/>
  <c r="BF46" i="5"/>
  <c r="BG24" i="5"/>
  <c r="BH48" i="5"/>
  <c r="BO27" i="5"/>
  <c r="BO47" i="5"/>
  <c r="BO25" i="5" s="1"/>
  <c r="BQ27" i="5"/>
  <c r="BY46" i="5"/>
  <c r="T46" i="5"/>
  <c r="AI46" i="5"/>
  <c r="AN25" i="5"/>
  <c r="AQ47" i="5"/>
  <c r="AQ25" i="5" s="1"/>
  <c r="AU47" i="5"/>
  <c r="AU25" i="5" s="1"/>
  <c r="BA48" i="5"/>
  <c r="BA26" i="5" s="1"/>
  <c r="BB24" i="5"/>
  <c r="BH47" i="5"/>
  <c r="BH25" i="5" s="1"/>
  <c r="BI48" i="5"/>
  <c r="BJ27" i="5"/>
  <c r="BJ47" i="5"/>
  <c r="BJ25" i="5" s="1"/>
  <c r="BO46" i="5"/>
  <c r="BQ26" i="5"/>
  <c r="BR47" i="5"/>
  <c r="BR25" i="5" s="1"/>
  <c r="BS46" i="5"/>
  <c r="BT46" i="5"/>
  <c r="BT27" i="5"/>
  <c r="BU46" i="5"/>
  <c r="BU48" i="5"/>
  <c r="BU26" i="5" s="1"/>
  <c r="BV27" i="5"/>
  <c r="BV47" i="5"/>
  <c r="BV25" i="5" s="1"/>
  <c r="BX27" i="5"/>
  <c r="BY47" i="5"/>
  <c r="BZ27" i="5"/>
  <c r="CC46" i="5"/>
  <c r="CD47" i="5"/>
  <c r="CD25" i="5" s="1"/>
  <c r="CD48" i="5"/>
  <c r="CD26" i="5" s="1"/>
  <c r="CE46" i="5"/>
  <c r="CF46" i="5"/>
  <c r="CG47" i="5"/>
  <c r="CM46" i="5"/>
  <c r="CO46" i="5"/>
  <c r="CS46" i="5"/>
  <c r="CS47" i="5"/>
  <c r="CS25" i="5" s="1"/>
  <c r="CU47" i="5"/>
  <c r="CU25" i="5" s="1"/>
  <c r="CX47" i="5"/>
  <c r="CX25" i="5" s="1"/>
  <c r="CX46" i="5"/>
  <c r="DC47" i="5"/>
  <c r="DC25" i="5" s="1"/>
  <c r="DE47" i="5"/>
  <c r="DF47" i="5"/>
  <c r="DF26" i="5"/>
  <c r="DH47" i="5"/>
  <c r="DH25" i="5" s="1"/>
  <c r="DH48" i="5"/>
  <c r="DH26" i="5" s="1"/>
  <c r="DJ46" i="5"/>
  <c r="DK48" i="5"/>
  <c r="DK26" i="5" s="1"/>
  <c r="DL48" i="5"/>
  <c r="DL26" i="5" s="1"/>
  <c r="DM46" i="5"/>
  <c r="DR48" i="5"/>
  <c r="DR26" i="5" s="1"/>
  <c r="DT48" i="5"/>
  <c r="DT26" i="5" s="1"/>
  <c r="DU47" i="5"/>
  <c r="DU25" i="5" s="1"/>
  <c r="DW48" i="5"/>
  <c r="DX46" i="5"/>
  <c r="DX47" i="5"/>
  <c r="DX25" i="5" s="1"/>
  <c r="DY46" i="5"/>
  <c r="EC47" i="5"/>
  <c r="EC25" i="5" s="1"/>
  <c r="ED48" i="5"/>
  <c r="AT47" i="5"/>
  <c r="AT25" i="5" s="1"/>
  <c r="BN46" i="5"/>
  <c r="BP27" i="5"/>
  <c r="BR46" i="5"/>
  <c r="BS27" i="5"/>
  <c r="BW46" i="5"/>
  <c r="CA46" i="5"/>
  <c r="AP47" i="5"/>
  <c r="AP25" i="5" s="1"/>
  <c r="AT48" i="5"/>
  <c r="AT26" i="5" s="1"/>
  <c r="BA24" i="5"/>
  <c r="BL27" i="5"/>
  <c r="BR48" i="5"/>
  <c r="BR26" i="5" s="1"/>
  <c r="BT47" i="5"/>
  <c r="BT25" i="5" s="1"/>
  <c r="CB47" i="5"/>
  <c r="CB25" i="5" s="1"/>
  <c r="CC48" i="5"/>
  <c r="CC26" i="5" s="1"/>
  <c r="CJ46" i="5"/>
  <c r="CL48" i="5"/>
  <c r="CL26" i="5" s="1"/>
  <c r="CW46" i="5"/>
  <c r="CZ47" i="5"/>
  <c r="CZ25" i="5" s="1"/>
  <c r="DC46" i="5"/>
  <c r="DD48" i="5"/>
  <c r="DD26" i="5" s="1"/>
  <c r="DK47" i="5"/>
  <c r="DK25" i="5" s="1"/>
  <c r="DL46" i="5"/>
  <c r="DP47" i="5"/>
  <c r="DP25" i="5" s="1"/>
  <c r="DU46" i="5"/>
  <c r="DV47" i="5"/>
  <c r="DV25" i="5" s="1"/>
  <c r="EC48" i="5"/>
  <c r="EC26" i="5" s="1"/>
  <c r="L18" i="6" a="1"/>
  <c r="L18" i="6" s="1"/>
  <c r="DQ46" i="5"/>
  <c r="EA47" i="5"/>
  <c r="EA25" i="5" s="1"/>
  <c r="AU48" i="5"/>
  <c r="AU26" i="5" s="1"/>
  <c r="BT48" i="5"/>
  <c r="BT26" i="5" s="1"/>
  <c r="BX48" i="5"/>
  <c r="BX26" i="5" s="1"/>
  <c r="CF47" i="5"/>
  <c r="CF25" i="5" s="1"/>
  <c r="DA48" i="5"/>
  <c r="DA26" i="5" s="1"/>
  <c r="DY48" i="5"/>
  <c r="DY26" i="5" s="1"/>
  <c r="M47" i="5"/>
  <c r="M25" i="5" s="1"/>
  <c r="CC47" i="5"/>
  <c r="CF48" i="5"/>
  <c r="DB46" i="5"/>
  <c r="DF25" i="5"/>
  <c r="DR47" i="5"/>
  <c r="DR25" i="5" s="1"/>
  <c r="DT46" i="5"/>
  <c r="DZ47" i="5"/>
  <c r="DZ25" i="5" s="1"/>
  <c r="W47" i="5"/>
  <c r="W25" i="5" s="1"/>
  <c r="AD47" i="5"/>
  <c r="AD25" i="5" s="1"/>
  <c r="AL46" i="5"/>
  <c r="BQ47" i="5"/>
  <c r="BR27" i="5"/>
  <c r="BV46" i="5"/>
  <c r="BX46" i="5"/>
  <c r="CA48" i="5"/>
  <c r="CA26" i="5" s="1"/>
  <c r="CE48" i="5"/>
  <c r="CE26" i="5" s="1"/>
  <c r="CN47" i="5"/>
  <c r="CN25" i="5" s="1"/>
  <c r="CR48" i="5"/>
  <c r="CR26" i="5" s="1"/>
  <c r="CS48" i="5"/>
  <c r="CS26" i="5" s="1"/>
  <c r="CU46" i="5"/>
  <c r="CV48" i="5"/>
  <c r="CV26" i="5" s="1"/>
  <c r="CX48" i="5"/>
  <c r="CY46" i="5"/>
  <c r="DA46" i="5"/>
  <c r="DD47" i="5"/>
  <c r="DD25" i="5" s="1"/>
  <c r="DE25" i="5"/>
  <c r="DG26" i="5"/>
  <c r="DI47" i="5"/>
  <c r="DO46" i="5"/>
  <c r="DS48" i="5"/>
  <c r="DS26" i="5" s="1"/>
  <c r="DV48" i="5"/>
  <c r="DV26" i="5" s="1"/>
  <c r="EB46" i="5"/>
  <c r="AG47" i="5"/>
  <c r="AG25" i="5" s="1"/>
  <c r="AS47" i="5"/>
  <c r="AS25" i="5" s="1"/>
  <c r="AX25" i="5"/>
  <c r="BU47" i="5"/>
  <c r="BU25" i="5" s="1"/>
  <c r="BZ46" i="5"/>
  <c r="CG46" i="5"/>
  <c r="CL47" i="5"/>
  <c r="CL25" i="5" s="1"/>
  <c r="CO48" i="5"/>
  <c r="CO26" i="5" s="1"/>
  <c r="CQ47" i="5"/>
  <c r="CQ25" i="5" s="1"/>
  <c r="CT48" i="5"/>
  <c r="CT26" i="5" s="1"/>
  <c r="CW48" i="5"/>
  <c r="CW26" i="5" s="1"/>
  <c r="CY48" i="5"/>
  <c r="DN47" i="5"/>
  <c r="DN25" i="5" s="1"/>
  <c r="DP46" i="5"/>
  <c r="BG46" i="5"/>
  <c r="CH48" i="5"/>
  <c r="CK46" i="5"/>
  <c r="CN46" i="5"/>
  <c r="CT47" i="5"/>
  <c r="CT25" i="5" s="1"/>
  <c r="CW47" i="5"/>
  <c r="CW25" i="5" s="1"/>
  <c r="DI48" i="5"/>
  <c r="DN48" i="5"/>
  <c r="DN26" i="5" s="1"/>
  <c r="DW47" i="5"/>
  <c r="EA48" i="5"/>
  <c r="EA26" i="5" s="1"/>
  <c r="ED47" i="5"/>
  <c r="ED25" i="5" s="1"/>
  <c r="J15" i="5"/>
  <c r="AM19" i="5"/>
  <c r="BJ19" i="5"/>
  <c r="E19" i="5"/>
  <c r="C17" i="5"/>
  <c r="BE19" i="5"/>
  <c r="M17" i="5"/>
  <c r="AC17" i="5"/>
  <c r="AS17" i="5"/>
  <c r="BI17" i="5"/>
  <c r="BY17" i="5"/>
  <c r="CO17" i="5"/>
  <c r="DE17" i="5"/>
  <c r="DU17" i="5"/>
  <c r="CF17" i="5"/>
  <c r="F17" i="5"/>
  <c r="V17" i="5"/>
  <c r="AL17" i="5"/>
  <c r="BB17" i="5"/>
  <c r="BR17" i="5"/>
  <c r="CH17" i="5"/>
  <c r="CX17" i="5"/>
  <c r="DN17" i="5"/>
  <c r="ED17" i="5"/>
  <c r="CV17" i="5"/>
  <c r="K17" i="5"/>
  <c r="AA17" i="5"/>
  <c r="AQ17" i="5"/>
  <c r="BG17" i="5"/>
  <c r="BW17" i="5"/>
  <c r="CM17" i="5"/>
  <c r="DC17" i="5"/>
  <c r="DS17" i="5"/>
  <c r="BX17" i="5"/>
  <c r="H17" i="5"/>
  <c r="X17" i="5"/>
  <c r="AN17" i="5"/>
  <c r="BP17" i="5"/>
  <c r="DP17" i="5"/>
  <c r="F46" i="5"/>
  <c r="H47" i="5"/>
  <c r="H25" i="5" s="1"/>
  <c r="M46" i="5"/>
  <c r="Q19" i="5"/>
  <c r="L19" i="5"/>
  <c r="U19" i="5"/>
  <c r="AU19" i="5"/>
  <c r="H19" i="5"/>
  <c r="AQ19" i="5"/>
  <c r="X15" i="5"/>
  <c r="Z19" i="5"/>
  <c r="E17" i="5"/>
  <c r="U17" i="5"/>
  <c r="AK17" i="5"/>
  <c r="BA17" i="5"/>
  <c r="BQ17" i="5"/>
  <c r="CG17" i="5"/>
  <c r="CW17" i="5"/>
  <c r="DM17" i="5"/>
  <c r="EC17" i="5"/>
  <c r="DH17" i="5"/>
  <c r="AG19" i="5"/>
  <c r="AT19" i="5"/>
  <c r="Q17" i="5"/>
  <c r="AW17" i="5"/>
  <c r="CC17" i="5"/>
  <c r="DI17" i="5"/>
  <c r="CR17" i="5"/>
  <c r="R17" i="5"/>
  <c r="AP17" i="5"/>
  <c r="BJ17" i="5"/>
  <c r="CD17" i="5"/>
  <c r="DB17" i="5"/>
  <c r="DV17" i="5"/>
  <c r="CJ17" i="5"/>
  <c r="O17" i="5"/>
  <c r="AI17" i="5"/>
  <c r="BC17" i="5"/>
  <c r="CA17" i="5"/>
  <c r="CU17" i="5"/>
  <c r="DO17" i="5"/>
  <c r="CZ17" i="5"/>
  <c r="P17" i="5"/>
  <c r="AJ17" i="5"/>
  <c r="CB17" i="5"/>
  <c r="H48" i="5"/>
  <c r="H26" i="5" s="1"/>
  <c r="O19" i="5"/>
  <c r="R48" i="5"/>
  <c r="R26" i="5" s="1"/>
  <c r="V19" i="5"/>
  <c r="Y48" i="5"/>
  <c r="Y26" i="5" s="1"/>
  <c r="AB47" i="5"/>
  <c r="AB25" i="5" s="1"/>
  <c r="K46" i="5"/>
  <c r="O47" i="5"/>
  <c r="U48" i="5"/>
  <c r="U26" i="5" s="1"/>
  <c r="Z48" i="5"/>
  <c r="Z26" i="5" s="1"/>
  <c r="AE46" i="5"/>
  <c r="AH19" i="5"/>
  <c r="AO47" i="5"/>
  <c r="AO25" i="5" s="1"/>
  <c r="AT46" i="5"/>
  <c r="AY24" i="5"/>
  <c r="BA27" i="5"/>
  <c r="BC46" i="5"/>
  <c r="BD48" i="5"/>
  <c r="BD26" i="5" s="1"/>
  <c r="BE27" i="5"/>
  <c r="BG47" i="5"/>
  <c r="BI26" i="5"/>
  <c r="F48" i="5"/>
  <c r="F26" i="5" s="1"/>
  <c r="M19" i="5"/>
  <c r="W46" i="5"/>
  <c r="AB48" i="5"/>
  <c r="AB26" i="5" s="1"/>
  <c r="AD48" i="5"/>
  <c r="AD26" i="5" s="1"/>
  <c r="AG46" i="5"/>
  <c r="E46" i="7" s="1"/>
  <c r="AN48" i="5"/>
  <c r="AN26" i="5" s="1"/>
  <c r="AY46" i="5"/>
  <c r="BB26" i="5"/>
  <c r="BD46" i="5"/>
  <c r="BF47" i="5"/>
  <c r="BF25" i="5" s="1"/>
  <c r="BK27" i="5"/>
  <c r="BM48" i="5"/>
  <c r="BM26" i="5" s="1"/>
  <c r="BP47" i="5"/>
  <c r="BP25" i="5" s="1"/>
  <c r="BQ46" i="5"/>
  <c r="BU27" i="5"/>
  <c r="BW27" i="5"/>
  <c r="BZ47" i="5"/>
  <c r="BZ25" i="5" s="1"/>
  <c r="CB46" i="5"/>
  <c r="CG25" i="5"/>
  <c r="CJ48" i="5"/>
  <c r="CJ26" i="5" s="1"/>
  <c r="CM48" i="5"/>
  <c r="CM26" i="5" s="1"/>
  <c r="CP47" i="5"/>
  <c r="CP25" i="5" s="1"/>
  <c r="CT46" i="5"/>
  <c r="CX26" i="5"/>
  <c r="CZ48" i="5"/>
  <c r="CZ26" i="5" s="1"/>
  <c r="DD46" i="5"/>
  <c r="DH46" i="5"/>
  <c r="DM48" i="5"/>
  <c r="DM26" i="5" s="1"/>
  <c r="DP48" i="5"/>
  <c r="DP26" i="5" s="1"/>
  <c r="DV46" i="5"/>
  <c r="DZ48" i="5"/>
  <c r="DZ26" i="5" s="1"/>
  <c r="G18" i="6" a="1"/>
  <c r="G18" i="6" s="1"/>
  <c r="ED26" i="5"/>
  <c r="E46" i="5"/>
  <c r="G15" i="5"/>
  <c r="BM17" i="5"/>
  <c r="DY17" i="5"/>
  <c r="AD17" i="5"/>
  <c r="D19" i="5"/>
  <c r="I19" i="5"/>
  <c r="Y17" i="5"/>
  <c r="BE17" i="5"/>
  <c r="CK17" i="5"/>
  <c r="DQ17" i="5"/>
  <c r="DX17" i="5"/>
  <c r="Z17" i="5"/>
  <c r="AT17" i="5"/>
  <c r="BN17" i="5"/>
  <c r="CL17" i="5"/>
  <c r="DF17" i="5"/>
  <c r="DZ17" i="5"/>
  <c r="DL17" i="5"/>
  <c r="S17" i="5"/>
  <c r="AM17" i="5"/>
  <c r="BK17" i="5"/>
  <c r="CE17" i="5"/>
  <c r="CY17" i="5"/>
  <c r="DW17" i="5"/>
  <c r="DT17" i="5"/>
  <c r="T17" i="5"/>
  <c r="AR17" i="5"/>
  <c r="CN17" i="5"/>
  <c r="F19" i="5"/>
  <c r="J19" i="5"/>
  <c r="R15" i="5"/>
  <c r="W19" i="5"/>
  <c r="AC48" i="5"/>
  <c r="AC26" i="5" s="1"/>
  <c r="I47" i="5"/>
  <c r="I25" i="5" s="1"/>
  <c r="L46" i="5"/>
  <c r="P48" i="5"/>
  <c r="P26" i="5" s="1"/>
  <c r="V46" i="5"/>
  <c r="AB19" i="5"/>
  <c r="AF48" i="5"/>
  <c r="AF26" i="5" s="1"/>
  <c r="AH48" i="5"/>
  <c r="AH26" i="5" s="1"/>
  <c r="AL47" i="5"/>
  <c r="AL25" i="5" s="1"/>
  <c r="AV48" i="5"/>
  <c r="AV26" i="5" s="1"/>
  <c r="AZ46" i="5"/>
  <c r="BC25" i="5"/>
  <c r="BF48" i="5"/>
  <c r="BH27" i="5"/>
  <c r="D46" i="5"/>
  <c r="O48" i="5"/>
  <c r="Y19" i="5"/>
  <c r="AC47" i="5"/>
  <c r="AC25" i="5" s="1"/>
  <c r="AE47" i="5"/>
  <c r="AE25" i="5" s="1"/>
  <c r="AI48" i="5"/>
  <c r="AI26" i="5" s="1"/>
  <c r="AO46" i="5"/>
  <c r="AW48" i="5"/>
  <c r="AW26" i="5" s="1"/>
  <c r="AZ25" i="5"/>
  <c r="BB47" i="5"/>
  <c r="BD27" i="5"/>
  <c r="BG25" i="5"/>
  <c r="BN47" i="5"/>
  <c r="BN25" i="5" s="1"/>
  <c r="BP48" i="5"/>
  <c r="BP26" i="5" s="1"/>
  <c r="BS48" i="5"/>
  <c r="BS26" i="5" s="1"/>
  <c r="BX47" i="5"/>
  <c r="BX25" i="5" s="1"/>
  <c r="BZ48" i="5"/>
  <c r="BZ26" i="5" s="1"/>
  <c r="CF26" i="5"/>
  <c r="CH47" i="5"/>
  <c r="CH25" i="5" s="1"/>
  <c r="CJ47" i="5"/>
  <c r="CJ25" i="5" s="1"/>
  <c r="CM47" i="5"/>
  <c r="CM25" i="5" s="1"/>
  <c r="CR46" i="5"/>
  <c r="CV46" i="5"/>
  <c r="CY25" i="5"/>
  <c r="DA47" i="5"/>
  <c r="DA25" i="5" s="1"/>
  <c r="DI26" i="5"/>
  <c r="DN46" i="5"/>
  <c r="DQ47" i="5"/>
  <c r="DQ25" i="5" s="1"/>
  <c r="DS46" i="5"/>
  <c r="DW25" i="5"/>
  <c r="DZ46" i="5"/>
  <c r="EB48" i="5"/>
  <c r="EB26" i="5" s="1"/>
  <c r="P19" i="5"/>
  <c r="L48" i="5"/>
  <c r="L26" i="5" s="1"/>
  <c r="F47" i="5"/>
  <c r="F25" i="5" s="1"/>
  <c r="D48" i="5"/>
  <c r="D26" i="5" s="1"/>
  <c r="X19" i="5"/>
  <c r="AG17" i="5"/>
  <c r="CS17" i="5"/>
  <c r="J17" i="5"/>
  <c r="R19" i="5"/>
  <c r="AO17" i="5"/>
  <c r="N17" i="5"/>
  <c r="BV17" i="5"/>
  <c r="DJ17" i="5"/>
  <c r="EB17" i="5"/>
  <c r="AU17" i="5"/>
  <c r="CI17" i="5"/>
  <c r="EA17" i="5"/>
  <c r="AB17" i="5"/>
  <c r="DD17" i="5"/>
  <c r="S48" i="5"/>
  <c r="S26" i="5" s="1"/>
  <c r="AA47" i="5"/>
  <c r="AA25" i="5" s="1"/>
  <c r="J46" i="5"/>
  <c r="S19" i="5"/>
  <c r="AC46" i="5"/>
  <c r="AK48" i="5"/>
  <c r="AK26" i="5" s="1"/>
  <c r="AZ27" i="5"/>
  <c r="BG48" i="5"/>
  <c r="BG26" i="5" s="1"/>
  <c r="E48" i="5"/>
  <c r="E26" i="5" s="1"/>
  <c r="S47" i="5"/>
  <c r="S25" i="5" s="1"/>
  <c r="AX48" i="5"/>
  <c r="AX26" i="5" s="1"/>
  <c r="BI27" i="5"/>
  <c r="BS47" i="5"/>
  <c r="BS25" i="5" s="1"/>
  <c r="BY25" i="5"/>
  <c r="CC25" i="5"/>
  <c r="CH26" i="5"/>
  <c r="CO47" i="5"/>
  <c r="CO25" i="5" s="1"/>
  <c r="DB48" i="5"/>
  <c r="DB26" i="5" s="1"/>
  <c r="DI46" i="5"/>
  <c r="DO47" i="5"/>
  <c r="DO25" i="5" s="1"/>
  <c r="DT47" i="5"/>
  <c r="DT25" i="5" s="1"/>
  <c r="K48" i="5"/>
  <c r="K26" i="5" s="1"/>
  <c r="AX17" i="5"/>
  <c r="BL17" i="5"/>
  <c r="BO17" i="5"/>
  <c r="D17" i="5"/>
  <c r="G47" i="5"/>
  <c r="G25" i="5" s="1"/>
  <c r="L47" i="5"/>
  <c r="L25" i="5" s="1"/>
  <c r="AM48" i="5"/>
  <c r="AM26" i="5" s="1"/>
  <c r="BB46" i="5"/>
  <c r="BH46" i="5"/>
  <c r="AA46" i="5"/>
  <c r="AS19" i="5"/>
  <c r="BU17" i="5"/>
  <c r="AH17" i="5"/>
  <c r="BZ17" i="5"/>
  <c r="DR17" i="5"/>
  <c r="G17" i="5"/>
  <c r="AY17" i="5"/>
  <c r="CQ17" i="5"/>
  <c r="BH17" i="5"/>
  <c r="AF17" i="5"/>
  <c r="I22" i="6"/>
  <c r="H22" i="6" s="1"/>
  <c r="DX19" i="5" s="1"/>
  <c r="U47" i="5"/>
  <c r="U25" i="5" s="1"/>
  <c r="AA48" i="5"/>
  <c r="AA26" i="5" s="1"/>
  <c r="K19" i="5"/>
  <c r="T19" i="5"/>
  <c r="AD46" i="5"/>
  <c r="AK19" i="5"/>
  <c r="AS48" i="5"/>
  <c r="AS26" i="5" s="1"/>
  <c r="BA47" i="5"/>
  <c r="BA25" i="5" s="1"/>
  <c r="BG19" i="5"/>
  <c r="C19" i="5"/>
  <c r="V47" i="5"/>
  <c r="V25" i="5" s="1"/>
  <c r="AD19" i="5"/>
  <c r="AJ19" i="5"/>
  <c r="AX46" i="5"/>
  <c r="BC48" i="5"/>
  <c r="BC26" i="5" s="1"/>
  <c r="BJ46" i="5"/>
  <c r="BY48" i="5"/>
  <c r="BY26" i="5" s="1"/>
  <c r="CE25" i="5"/>
  <c r="CI47" i="5"/>
  <c r="CI25" i="5" s="1"/>
  <c r="CP48" i="5"/>
  <c r="CP26" i="5" s="1"/>
  <c r="DB47" i="5"/>
  <c r="DB25" i="5" s="1"/>
  <c r="DI25" i="5"/>
  <c r="DO48" i="5"/>
  <c r="DO26" i="5" s="1"/>
  <c r="EB47" i="5"/>
  <c r="EB25" i="5" s="1"/>
  <c r="I48" i="5"/>
  <c r="I26" i="5" s="1"/>
  <c r="DV19" i="5"/>
  <c r="AE19" i="5"/>
  <c r="DA17" i="5"/>
  <c r="CP17" i="5"/>
  <c r="W17" i="5"/>
  <c r="DG17" i="5"/>
  <c r="AV17" i="5"/>
  <c r="Q48" i="5"/>
  <c r="Q26" i="5" s="1"/>
  <c r="C15" i="5"/>
  <c r="AH46" i="5"/>
  <c r="AY47" i="5"/>
  <c r="AY25" i="5" s="1"/>
  <c r="BE24" i="5"/>
  <c r="H15" i="5"/>
  <c r="AF46" i="5"/>
  <c r="AO48" i="5"/>
  <c r="AO26" i="5" s="1"/>
  <c r="BE48" i="5"/>
  <c r="BE26" i="5" s="1"/>
  <c r="BM27" i="5"/>
  <c r="BP46" i="5"/>
  <c r="CK24" i="5"/>
  <c r="CY26" i="5"/>
  <c r="DL47" i="5"/>
  <c r="DL25" i="5" s="1"/>
  <c r="DW26" i="5"/>
  <c r="DB19" i="5"/>
  <c r="U15" i="5"/>
  <c r="I17" i="5"/>
  <c r="BF17" i="5"/>
  <c r="BT17" i="5"/>
  <c r="BS17" i="5"/>
  <c r="L17" i="5"/>
  <c r="G19" i="5"/>
  <c r="X47" i="5"/>
  <c r="X25" i="5" s="1"/>
  <c r="N46" i="5"/>
  <c r="AH47" i="5"/>
  <c r="AH25" i="5" s="1"/>
  <c r="AY19" i="5"/>
  <c r="BE25" i="5"/>
  <c r="K47" i="5"/>
  <c r="K25" i="5" s="1"/>
  <c r="AG48" i="5"/>
  <c r="AG26" i="5" s="1"/>
  <c r="BA19" i="5"/>
  <c r="BM46" i="5"/>
  <c r="BW26" i="5"/>
  <c r="DG47" i="5"/>
  <c r="DG25" i="5" s="1"/>
  <c r="DR46" i="5"/>
  <c r="N19" i="5"/>
  <c r="E47" i="5"/>
  <c r="E25" i="5" s="1"/>
  <c r="DC19" i="5"/>
  <c r="AZ24" i="5"/>
  <c r="BV48" i="5"/>
  <c r="BV26" i="5" s="1"/>
  <c r="CG48" i="5"/>
  <c r="CG26" i="5" s="1"/>
  <c r="DE48" i="5"/>
  <c r="DE26" i="5" s="1"/>
  <c r="DQ48" i="5"/>
  <c r="DQ26" i="5" s="1"/>
  <c r="EC46" i="5"/>
  <c r="C48" i="5"/>
  <c r="BD17" i="5"/>
  <c r="CT17" i="5"/>
  <c r="AE17" i="5"/>
  <c r="DK17" i="5"/>
  <c r="AZ17" i="5"/>
  <c r="Q46" i="5"/>
  <c r="C46" i="5"/>
  <c r="DX24" i="5" s="1"/>
  <c r="W48" i="5"/>
  <c r="W26" i="5" s="1"/>
  <c r="AN19" i="5"/>
  <c r="BB25" i="5"/>
  <c r="BH26" i="5"/>
  <c r="AA19" i="5"/>
  <c r="AR47" i="5"/>
  <c r="AR25" i="5" s="1"/>
  <c r="BF26" i="5"/>
  <c r="BQ25" i="5"/>
  <c r="CB27" i="5"/>
  <c r="CK47" i="5"/>
  <c r="CK25" i="5" s="1"/>
  <c r="CZ46" i="5"/>
  <c r="DM25" i="5"/>
  <c r="EC19" i="5"/>
  <c r="AJ58" i="5"/>
  <c r="U58" i="5"/>
  <c r="I12" i="3"/>
  <c r="E38" i="7"/>
  <c r="E45" i="7"/>
  <c r="E72" i="7"/>
  <c r="E32" i="7"/>
  <c r="E83" i="7"/>
  <c r="E85" i="7"/>
  <c r="E69" i="7"/>
  <c r="E42" i="7"/>
  <c r="E61" i="7"/>
  <c r="F8" i="7"/>
  <c r="E41" i="7"/>
  <c r="E84" i="7"/>
  <c r="E86" i="7"/>
  <c r="E36" i="7"/>
  <c r="E39" i="7"/>
  <c r="E33" i="7"/>
  <c r="E22" i="7"/>
  <c r="E73" i="7"/>
  <c r="E30" i="7"/>
  <c r="E82" i="7"/>
  <c r="E44" i="7"/>
  <c r="E23" i="7"/>
  <c r="E40" i="7"/>
  <c r="E62" i="7"/>
  <c r="E26" i="7"/>
  <c r="E66" i="7"/>
  <c r="E88" i="7"/>
  <c r="E63" i="7"/>
  <c r="E48" i="7"/>
  <c r="E89" i="7"/>
  <c r="E91" i="7"/>
  <c r="DG27" i="5"/>
  <c r="O27" i="5"/>
  <c r="D49" i="7"/>
  <c r="AA27" i="5"/>
  <c r="E49" i="7"/>
  <c r="DV27" i="5"/>
  <c r="CU27" i="5"/>
  <c r="CI27" i="5"/>
  <c r="AM27" i="5"/>
  <c r="C51" i="5"/>
  <c r="C49" i="7"/>
  <c r="C27" i="5"/>
  <c r="DX28" i="5" l="1"/>
  <c r="DX29" i="5" s="1"/>
  <c r="CK28" i="5"/>
  <c r="CK29" i="5" s="1"/>
  <c r="CB19" i="5"/>
  <c r="C19" i="7"/>
  <c r="DF19" i="5"/>
  <c r="E74" i="7"/>
  <c r="BV19" i="5"/>
  <c r="CA19" i="5"/>
  <c r="CS19" i="5"/>
  <c r="DS19" i="5"/>
  <c r="E17" i="7"/>
  <c r="CX19" i="5"/>
  <c r="DP19" i="5"/>
  <c r="CY19" i="5"/>
  <c r="CY65" i="5"/>
  <c r="CY59" i="5"/>
  <c r="DR19" i="5"/>
  <c r="D74" i="7"/>
  <c r="BC24" i="5"/>
  <c r="BC28" i="5" s="1"/>
  <c r="BC29" i="5" s="1"/>
  <c r="W24" i="5"/>
  <c r="W28" i="5" s="1"/>
  <c r="W29" i="5" s="1"/>
  <c r="R24" i="5"/>
  <c r="R28" i="5" s="1"/>
  <c r="R29" i="5" s="1"/>
  <c r="Y24" i="5"/>
  <c r="P24" i="5"/>
  <c r="P28" i="5" s="1"/>
  <c r="P29" i="5" s="1"/>
  <c r="X24" i="5"/>
  <c r="X28" i="5" s="1"/>
  <c r="X29" i="5" s="1"/>
  <c r="S24" i="5"/>
  <c r="S28" i="5" s="1"/>
  <c r="S29" i="5" s="1"/>
  <c r="Z24" i="5"/>
  <c r="Z28" i="5" s="1"/>
  <c r="Z29" i="5" s="1"/>
  <c r="V24" i="5"/>
  <c r="V28" i="5" s="1"/>
  <c r="V29" i="5" s="1"/>
  <c r="O24" i="5"/>
  <c r="U24" i="5"/>
  <c r="U28" i="5" s="1"/>
  <c r="U29" i="5" s="1"/>
  <c r="T24" i="5"/>
  <c r="Q24" i="5"/>
  <c r="Q28" i="5" s="1"/>
  <c r="Q29" i="5" s="1"/>
  <c r="CM19" i="5"/>
  <c r="CU19" i="5"/>
  <c r="E25" i="7"/>
  <c r="DN19" i="5"/>
  <c r="DI19" i="5"/>
  <c r="CW19" i="5"/>
  <c r="Y28" i="5"/>
  <c r="Y29" i="5" s="1"/>
  <c r="DT19" i="5"/>
  <c r="C74" i="7"/>
  <c r="K65" i="5"/>
  <c r="O59" i="5"/>
  <c r="BO59" i="5"/>
  <c r="CD59" i="5"/>
  <c r="CR59" i="5"/>
  <c r="CR65" i="5"/>
  <c r="CI19" i="5"/>
  <c r="EA19" i="5"/>
  <c r="T28" i="5"/>
  <c r="T29" i="5" s="1"/>
  <c r="CP19" i="5"/>
  <c r="DK19" i="5"/>
  <c r="DH19" i="5"/>
  <c r="CV19" i="5"/>
  <c r="BO19" i="5"/>
  <c r="DQ19" i="5"/>
  <c r="BO24" i="5"/>
  <c r="DA19" i="5"/>
  <c r="U34" i="5"/>
  <c r="U35" i="5" s="1"/>
  <c r="I17" i="3"/>
  <c r="M17" i="3"/>
  <c r="G18" i="3"/>
  <c r="K18" i="3"/>
  <c r="K17" i="3"/>
  <c r="I18" i="3"/>
  <c r="F18" i="3"/>
  <c r="J18" i="3"/>
  <c r="N18" i="3"/>
  <c r="J17" i="3"/>
  <c r="N17" i="3"/>
  <c r="L18" i="3"/>
  <c r="E18" i="3"/>
  <c r="M18" i="3"/>
  <c r="L17" i="3"/>
  <c r="F31" i="3"/>
  <c r="F32" i="3"/>
  <c r="AJ59" i="5"/>
  <c r="AJ65" i="5"/>
  <c r="O25" i="5"/>
  <c r="D25" i="7" s="1"/>
  <c r="D47" i="7"/>
  <c r="J16" i="5"/>
  <c r="J34" i="5"/>
  <c r="J35" i="5" s="1"/>
  <c r="Q14" i="5"/>
  <c r="F59" i="5"/>
  <c r="F65" i="5"/>
  <c r="AZ59" i="5"/>
  <c r="AZ65" i="5"/>
  <c r="AQ59" i="5"/>
  <c r="AQ65" i="5"/>
  <c r="BL59" i="5"/>
  <c r="BL65" i="5"/>
  <c r="CF59" i="5"/>
  <c r="CF65" i="5"/>
  <c r="AZ28" i="5"/>
  <c r="AZ29" i="5" s="1"/>
  <c r="BE28" i="5"/>
  <c r="BE29" i="5" s="1"/>
  <c r="Z15" i="5"/>
  <c r="W15" i="5"/>
  <c r="CR19" i="5"/>
  <c r="BB19" i="5"/>
  <c r="P15" i="5"/>
  <c r="AR19" i="5"/>
  <c r="CQ19" i="5"/>
  <c r="N18" i="5"/>
  <c r="AD18" i="5"/>
  <c r="AT18" i="5"/>
  <c r="BJ18" i="5"/>
  <c r="BZ18" i="5"/>
  <c r="CP18" i="5"/>
  <c r="DF18" i="5"/>
  <c r="DV18" i="5"/>
  <c r="Y18" i="5"/>
  <c r="DM18" i="5"/>
  <c r="K18" i="5"/>
  <c r="AA18" i="5"/>
  <c r="AQ18" i="5"/>
  <c r="BG18" i="5"/>
  <c r="BW18" i="5"/>
  <c r="CM18" i="5"/>
  <c r="DC18" i="5"/>
  <c r="DS18" i="5"/>
  <c r="Q18" i="5"/>
  <c r="BQ18" i="5"/>
  <c r="H18" i="5"/>
  <c r="X18" i="5"/>
  <c r="AN18" i="5"/>
  <c r="BD18" i="5"/>
  <c r="BT18" i="5"/>
  <c r="CJ18" i="5"/>
  <c r="CZ18" i="5"/>
  <c r="DP18" i="5"/>
  <c r="I18" i="5"/>
  <c r="BY18" i="5"/>
  <c r="DY18" i="5"/>
  <c r="AO18" i="5"/>
  <c r="CS18" i="5"/>
  <c r="R18" i="5"/>
  <c r="AH18" i="5"/>
  <c r="AX18" i="5"/>
  <c r="BN18" i="5"/>
  <c r="CD18" i="5"/>
  <c r="CT18" i="5"/>
  <c r="DJ18" i="5"/>
  <c r="DZ18" i="5"/>
  <c r="AK18" i="5"/>
  <c r="DQ18" i="5"/>
  <c r="O18" i="5"/>
  <c r="AE18" i="5"/>
  <c r="AU18" i="5"/>
  <c r="BK18" i="5"/>
  <c r="CA18" i="5"/>
  <c r="CQ18" i="5"/>
  <c r="DG18" i="5"/>
  <c r="DW18" i="5"/>
  <c r="AG18" i="5"/>
  <c r="CO18" i="5"/>
  <c r="L18" i="5"/>
  <c r="AB18" i="5"/>
  <c r="AR18" i="5"/>
  <c r="BH18" i="5"/>
  <c r="BX18" i="5"/>
  <c r="CN18" i="5"/>
  <c r="DD18" i="5"/>
  <c r="DT18" i="5"/>
  <c r="AS18" i="5"/>
  <c r="CK18" i="5"/>
  <c r="E18" i="5"/>
  <c r="BE18" i="5"/>
  <c r="DE18" i="5"/>
  <c r="F18" i="5"/>
  <c r="V18" i="5"/>
  <c r="AL18" i="5"/>
  <c r="BB18" i="5"/>
  <c r="BR18" i="5"/>
  <c r="CH18" i="5"/>
  <c r="CX18" i="5"/>
  <c r="DN18" i="5"/>
  <c r="ED18" i="5"/>
  <c r="CG18" i="5"/>
  <c r="EC18" i="5"/>
  <c r="S18" i="5"/>
  <c r="AI18" i="5"/>
  <c r="AY18" i="5"/>
  <c r="BO18" i="5"/>
  <c r="CE18" i="5"/>
  <c r="CU18" i="5"/>
  <c r="DK18" i="5"/>
  <c r="EA18" i="5"/>
  <c r="AW18" i="5"/>
  <c r="DU18" i="5"/>
  <c r="P18" i="5"/>
  <c r="AF18" i="5"/>
  <c r="AV18" i="5"/>
  <c r="BL18" i="5"/>
  <c r="CB18" i="5"/>
  <c r="CR18" i="5"/>
  <c r="DH18" i="5"/>
  <c r="DX18" i="5"/>
  <c r="BA18" i="5"/>
  <c r="DA18" i="5"/>
  <c r="U18" i="5"/>
  <c r="BU18" i="5"/>
  <c r="BF18" i="5"/>
  <c r="DR18" i="5"/>
  <c r="W18" i="5"/>
  <c r="CI18" i="5"/>
  <c r="BI18" i="5"/>
  <c r="AZ18" i="5"/>
  <c r="DL18" i="5"/>
  <c r="AC18" i="5"/>
  <c r="J18" i="5"/>
  <c r="BV18" i="5"/>
  <c r="M18" i="5"/>
  <c r="AM18" i="5"/>
  <c r="F18" i="7" s="1"/>
  <c r="CY18" i="5"/>
  <c r="D18" i="5"/>
  <c r="BP18" i="5"/>
  <c r="EB18" i="5"/>
  <c r="CC18" i="5"/>
  <c r="DB18" i="5"/>
  <c r="BS18" i="5"/>
  <c r="AJ18" i="5"/>
  <c r="Z18" i="5"/>
  <c r="CL18" i="5"/>
  <c r="CW18" i="5"/>
  <c r="BC18" i="5"/>
  <c r="DO18" i="5"/>
  <c r="T18" i="5"/>
  <c r="CF18" i="5"/>
  <c r="BM18" i="5"/>
  <c r="AP18" i="5"/>
  <c r="G18" i="5"/>
  <c r="C18" i="5"/>
  <c r="CV18" i="5"/>
  <c r="DI18" i="5"/>
  <c r="CE19" i="5"/>
  <c r="D15" i="5"/>
  <c r="AX19" i="5"/>
  <c r="AW19" i="5"/>
  <c r="AO19" i="5"/>
  <c r="S15" i="5"/>
  <c r="C17" i="7"/>
  <c r="AI19" i="5"/>
  <c r="Y14" i="5"/>
  <c r="AQ14" i="5"/>
  <c r="AN14" i="5"/>
  <c r="Z14" i="5"/>
  <c r="V14" i="5"/>
  <c r="R14" i="5"/>
  <c r="R34" i="5" s="1"/>
  <c r="R35" i="5" s="1"/>
  <c r="T15" i="5"/>
  <c r="T65" i="5"/>
  <c r="T59" i="5"/>
  <c r="BH59" i="5"/>
  <c r="BH65" i="5"/>
  <c r="BR59" i="5"/>
  <c r="BR65" i="5"/>
  <c r="CA59" i="5"/>
  <c r="CA65" i="5"/>
  <c r="AK65" i="5"/>
  <c r="AK59" i="5"/>
  <c r="I45" i="6"/>
  <c r="Z69" i="5"/>
  <c r="BJ69" i="5"/>
  <c r="U69" i="5"/>
  <c r="BB69" i="5"/>
  <c r="AT69" i="5"/>
  <c r="AY69" i="5"/>
  <c r="AF69" i="5"/>
  <c r="CO69" i="5"/>
  <c r="BO69" i="5"/>
  <c r="BS69" i="5"/>
  <c r="DO69" i="5"/>
  <c r="H69" i="5"/>
  <c r="M69" i="5"/>
  <c r="BP69" i="5"/>
  <c r="DG69" i="5"/>
  <c r="BR69" i="5"/>
  <c r="CN69" i="5"/>
  <c r="DS69" i="5"/>
  <c r="BA69" i="5"/>
  <c r="BV69" i="5"/>
  <c r="DH69" i="5"/>
  <c r="BY69" i="5"/>
  <c r="CT69" i="5"/>
  <c r="EB69" i="5"/>
  <c r="AA69" i="5"/>
  <c r="ED69" i="5"/>
  <c r="DL69" i="5"/>
  <c r="CM69" i="5"/>
  <c r="DX69" i="5"/>
  <c r="AW69" i="5"/>
  <c r="R59" i="5"/>
  <c r="R65" i="5"/>
  <c r="BK59" i="5"/>
  <c r="BK65" i="5"/>
  <c r="DO59" i="5"/>
  <c r="DO65" i="5"/>
  <c r="DE65" i="5"/>
  <c r="DE59" i="5"/>
  <c r="EA65" i="5"/>
  <c r="EA59" i="5"/>
  <c r="BX59" i="5"/>
  <c r="BX65" i="5"/>
  <c r="CI65" i="5"/>
  <c r="CI59" i="5"/>
  <c r="BW59" i="5"/>
  <c r="BW65" i="5"/>
  <c r="G26" i="3"/>
  <c r="D26" i="2"/>
  <c r="D41" i="3" s="1" a="1"/>
  <c r="D41" i="3" s="1"/>
  <c r="U16" i="5"/>
  <c r="BO28" i="5"/>
  <c r="BO29" i="5" s="1"/>
  <c r="BG28" i="5"/>
  <c r="BG29" i="5" s="1"/>
  <c r="G34" i="5"/>
  <c r="G35" i="5" s="1"/>
  <c r="G16" i="5"/>
  <c r="AY28" i="5"/>
  <c r="AY29" i="5" s="1"/>
  <c r="H18" i="6" a="1"/>
  <c r="H18" i="6" s="1"/>
  <c r="BL14" i="5" s="1"/>
  <c r="N22" i="6"/>
  <c r="M22" i="6" s="1"/>
  <c r="D33" i="6"/>
  <c r="N20" i="6"/>
  <c r="F46" i="3"/>
  <c r="G40" i="3"/>
  <c r="C65" i="5"/>
  <c r="C71" i="7" s="1"/>
  <c r="C59" i="5"/>
  <c r="C64" i="7"/>
  <c r="AV59" i="5"/>
  <c r="AV65" i="5"/>
  <c r="CZ59" i="5"/>
  <c r="CZ65" i="5"/>
  <c r="BU59" i="5"/>
  <c r="BU65" i="5"/>
  <c r="CW59" i="5"/>
  <c r="CW65" i="5"/>
  <c r="DN65" i="5"/>
  <c r="DN59" i="5"/>
  <c r="DW59" i="5"/>
  <c r="DW65" i="5"/>
  <c r="W65" i="5"/>
  <c r="W59" i="5"/>
  <c r="CX59" i="5"/>
  <c r="CX65" i="5"/>
  <c r="DZ59" i="5"/>
  <c r="DZ65" i="5"/>
  <c r="E64" i="7"/>
  <c r="E47" i="7"/>
  <c r="E33" i="3"/>
  <c r="BI24" i="5"/>
  <c r="BI28" i="5" s="1"/>
  <c r="BI29" i="5" s="1"/>
  <c r="DU24" i="5"/>
  <c r="DU28" i="5" s="1"/>
  <c r="DU29" i="5" s="1"/>
  <c r="BK24" i="5"/>
  <c r="BK28" i="5" s="1"/>
  <c r="BK29" i="5" s="1"/>
  <c r="D24" i="5"/>
  <c r="D28" i="5" s="1"/>
  <c r="D29" i="5" s="1"/>
  <c r="N24" i="5"/>
  <c r="N28" i="5" s="1"/>
  <c r="N29" i="5" s="1"/>
  <c r="AA24" i="5"/>
  <c r="AM24" i="5"/>
  <c r="J24" i="5"/>
  <c r="J28" i="5" s="1"/>
  <c r="J29" i="5" s="1"/>
  <c r="AD24" i="5"/>
  <c r="AD28" i="5" s="1"/>
  <c r="AD29" i="5" s="1"/>
  <c r="AS24" i="5"/>
  <c r="AS28" i="5" s="1"/>
  <c r="AS29" i="5" s="1"/>
  <c r="BJ24" i="5"/>
  <c r="BJ28" i="5" s="1"/>
  <c r="BJ29" i="5" s="1"/>
  <c r="AW24" i="5"/>
  <c r="AW28" i="5" s="1"/>
  <c r="AW29" i="5" s="1"/>
  <c r="AE24" i="5"/>
  <c r="AE28" i="5" s="1"/>
  <c r="AE29" i="5" s="1"/>
  <c r="BM24" i="5"/>
  <c r="BM28" i="5" s="1"/>
  <c r="BM29" i="5" s="1"/>
  <c r="CO24" i="5"/>
  <c r="CO28" i="5" s="1"/>
  <c r="CO29" i="5" s="1"/>
  <c r="DR24" i="5"/>
  <c r="DR28" i="5" s="1"/>
  <c r="DR29" i="5" s="1"/>
  <c r="BS24" i="5"/>
  <c r="BS28" i="5" s="1"/>
  <c r="BS29" i="5" s="1"/>
  <c r="CH24" i="5"/>
  <c r="CH28" i="5" s="1"/>
  <c r="CH29" i="5" s="1"/>
  <c r="DC24" i="5"/>
  <c r="DC28" i="5" s="1"/>
  <c r="DC29" i="5" s="1"/>
  <c r="DS24" i="5"/>
  <c r="DS28" i="5" s="1"/>
  <c r="BV24" i="5"/>
  <c r="BV28" i="5" s="1"/>
  <c r="BV29" i="5" s="1"/>
  <c r="C46" i="7"/>
  <c r="DY24" i="5"/>
  <c r="DY28" i="5" s="1"/>
  <c r="DY29" i="5" s="1"/>
  <c r="CP24" i="5"/>
  <c r="CP28" i="5" s="1"/>
  <c r="CP29" i="5" s="1"/>
  <c r="DE24" i="5"/>
  <c r="DE28" i="5" s="1"/>
  <c r="DE29" i="5" s="1"/>
  <c r="DV24" i="5"/>
  <c r="AK24" i="5"/>
  <c r="AK28" i="5" s="1"/>
  <c r="AK29" i="5" s="1"/>
  <c r="DD24" i="5"/>
  <c r="DD28" i="5" s="1"/>
  <c r="DD29" i="5" s="1"/>
  <c r="DB24" i="5"/>
  <c r="DB28" i="5" s="1"/>
  <c r="DB29" i="5" s="1"/>
  <c r="DQ24" i="5"/>
  <c r="DQ28" i="5" s="1"/>
  <c r="DQ29" i="5" s="1"/>
  <c r="DL24" i="5"/>
  <c r="DL28" i="5" s="1"/>
  <c r="DL29" i="5" s="1"/>
  <c r="H24" i="5"/>
  <c r="H28" i="5" s="1"/>
  <c r="H29" i="5" s="1"/>
  <c r="F24" i="5"/>
  <c r="F28" i="5" s="1"/>
  <c r="F29" i="5" s="1"/>
  <c r="AU24" i="5"/>
  <c r="AU28" i="5" s="1"/>
  <c r="AU29" i="5" s="1"/>
  <c r="M24" i="5"/>
  <c r="M28" i="5" s="1"/>
  <c r="M29" i="5" s="1"/>
  <c r="AH24" i="5"/>
  <c r="AH28" i="5" s="1"/>
  <c r="AH29" i="5" s="1"/>
  <c r="AV24" i="5"/>
  <c r="AV28" i="5" s="1"/>
  <c r="AV29" i="5" s="1"/>
  <c r="AP24" i="5"/>
  <c r="AP28" i="5" s="1"/>
  <c r="AP29" i="5" s="1"/>
  <c r="BP24" i="5"/>
  <c r="BP28" i="5" s="1"/>
  <c r="BP29" i="5" s="1"/>
  <c r="AN24" i="5"/>
  <c r="AN28" i="5" s="1"/>
  <c r="AN29" i="5" s="1"/>
  <c r="BR24" i="5"/>
  <c r="BR28" i="5" s="1"/>
  <c r="BR29" i="5" s="1"/>
  <c r="CV24" i="5"/>
  <c r="CV28" i="5" s="1"/>
  <c r="CV29" i="5" s="1"/>
  <c r="I24" i="5"/>
  <c r="I28" i="5" s="1"/>
  <c r="I29" i="5" s="1"/>
  <c r="CA24" i="5"/>
  <c r="CA28" i="5" s="1"/>
  <c r="CA29" i="5" s="1"/>
  <c r="CL24" i="5"/>
  <c r="CL28" i="5" s="1"/>
  <c r="CL29" i="5" s="1"/>
  <c r="DF24" i="5"/>
  <c r="DF28" i="5" s="1"/>
  <c r="DF29" i="5" s="1"/>
  <c r="DW24" i="5"/>
  <c r="DW28" i="5" s="1"/>
  <c r="DW29" i="5" s="1"/>
  <c r="CN24" i="5"/>
  <c r="CN28" i="5" s="1"/>
  <c r="CN29" i="5" s="1"/>
  <c r="BX24" i="5"/>
  <c r="BX28" i="5" s="1"/>
  <c r="BX29" i="5" s="1"/>
  <c r="EB24" i="5"/>
  <c r="EB28" i="5" s="1"/>
  <c r="EB29" i="5" s="1"/>
  <c r="CX24" i="5"/>
  <c r="CX28" i="5" s="1"/>
  <c r="CX29" i="5" s="1"/>
  <c r="DJ24" i="5"/>
  <c r="DJ28" i="5" s="1"/>
  <c r="DJ29" i="5" s="1"/>
  <c r="DZ24" i="5"/>
  <c r="DZ28" i="5" s="1"/>
  <c r="DZ29" i="5" s="1"/>
  <c r="BY24" i="5"/>
  <c r="BY28" i="5" s="1"/>
  <c r="BY29" i="5" s="1"/>
  <c r="DM24" i="5"/>
  <c r="DM28" i="5" s="1"/>
  <c r="DM29" i="5" s="1"/>
  <c r="CI24" i="5"/>
  <c r="CC24" i="5"/>
  <c r="CC28" i="5" s="1"/>
  <c r="CC29" i="5" s="1"/>
  <c r="DG24" i="5"/>
  <c r="DG28" i="5" s="1"/>
  <c r="DG29" i="5" s="1"/>
  <c r="K24" i="5"/>
  <c r="K28" i="5" s="1"/>
  <c r="K29" i="5" s="1"/>
  <c r="G24" i="5"/>
  <c r="G28" i="5" s="1"/>
  <c r="G29" i="5" s="1"/>
  <c r="AF24" i="5"/>
  <c r="AF28" i="5" s="1"/>
  <c r="AF29" i="5" s="1"/>
  <c r="AX24" i="5"/>
  <c r="AX28" i="5" s="1"/>
  <c r="AX29" i="5" s="1"/>
  <c r="AL24" i="5"/>
  <c r="AL28" i="5" s="1"/>
  <c r="AL29" i="5" s="1"/>
  <c r="AG24" i="5"/>
  <c r="AG28" i="5" s="1"/>
  <c r="AG29" i="5" s="1"/>
  <c r="AR24" i="5"/>
  <c r="AR28" i="5" s="1"/>
  <c r="AR29" i="5" s="1"/>
  <c r="BQ24" i="5"/>
  <c r="BQ28" i="5" s="1"/>
  <c r="BQ29" i="5" s="1"/>
  <c r="AO24" i="5"/>
  <c r="AO28" i="5" s="1"/>
  <c r="AO29" i="5" s="1"/>
  <c r="CE24" i="5"/>
  <c r="CE28" i="5" s="1"/>
  <c r="CE29" i="5" s="1"/>
  <c r="CY24" i="5"/>
  <c r="CY28" i="5" s="1"/>
  <c r="CY29" i="5" s="1"/>
  <c r="AC24" i="5"/>
  <c r="AC28" i="5" s="1"/>
  <c r="AC29" i="5" s="1"/>
  <c r="CB24" i="5"/>
  <c r="CB28" i="5" s="1"/>
  <c r="CB29" i="5" s="1"/>
  <c r="CM24" i="5"/>
  <c r="CM28" i="5" s="1"/>
  <c r="CM29" i="5" s="1"/>
  <c r="DH24" i="5"/>
  <c r="DH28" i="5" s="1"/>
  <c r="DH29" i="5" s="1"/>
  <c r="EA24" i="5"/>
  <c r="EA28" i="5" s="1"/>
  <c r="EA29" i="5" s="1"/>
  <c r="DI24" i="5"/>
  <c r="DI28" i="5" s="1"/>
  <c r="DI29" i="5" s="1"/>
  <c r="CU24" i="5"/>
  <c r="AJ24" i="5"/>
  <c r="AJ28" i="5" s="1"/>
  <c r="AJ29" i="5" s="1"/>
  <c r="CQ24" i="5"/>
  <c r="CQ28" i="5" s="1"/>
  <c r="CQ29" i="5" s="1"/>
  <c r="DN24" i="5"/>
  <c r="DN28" i="5" s="1"/>
  <c r="DN29" i="5" s="1"/>
  <c r="ED24" i="5"/>
  <c r="ED28" i="5" s="1"/>
  <c r="ED29" i="5" s="1"/>
  <c r="CS24" i="5"/>
  <c r="CS28" i="5" s="1"/>
  <c r="CS29" i="5" s="1"/>
  <c r="E24" i="5"/>
  <c r="E28" i="5" s="1"/>
  <c r="E29" i="5" s="1"/>
  <c r="AI24" i="5"/>
  <c r="AI28" i="5" s="1"/>
  <c r="AI29" i="5" s="1"/>
  <c r="AQ24" i="5"/>
  <c r="AQ28" i="5" s="1"/>
  <c r="AQ29" i="5" s="1"/>
  <c r="BL24" i="5"/>
  <c r="BL28" i="5" s="1"/>
  <c r="BL29" i="5" s="1"/>
  <c r="CD24" i="5"/>
  <c r="CD28" i="5" s="1"/>
  <c r="CD29" i="5" s="1"/>
  <c r="EC24" i="5"/>
  <c r="EC28" i="5" s="1"/>
  <c r="EC29" i="5" s="1"/>
  <c r="DT24" i="5"/>
  <c r="DT28" i="5" s="1"/>
  <c r="DT29" i="5" s="1"/>
  <c r="CF24" i="5"/>
  <c r="CF28" i="5" s="1"/>
  <c r="CF29" i="5" s="1"/>
  <c r="L24" i="5"/>
  <c r="L28" i="5" s="1"/>
  <c r="L29" i="5" s="1"/>
  <c r="C24" i="5"/>
  <c r="BH24" i="5"/>
  <c r="BH28" i="5" s="1"/>
  <c r="BH29" i="5" s="1"/>
  <c r="CJ24" i="5"/>
  <c r="CJ28" i="5" s="1"/>
  <c r="CJ29" i="5" s="1"/>
  <c r="CR24" i="5"/>
  <c r="CR28" i="5" s="1"/>
  <c r="CR29" i="5" s="1"/>
  <c r="CZ24" i="5"/>
  <c r="CZ28" i="5" s="1"/>
  <c r="CZ29" i="5" s="1"/>
  <c r="DO24" i="5"/>
  <c r="DO28" i="5" s="1"/>
  <c r="DO29" i="5" s="1"/>
  <c r="CT24" i="5"/>
  <c r="CT28" i="5" s="1"/>
  <c r="CT29" i="5" s="1"/>
  <c r="DP24" i="5"/>
  <c r="DP28" i="5" s="1"/>
  <c r="DP29" i="5" s="1"/>
  <c r="AB24" i="5"/>
  <c r="AB28" i="5" s="1"/>
  <c r="AB29" i="5" s="1"/>
  <c r="BW24" i="5"/>
  <c r="BW28" i="5" s="1"/>
  <c r="BW29" i="5" s="1"/>
  <c r="BU24" i="5"/>
  <c r="BU28" i="5" s="1"/>
  <c r="BU29" i="5" s="1"/>
  <c r="AT24" i="5"/>
  <c r="AT28" i="5" s="1"/>
  <c r="AT29" i="5" s="1"/>
  <c r="DK24" i="5"/>
  <c r="DK28" i="5" s="1"/>
  <c r="DK29" i="5" s="1"/>
  <c r="BZ24" i="5"/>
  <c r="BZ28" i="5" s="1"/>
  <c r="BZ29" i="5" s="1"/>
  <c r="BN24" i="5"/>
  <c r="BN28" i="5" s="1"/>
  <c r="BN29" i="5" s="1"/>
  <c r="DA24" i="5"/>
  <c r="DA28" i="5" s="1"/>
  <c r="DA29" i="5" s="1"/>
  <c r="BT24" i="5"/>
  <c r="BT28" i="5" s="1"/>
  <c r="BT29" i="5" s="1"/>
  <c r="L15" i="5"/>
  <c r="CW24" i="5"/>
  <c r="CW28" i="5" s="1"/>
  <c r="CW29" i="5" s="1"/>
  <c r="BC19" i="5"/>
  <c r="K15" i="5"/>
  <c r="CF19" i="5"/>
  <c r="DE14" i="5"/>
  <c r="ED14" i="5"/>
  <c r="O26" i="5"/>
  <c r="D26" i="7" s="1"/>
  <c r="D48" i="7"/>
  <c r="Y15" i="5"/>
  <c r="Y16" i="5" s="1"/>
  <c r="BB14" i="5"/>
  <c r="N15" i="5"/>
  <c r="BX14" i="5"/>
  <c r="AV19" i="5"/>
  <c r="I15" i="5"/>
  <c r="BC14" i="5"/>
  <c r="DE19" i="5"/>
  <c r="AF19" i="5"/>
  <c r="Q15" i="5"/>
  <c r="AY14" i="5"/>
  <c r="AC19" i="5"/>
  <c r="AZ19" i="5"/>
  <c r="BD24" i="5"/>
  <c r="BD28" i="5" s="1"/>
  <c r="BD29" i="5" s="1"/>
  <c r="P14" i="5"/>
  <c r="P16" i="5" s="1"/>
  <c r="P13" i="5" s="1"/>
  <c r="AO14" i="5"/>
  <c r="AK14" i="5"/>
  <c r="AW14" i="5"/>
  <c r="BF24" i="5"/>
  <c r="BF28" i="5" s="1"/>
  <c r="BF29" i="5" s="1"/>
  <c r="AM14" i="5"/>
  <c r="X14" i="5"/>
  <c r="W14" i="5"/>
  <c r="S14" i="5"/>
  <c r="S34" i="5" s="1"/>
  <c r="S35" i="5" s="1"/>
  <c r="O14" i="5"/>
  <c r="C25" i="5"/>
  <c r="C25" i="7" s="1"/>
  <c r="C47" i="7"/>
  <c r="AA65" i="5"/>
  <c r="AA59" i="5"/>
  <c r="AG65" i="5"/>
  <c r="AG59" i="5"/>
  <c r="CN65" i="5"/>
  <c r="CN59" i="5"/>
  <c r="CK65" i="5"/>
  <c r="CK59" i="5"/>
  <c r="DM65" i="5"/>
  <c r="DM59" i="5"/>
  <c r="DL59" i="5"/>
  <c r="DL65" i="5"/>
  <c r="H59" i="5"/>
  <c r="H65" i="5"/>
  <c r="BT59" i="5"/>
  <c r="BT65" i="5"/>
  <c r="ED65" i="5"/>
  <c r="ED59" i="5"/>
  <c r="CG59" i="5"/>
  <c r="CG65" i="5"/>
  <c r="BE65" i="5"/>
  <c r="BE59" i="5"/>
  <c r="AI59" i="5"/>
  <c r="AI65" i="5"/>
  <c r="CJ59" i="5"/>
  <c r="CJ65" i="5"/>
  <c r="AW65" i="5"/>
  <c r="AW59" i="5"/>
  <c r="CU59" i="5"/>
  <c r="CU65" i="5"/>
  <c r="H34" i="5"/>
  <c r="H35" i="5" s="1"/>
  <c r="H16" i="5"/>
  <c r="H13" i="5" s="1"/>
  <c r="C34" i="5"/>
  <c r="C16" i="5"/>
  <c r="DV28" i="5"/>
  <c r="DV29" i="5" s="1"/>
  <c r="U59" i="5"/>
  <c r="U65" i="5"/>
  <c r="BB28" i="5"/>
  <c r="BB29" i="5" s="1"/>
  <c r="C26" i="5"/>
  <c r="C26" i="7" s="1"/>
  <c r="C48" i="7"/>
  <c r="CG24" i="5"/>
  <c r="CG28" i="5" s="1"/>
  <c r="CG29" i="5" s="1"/>
  <c r="O15" i="5"/>
  <c r="EB19" i="5"/>
  <c r="CD14" i="5"/>
  <c r="CY14" i="5"/>
  <c r="DT14" i="5"/>
  <c r="BS14" i="5"/>
  <c r="CP14" i="5"/>
  <c r="DK14" i="5"/>
  <c r="CL14" i="5"/>
  <c r="EB14" i="5"/>
  <c r="DC14" i="5"/>
  <c r="BU14" i="5"/>
  <c r="DS14" i="5"/>
  <c r="CF14" i="5"/>
  <c r="BM14" i="5"/>
  <c r="CI14" i="5"/>
  <c r="DD14" i="5"/>
  <c r="DZ14" i="5"/>
  <c r="BY14" i="5"/>
  <c r="CU14" i="5"/>
  <c r="DP14" i="5"/>
  <c r="CV14" i="5"/>
  <c r="BK14" i="5"/>
  <c r="DN14" i="5"/>
  <c r="CM14" i="5"/>
  <c r="DB14" i="5"/>
  <c r="BO14" i="5"/>
  <c r="BR14" i="5"/>
  <c r="CN14" i="5"/>
  <c r="DJ14" i="5"/>
  <c r="BI14" i="5"/>
  <c r="CE14" i="5"/>
  <c r="CZ14" i="5"/>
  <c r="DV14" i="5"/>
  <c r="BQ14" i="5"/>
  <c r="DG14" i="5"/>
  <c r="CQ14" i="5"/>
  <c r="BZ14" i="5"/>
  <c r="CX14" i="5"/>
  <c r="DW14" i="5"/>
  <c r="CR14" i="5"/>
  <c r="CT14" i="5"/>
  <c r="DF14" i="5"/>
  <c r="DH14" i="5"/>
  <c r="DO14" i="5"/>
  <c r="EA14" i="5"/>
  <c r="CA14" i="5"/>
  <c r="CH14" i="5"/>
  <c r="BN14" i="5"/>
  <c r="DR14" i="5"/>
  <c r="DL14" i="5"/>
  <c r="BV14" i="5"/>
  <c r="DX14" i="5"/>
  <c r="BW14" i="5"/>
  <c r="CJ14" i="5"/>
  <c r="BJ14" i="5"/>
  <c r="V15" i="5"/>
  <c r="CC14" i="5"/>
  <c r="AP19" i="5"/>
  <c r="CO14" i="5"/>
  <c r="BU19" i="5"/>
  <c r="F15" i="5"/>
  <c r="BD19" i="5"/>
  <c r="AL19" i="5"/>
  <c r="DQ14" i="5"/>
  <c r="BH14" i="5"/>
  <c r="BA28" i="5"/>
  <c r="BA29" i="5" s="1"/>
  <c r="D19" i="7"/>
  <c r="D17" i="7"/>
  <c r="BF14" i="5"/>
  <c r="BF19" i="5"/>
  <c r="BG14" i="5"/>
  <c r="M15" i="5"/>
  <c r="BI19" i="5"/>
  <c r="BA14" i="5"/>
  <c r="AU14" i="5"/>
  <c r="AG14" i="5"/>
  <c r="AJ14" i="5"/>
  <c r="BE14" i="5"/>
  <c r="AL14" i="5"/>
  <c r="AE14" i="5"/>
  <c r="E15" i="5"/>
  <c r="C15" i="7" s="1"/>
  <c r="T14" i="5"/>
  <c r="D46" i="7"/>
  <c r="AI14" i="5"/>
  <c r="BP19" i="5"/>
  <c r="BL19" i="5"/>
  <c r="ED19" i="5"/>
  <c r="CJ19" i="5"/>
  <c r="CD19" i="5"/>
  <c r="DY19" i="5"/>
  <c r="CO19" i="5"/>
  <c r="BT19" i="5"/>
  <c r="CC19" i="5"/>
  <c r="CH19" i="5"/>
  <c r="BX19" i="5"/>
  <c r="BK19" i="5"/>
  <c r="DG19" i="5"/>
  <c r="BH19" i="5"/>
  <c r="CG19" i="5"/>
  <c r="BS19" i="5"/>
  <c r="BR19" i="5"/>
  <c r="DO19" i="5"/>
  <c r="CL19" i="5"/>
  <c r="BM19" i="5"/>
  <c r="BY19" i="5"/>
  <c r="BQ19" i="5"/>
  <c r="DD19" i="5"/>
  <c r="DW19" i="5"/>
  <c r="BW19" i="5"/>
  <c r="CT19" i="5"/>
  <c r="CN19" i="5"/>
  <c r="DM19" i="5"/>
  <c r="BN19" i="5"/>
  <c r="BZ19" i="5"/>
  <c r="DZ19" i="5"/>
  <c r="CZ19" i="5"/>
  <c r="DL19" i="5"/>
  <c r="DJ19" i="5"/>
  <c r="CK19" i="5"/>
  <c r="DU19" i="5"/>
  <c r="AR59" i="5"/>
  <c r="AR65" i="5"/>
  <c r="BI65" i="5"/>
  <c r="BI59" i="5"/>
  <c r="AX65" i="5"/>
  <c r="AX59" i="5"/>
  <c r="DX65" i="5"/>
  <c r="DX59" i="5"/>
  <c r="AD65" i="5"/>
  <c r="AD59" i="5"/>
  <c r="DR65" i="5"/>
  <c r="DR59" i="5"/>
  <c r="I65" i="5"/>
  <c r="I59" i="5"/>
  <c r="CE59" i="5"/>
  <c r="CE65" i="5"/>
  <c r="AF59" i="5"/>
  <c r="AF65" i="5"/>
  <c r="CM65" i="5"/>
  <c r="CM59" i="5"/>
  <c r="CP59" i="5"/>
  <c r="CP65" i="5"/>
  <c r="CV65" i="5"/>
  <c r="CV59" i="5"/>
  <c r="X65" i="5"/>
  <c r="X59" i="5"/>
  <c r="AP65" i="5"/>
  <c r="AP59" i="5"/>
  <c r="BQ65" i="5"/>
  <c r="BQ59" i="5"/>
  <c r="P59" i="5"/>
  <c r="P65" i="5"/>
  <c r="D71" i="7" s="1"/>
  <c r="D64" i="7"/>
  <c r="BV59" i="5"/>
  <c r="BV65" i="5"/>
  <c r="J12" i="3"/>
  <c r="K12" i="3" s="1"/>
  <c r="F23" i="7"/>
  <c r="F36" i="7"/>
  <c r="F61" i="7"/>
  <c r="F73" i="7"/>
  <c r="F84" i="7"/>
  <c r="F33" i="7"/>
  <c r="F63" i="7"/>
  <c r="F39" i="7"/>
  <c r="F38" i="7"/>
  <c r="F66" i="7"/>
  <c r="F41" i="7"/>
  <c r="F85" i="7"/>
  <c r="F42" i="7"/>
  <c r="F69" i="7"/>
  <c r="F22" i="7"/>
  <c r="F86" i="7"/>
  <c r="F74" i="7"/>
  <c r="F48" i="7"/>
  <c r="F44" i="7"/>
  <c r="F32" i="7"/>
  <c r="F62" i="7"/>
  <c r="F26" i="7"/>
  <c r="G8" i="7"/>
  <c r="F40" i="7"/>
  <c r="F30" i="7"/>
  <c r="F72" i="7"/>
  <c r="F88" i="7"/>
  <c r="F46" i="7"/>
  <c r="F47" i="7"/>
  <c r="F82" i="7"/>
  <c r="F64" i="7"/>
  <c r="F45" i="7"/>
  <c r="F83" i="7"/>
  <c r="F25" i="7"/>
  <c r="F19" i="7"/>
  <c r="F17" i="7"/>
  <c r="F89" i="7"/>
  <c r="F91" i="7"/>
  <c r="F90" i="7"/>
  <c r="F49" i="7"/>
  <c r="CU28" i="5"/>
  <c r="F27" i="7"/>
  <c r="DS29" i="5"/>
  <c r="C27" i="7"/>
  <c r="AA28" i="5"/>
  <c r="E27" i="7"/>
  <c r="CI28" i="5"/>
  <c r="D27" i="7"/>
  <c r="D65" i="7" l="1"/>
  <c r="C24" i="7"/>
  <c r="F24" i="7"/>
  <c r="H20" i="5"/>
  <c r="H21" i="5" s="1"/>
  <c r="H31" i="5" s="1"/>
  <c r="H37" i="5" s="1"/>
  <c r="H43" i="5" s="1"/>
  <c r="H50" i="5" s="1"/>
  <c r="H51" i="5" s="1"/>
  <c r="H53" i="5" s="1"/>
  <c r="Q34" i="5"/>
  <c r="Q35" i="5" s="1"/>
  <c r="F65" i="7"/>
  <c r="W34" i="5"/>
  <c r="W35" i="5" s="1"/>
  <c r="D24" i="7"/>
  <c r="F71" i="7"/>
  <c r="H40" i="3"/>
  <c r="G32" i="3"/>
  <c r="G31" i="3"/>
  <c r="F33" i="3"/>
  <c r="I34" i="5"/>
  <c r="I35" i="5" s="1"/>
  <c r="I16" i="5"/>
  <c r="N16" i="5"/>
  <c r="N13" i="5" s="1"/>
  <c r="N34" i="5"/>
  <c r="N35" i="5" s="1"/>
  <c r="G13" i="5"/>
  <c r="G20" i="5"/>
  <c r="G21" i="5" s="1"/>
  <c r="G31" i="5" s="1"/>
  <c r="G37" i="5" s="1"/>
  <c r="G43" i="5" s="1"/>
  <c r="G50" i="5" s="1"/>
  <c r="G51" i="5" s="1"/>
  <c r="G53" i="5" s="1"/>
  <c r="D27" i="3" a="1"/>
  <c r="D27" i="3" s="1"/>
  <c r="L17" i="2"/>
  <c r="K69" i="5"/>
  <c r="K45" i="6"/>
  <c r="H46" i="6"/>
  <c r="C28" i="5"/>
  <c r="AM28" i="5"/>
  <c r="T34" i="5"/>
  <c r="T35" i="5" s="1"/>
  <c r="T16" i="5"/>
  <c r="M34" i="5"/>
  <c r="M35" i="5" s="1"/>
  <c r="M16" i="5"/>
  <c r="F16" i="5"/>
  <c r="F34" i="5"/>
  <c r="F35" i="5" s="1"/>
  <c r="C35" i="5"/>
  <c r="X16" i="5"/>
  <c r="X13" i="5" s="1"/>
  <c r="X34" i="5"/>
  <c r="X35" i="5" s="1"/>
  <c r="Q16" i="5"/>
  <c r="Q13" i="5" s="1"/>
  <c r="E24" i="7"/>
  <c r="P69" i="5"/>
  <c r="AC69" i="5"/>
  <c r="CL69" i="5"/>
  <c r="DV69" i="5"/>
  <c r="BZ69" i="5"/>
  <c r="CJ69" i="5"/>
  <c r="AH69" i="5"/>
  <c r="DU69" i="5"/>
  <c r="CF69" i="5"/>
  <c r="DF69" i="5"/>
  <c r="DB69" i="5"/>
  <c r="E69" i="5"/>
  <c r="AR69" i="5"/>
  <c r="EC69" i="5"/>
  <c r="CB69" i="5"/>
  <c r="DE69" i="5"/>
  <c r="CX69" i="5"/>
  <c r="AE69" i="5"/>
  <c r="F69" i="5"/>
  <c r="EA69" i="5"/>
  <c r="CW69" i="5"/>
  <c r="CD69" i="5"/>
  <c r="DM69" i="5"/>
  <c r="CC69" i="5"/>
  <c r="AB69" i="5"/>
  <c r="R69" i="5"/>
  <c r="AN69" i="5"/>
  <c r="AI69" i="5"/>
  <c r="D69" i="5"/>
  <c r="AX69" i="5"/>
  <c r="S69" i="5"/>
  <c r="BH69" i="5"/>
  <c r="X69" i="5"/>
  <c r="AC14" i="5"/>
  <c r="AX14" i="5"/>
  <c r="P20" i="5"/>
  <c r="P21" i="5" s="1"/>
  <c r="P31" i="5" s="1"/>
  <c r="D18" i="7"/>
  <c r="E18" i="7"/>
  <c r="CK14" i="5"/>
  <c r="R16" i="5"/>
  <c r="R13" i="5" s="1"/>
  <c r="U20" i="5"/>
  <c r="U21" i="5" s="1"/>
  <c r="U31" i="5" s="1"/>
  <c r="U37" i="5" s="1"/>
  <c r="U43" i="5" s="1"/>
  <c r="U50" i="5" s="1"/>
  <c r="U51" i="5" s="1"/>
  <c r="U53" i="5" s="1"/>
  <c r="U13" i="5"/>
  <c r="G33" i="3"/>
  <c r="H26" i="3"/>
  <c r="Y69" i="5"/>
  <c r="E16" i="5"/>
  <c r="E13" i="5" s="1"/>
  <c r="E34" i="5"/>
  <c r="E35" i="5" s="1"/>
  <c r="O34" i="5"/>
  <c r="D15" i="7"/>
  <c r="E65" i="7"/>
  <c r="D14" i="7"/>
  <c r="O16" i="5"/>
  <c r="M18" i="6"/>
  <c r="CG14" i="5"/>
  <c r="CW14" i="5"/>
  <c r="BT14" i="5"/>
  <c r="AH14" i="5"/>
  <c r="AR14" i="5"/>
  <c r="AT14" i="5"/>
  <c r="DA14" i="5"/>
  <c r="CB14" i="5"/>
  <c r="AZ14" i="5"/>
  <c r="DI14" i="5"/>
  <c r="DM14" i="5"/>
  <c r="BP14" i="5"/>
  <c r="EC14" i="5"/>
  <c r="AA14" i="5"/>
  <c r="AP14" i="5"/>
  <c r="CS14" i="5"/>
  <c r="DY14" i="5"/>
  <c r="AV14" i="5"/>
  <c r="AD14" i="5"/>
  <c r="BD14" i="5"/>
  <c r="BW69" i="5"/>
  <c r="DP69" i="5"/>
  <c r="AQ69" i="5"/>
  <c r="CV69" i="5"/>
  <c r="AP69" i="5"/>
  <c r="DJ69" i="5"/>
  <c r="AD69" i="5"/>
  <c r="E75" i="7" s="1"/>
  <c r="DY69" i="5"/>
  <c r="BU69" i="5"/>
  <c r="CE69" i="5"/>
  <c r="CR69" i="5"/>
  <c r="BC69" i="5"/>
  <c r="AV69" i="5"/>
  <c r="DT69" i="5"/>
  <c r="BT69" i="5"/>
  <c r="BQ69" i="5"/>
  <c r="CP69" i="5"/>
  <c r="Q69" i="5"/>
  <c r="G69" i="5"/>
  <c r="DN69" i="5"/>
  <c r="CK69" i="5"/>
  <c r="DK69" i="5"/>
  <c r="DD69" i="5"/>
  <c r="BM69" i="5"/>
  <c r="V69" i="5"/>
  <c r="BD69" i="5"/>
  <c r="J69" i="5"/>
  <c r="BL69" i="5"/>
  <c r="AO69" i="5"/>
  <c r="AG69" i="5"/>
  <c r="BK69" i="5"/>
  <c r="AS69" i="5"/>
  <c r="O69" i="5"/>
  <c r="V16" i="5"/>
  <c r="V13" i="5" s="1"/>
  <c r="V34" i="5"/>
  <c r="V35" i="5" s="1"/>
  <c r="AB14" i="5"/>
  <c r="Y34" i="5"/>
  <c r="Y35" i="5" s="1"/>
  <c r="P34" i="5"/>
  <c r="P35" i="5" s="1"/>
  <c r="DU14" i="5"/>
  <c r="W16" i="5"/>
  <c r="J20" i="5"/>
  <c r="J21" i="5" s="1"/>
  <c r="J13" i="5"/>
  <c r="K34" i="5"/>
  <c r="K35" i="5" s="1"/>
  <c r="K16" i="5"/>
  <c r="K13" i="5" s="1"/>
  <c r="AZ69" i="5"/>
  <c r="O28" i="5"/>
  <c r="C20" i="5"/>
  <c r="C13" i="5"/>
  <c r="E71" i="7"/>
  <c r="E19" i="7"/>
  <c r="Y13" i="5"/>
  <c r="Y20" i="5"/>
  <c r="Y21" i="5" s="1"/>
  <c r="Y31" i="5" s="1"/>
  <c r="L16" i="5"/>
  <c r="L34" i="5"/>
  <c r="L35" i="5" s="1"/>
  <c r="J31" i="5"/>
  <c r="J37" i="5" s="1"/>
  <c r="J43" i="5" s="1"/>
  <c r="J50" i="5" s="1"/>
  <c r="J51" i="5" s="1"/>
  <c r="J53" i="5" s="1"/>
  <c r="C65" i="7"/>
  <c r="CS69" i="5"/>
  <c r="DA69" i="5"/>
  <c r="DZ69" i="5"/>
  <c r="CA69" i="5"/>
  <c r="T69" i="5"/>
  <c r="DC69" i="5"/>
  <c r="AK69" i="5"/>
  <c r="DI69" i="5"/>
  <c r="CY69" i="5"/>
  <c r="DR69" i="5"/>
  <c r="CH69" i="5"/>
  <c r="BI69" i="5"/>
  <c r="AU69" i="5"/>
  <c r="CZ69" i="5"/>
  <c r="CI69" i="5"/>
  <c r="DQ69" i="5"/>
  <c r="CG69" i="5"/>
  <c r="L69" i="5"/>
  <c r="BF69" i="5"/>
  <c r="DW69" i="5"/>
  <c r="BX69" i="5"/>
  <c r="CQ69" i="5"/>
  <c r="CU69" i="5"/>
  <c r="AM69" i="5"/>
  <c r="C69" i="5"/>
  <c r="W69" i="5"/>
  <c r="BN69" i="5"/>
  <c r="AL69" i="5"/>
  <c r="I69" i="5"/>
  <c r="BG69" i="5"/>
  <c r="AJ69" i="5"/>
  <c r="N69" i="5"/>
  <c r="BE69" i="5"/>
  <c r="Z16" i="5"/>
  <c r="Z34" i="5"/>
  <c r="Z35" i="5" s="1"/>
  <c r="AS14" i="5"/>
  <c r="S16" i="5"/>
  <c r="S13" i="5" s="1"/>
  <c r="D16" i="5"/>
  <c r="D34" i="5"/>
  <c r="D35" i="5" s="1"/>
  <c r="C18" i="7"/>
  <c r="R20" i="5"/>
  <c r="R21" i="5" s="1"/>
  <c r="R31" i="5" s="1"/>
  <c r="R37" i="5" s="1"/>
  <c r="R43" i="5" s="1"/>
  <c r="R50" i="5" s="1"/>
  <c r="R51" i="5" s="1"/>
  <c r="R53" i="5" s="1"/>
  <c r="AF14" i="5"/>
  <c r="L12" i="3"/>
  <c r="G44" i="7"/>
  <c r="G33" i="7"/>
  <c r="G39" i="7"/>
  <c r="G85" i="7"/>
  <c r="G66" i="7"/>
  <c r="G32" i="7"/>
  <c r="H8" i="7"/>
  <c r="G41" i="7"/>
  <c r="G69" i="7"/>
  <c r="G82" i="7"/>
  <c r="G86" i="7"/>
  <c r="G72" i="7"/>
  <c r="G63" i="7"/>
  <c r="G24" i="7"/>
  <c r="G40" i="7"/>
  <c r="G30" i="7"/>
  <c r="G84" i="7"/>
  <c r="G25" i="7"/>
  <c r="G71" i="7"/>
  <c r="G61" i="7"/>
  <c r="G47" i="7"/>
  <c r="G42" i="7"/>
  <c r="G26" i="7"/>
  <c r="G65" i="7"/>
  <c r="G23" i="7"/>
  <c r="G73" i="7"/>
  <c r="G88" i="7"/>
  <c r="G27" i="7"/>
  <c r="G74" i="7"/>
  <c r="G48" i="7"/>
  <c r="G22" i="7"/>
  <c r="G38" i="7"/>
  <c r="G46" i="7"/>
  <c r="G18" i="7"/>
  <c r="G28" i="7"/>
  <c r="G36" i="7"/>
  <c r="G83" i="7"/>
  <c r="G45" i="7"/>
  <c r="G62" i="7"/>
  <c r="G64" i="7"/>
  <c r="G19" i="7"/>
  <c r="G29" i="7"/>
  <c r="G17" i="7"/>
  <c r="G89" i="7"/>
  <c r="G91" i="7"/>
  <c r="G90" i="7"/>
  <c r="G49" i="7"/>
  <c r="C29" i="5"/>
  <c r="C28" i="7"/>
  <c r="O29" i="5"/>
  <c r="D28" i="7"/>
  <c r="AA29" i="5"/>
  <c r="E28" i="7"/>
  <c r="AM29" i="5"/>
  <c r="F28" i="7"/>
  <c r="CU29" i="5"/>
  <c r="CI29" i="5"/>
  <c r="C16" i="7" l="1"/>
  <c r="G75" i="7"/>
  <c r="G14" i="7"/>
  <c r="N20" i="5"/>
  <c r="N21" i="5" s="1"/>
  <c r="N31" i="5" s="1"/>
  <c r="N37" i="5" s="1"/>
  <c r="N43" i="5" s="1"/>
  <c r="N50" i="5" s="1"/>
  <c r="N51" i="5" s="1"/>
  <c r="N53" i="5" s="1"/>
  <c r="Y37" i="5"/>
  <c r="Y43" i="5" s="1"/>
  <c r="Y50" i="5" s="1"/>
  <c r="Y51" i="5" s="1"/>
  <c r="Y53" i="5" s="1"/>
  <c r="Q20" i="5"/>
  <c r="Q21" i="5" s="1"/>
  <c r="Q31" i="5" s="1"/>
  <c r="Q37" i="5" s="1"/>
  <c r="Q43" i="5" s="1"/>
  <c r="Q50" i="5" s="1"/>
  <c r="Q51" i="5" s="1"/>
  <c r="Q53" i="5" s="1"/>
  <c r="P37" i="5"/>
  <c r="K19" i="3"/>
  <c r="K3" i="3" s="1" a="1"/>
  <c r="K3" i="3" s="1"/>
  <c r="H32" i="3"/>
  <c r="H31" i="3"/>
  <c r="H33" i="3" s="1"/>
  <c r="K4" i="3" s="1" a="1"/>
  <c r="K4" i="3" s="1"/>
  <c r="I40" i="3"/>
  <c r="W20" i="5"/>
  <c r="W21" i="5" s="1"/>
  <c r="W31" i="5" s="1"/>
  <c r="W37" i="5" s="1"/>
  <c r="W43" i="5" s="1"/>
  <c r="W50" i="5" s="1"/>
  <c r="W51" i="5" s="1"/>
  <c r="W53" i="5" s="1"/>
  <c r="W13" i="5"/>
  <c r="F4" i="3" a="1"/>
  <c r="F4" i="3" s="1"/>
  <c r="I4" i="3" a="1"/>
  <c r="I4" i="3" s="1"/>
  <c r="D4" i="3" a="1"/>
  <c r="D4" i="3" s="1"/>
  <c r="E4" i="3" a="1"/>
  <c r="E4" i="3" s="1"/>
  <c r="H4" i="3" a="1"/>
  <c r="H4" i="3" s="1"/>
  <c r="J4" i="3" a="1"/>
  <c r="J4" i="3" s="1"/>
  <c r="G4" i="3" a="1"/>
  <c r="G4" i="3" s="1"/>
  <c r="X20" i="5"/>
  <c r="X21" i="5" s="1"/>
  <c r="X31" i="5" s="1"/>
  <c r="X37" i="5" s="1"/>
  <c r="X43" i="5" s="1"/>
  <c r="X50" i="5" s="1"/>
  <c r="X51" i="5" s="1"/>
  <c r="X53" i="5" s="1"/>
  <c r="C75" i="7"/>
  <c r="AP34" i="5"/>
  <c r="AP35" i="5" s="1"/>
  <c r="F14" i="7"/>
  <c r="C34" i="7"/>
  <c r="AL15" i="5"/>
  <c r="AP15" i="5"/>
  <c r="AP16" i="5" s="1"/>
  <c r="BV15" i="5"/>
  <c r="DJ15" i="5"/>
  <c r="BZ15" i="5"/>
  <c r="BC15" i="5"/>
  <c r="BA15" i="5"/>
  <c r="CU15" i="5"/>
  <c r="BF15" i="5"/>
  <c r="AD15" i="5"/>
  <c r="AD16" i="5" s="1"/>
  <c r="BE15" i="5"/>
  <c r="BJ15" i="5"/>
  <c r="AG15" i="5"/>
  <c r="AB15" i="5"/>
  <c r="CC15" i="5"/>
  <c r="AJ15" i="5"/>
  <c r="CP15" i="5"/>
  <c r="DH15" i="5"/>
  <c r="AM15" i="5"/>
  <c r="AN15" i="5"/>
  <c r="AC15" i="5"/>
  <c r="AC34" i="5" s="1"/>
  <c r="AC35" i="5" s="1"/>
  <c r="AU15" i="5"/>
  <c r="AS15" i="5"/>
  <c r="CZ15" i="5"/>
  <c r="DV15" i="5"/>
  <c r="EA15" i="5"/>
  <c r="CR15" i="5"/>
  <c r="CL15" i="5"/>
  <c r="DO15" i="5"/>
  <c r="CT15" i="5"/>
  <c r="DN15" i="5"/>
  <c r="BY15" i="5"/>
  <c r="DD15" i="5"/>
  <c r="BR15" i="5"/>
  <c r="DY15" i="5"/>
  <c r="DY16" i="5" s="1"/>
  <c r="DG15" i="5"/>
  <c r="CK15" i="5"/>
  <c r="CK34" i="5" s="1"/>
  <c r="CK35" i="5" s="1"/>
  <c r="AH15" i="5"/>
  <c r="AH16" i="5" s="1"/>
  <c r="AT15" i="5"/>
  <c r="CN15" i="5"/>
  <c r="BW15" i="5"/>
  <c r="BK15" i="5"/>
  <c r="CY15" i="5"/>
  <c r="CQ15" i="5"/>
  <c r="CE15" i="5"/>
  <c r="BQ15" i="5"/>
  <c r="AV15" i="5"/>
  <c r="BL15" i="5"/>
  <c r="AY15" i="5"/>
  <c r="AR15" i="5"/>
  <c r="AR34" i="5" s="1"/>
  <c r="AR35" i="5" s="1"/>
  <c r="AI15" i="5"/>
  <c r="BG15" i="5"/>
  <c r="DX15" i="5"/>
  <c r="BH15" i="5"/>
  <c r="BI15" i="5"/>
  <c r="CA15" i="5"/>
  <c r="DC15" i="5"/>
  <c r="ED15" i="5"/>
  <c r="DL15" i="5"/>
  <c r="CS15" i="5"/>
  <c r="CS16" i="5" s="1"/>
  <c r="DQ15" i="5"/>
  <c r="DB15" i="5"/>
  <c r="CH15" i="5"/>
  <c r="DF15" i="5"/>
  <c r="DS15" i="5"/>
  <c r="DE15" i="5"/>
  <c r="CJ15" i="5"/>
  <c r="BX15" i="5"/>
  <c r="AO15" i="5"/>
  <c r="AQ15" i="5"/>
  <c r="CF15" i="5"/>
  <c r="CI15" i="5"/>
  <c r="DA15" i="5"/>
  <c r="DA16" i="5" s="1"/>
  <c r="BS15" i="5"/>
  <c r="BM15" i="5"/>
  <c r="DU15" i="5"/>
  <c r="DU16" i="5" s="1"/>
  <c r="EC15" i="5"/>
  <c r="EC34" i="5" s="1"/>
  <c r="EC35" i="5" s="1"/>
  <c r="DZ15" i="5"/>
  <c r="CX15" i="5"/>
  <c r="BD15" i="5"/>
  <c r="BD34" i="5" s="1"/>
  <c r="BD35" i="5" s="1"/>
  <c r="AX15" i="5"/>
  <c r="AX16" i="5" s="1"/>
  <c r="BB15" i="5"/>
  <c r="AW15" i="5"/>
  <c r="BT15" i="5"/>
  <c r="BT34" i="5" s="1"/>
  <c r="BT35" i="5" s="1"/>
  <c r="CM15" i="5"/>
  <c r="DP15" i="5"/>
  <c r="CD15" i="5"/>
  <c r="EB15" i="5"/>
  <c r="BN15" i="5"/>
  <c r="BU15" i="5"/>
  <c r="DI15" i="5"/>
  <c r="DI16" i="5" s="1"/>
  <c r="CB15" i="5"/>
  <c r="CB16" i="5" s="1"/>
  <c r="DW15" i="5"/>
  <c r="DM15" i="5"/>
  <c r="DM16" i="5" s="1"/>
  <c r="DR15" i="5"/>
  <c r="CO15" i="5"/>
  <c r="BO15" i="5"/>
  <c r="AE15" i="5"/>
  <c r="AF15" i="5"/>
  <c r="AF16" i="5" s="1"/>
  <c r="AA15" i="5"/>
  <c r="AZ15" i="5"/>
  <c r="AZ34" i="5" s="1"/>
  <c r="AZ35" i="5" s="1"/>
  <c r="DK15" i="5"/>
  <c r="CV15" i="5"/>
  <c r="DT15" i="5"/>
  <c r="CG15" i="5"/>
  <c r="CG16" i="5" s="1"/>
  <c r="CW15" i="5"/>
  <c r="CW16" i="5" s="1"/>
  <c r="BP15" i="5"/>
  <c r="BP16" i="5" s="1"/>
  <c r="AK15" i="5"/>
  <c r="T13" i="5"/>
  <c r="T20" i="5"/>
  <c r="T21" i="5" s="1"/>
  <c r="T31" i="5" s="1"/>
  <c r="T37" i="5" s="1"/>
  <c r="T43" i="5" s="1"/>
  <c r="T50" i="5" s="1"/>
  <c r="T51" i="5" s="1"/>
  <c r="T53" i="5" s="1"/>
  <c r="AS34" i="5"/>
  <c r="AS35" i="5" s="1"/>
  <c r="AS16" i="5"/>
  <c r="F75" i="7"/>
  <c r="AV34" i="5"/>
  <c r="AV35" i="5" s="1"/>
  <c r="AV16" i="5"/>
  <c r="AA34" i="5"/>
  <c r="AA16" i="5"/>
  <c r="E14" i="7"/>
  <c r="DI34" i="5"/>
  <c r="DI35" i="5" s="1"/>
  <c r="AT34" i="5"/>
  <c r="AT35" i="5" s="1"/>
  <c r="AT16" i="5"/>
  <c r="CW34" i="5"/>
  <c r="CW35" i="5" s="1"/>
  <c r="O13" i="5"/>
  <c r="O20" i="5"/>
  <c r="O35" i="5"/>
  <c r="D35" i="7" s="1"/>
  <c r="D34" i="7"/>
  <c r="I26" i="3"/>
  <c r="E20" i="5"/>
  <c r="E21" i="5" s="1"/>
  <c r="E31" i="5" s="1"/>
  <c r="E37" i="5" s="1"/>
  <c r="E43" i="5" s="1"/>
  <c r="E50" i="5" s="1"/>
  <c r="C35" i="7"/>
  <c r="F20" i="5"/>
  <c r="F21" i="5" s="1"/>
  <c r="F31" i="5" s="1"/>
  <c r="F37" i="5" s="1"/>
  <c r="F43" i="5" s="1"/>
  <c r="F50" i="5" s="1"/>
  <c r="F51" i="5" s="1"/>
  <c r="F53" i="5" s="1"/>
  <c r="F13" i="5"/>
  <c r="I13" i="5"/>
  <c r="I20" i="5"/>
  <c r="I21" i="5" s="1"/>
  <c r="I31" i="5" s="1"/>
  <c r="I37" i="5" s="1"/>
  <c r="I43" i="5" s="1"/>
  <c r="I50" i="5" s="1"/>
  <c r="I51" i="5" s="1"/>
  <c r="I53" i="5" s="1"/>
  <c r="D13" i="5"/>
  <c r="D20" i="5"/>
  <c r="D21" i="5" s="1"/>
  <c r="D31" i="5" s="1"/>
  <c r="D37" i="5" s="1"/>
  <c r="D43" i="5" s="1"/>
  <c r="D16" i="7"/>
  <c r="Z13" i="5"/>
  <c r="Z20" i="5"/>
  <c r="Z21" i="5" s="1"/>
  <c r="Z31" i="5" s="1"/>
  <c r="Z37" i="5" s="1"/>
  <c r="Z43" i="5" s="1"/>
  <c r="Z50" i="5" s="1"/>
  <c r="Z51" i="5" s="1"/>
  <c r="Z53" i="5" s="1"/>
  <c r="AB34" i="5"/>
  <c r="AB35" i="5" s="1"/>
  <c r="AB16" i="5"/>
  <c r="BP34" i="5"/>
  <c r="BP35" i="5" s="1"/>
  <c r="AF34" i="5"/>
  <c r="AF35" i="5" s="1"/>
  <c r="S20" i="5"/>
  <c r="S21" i="5" s="1"/>
  <c r="S31" i="5" s="1"/>
  <c r="S37" i="5" s="1"/>
  <c r="S43" i="5" s="1"/>
  <c r="S50" i="5" s="1"/>
  <c r="S51" i="5" s="1"/>
  <c r="S53" i="5" s="1"/>
  <c r="L13" i="5"/>
  <c r="L20" i="5"/>
  <c r="L21" i="5" s="1"/>
  <c r="L31" i="5" s="1"/>
  <c r="L37" i="5" s="1"/>
  <c r="L43" i="5" s="1"/>
  <c r="L50" i="5" s="1"/>
  <c r="L51" i="5" s="1"/>
  <c r="L53" i="5" s="1"/>
  <c r="C21" i="5"/>
  <c r="K20" i="5"/>
  <c r="K21" i="5" s="1"/>
  <c r="K31" i="5" s="1"/>
  <c r="K37" i="5" s="1"/>
  <c r="K43" i="5" s="1"/>
  <c r="K50" i="5" s="1"/>
  <c r="K51" i="5" s="1"/>
  <c r="K53" i="5" s="1"/>
  <c r="D75" i="7"/>
  <c r="DY34" i="5"/>
  <c r="DY35" i="5" s="1"/>
  <c r="AR16" i="5"/>
  <c r="V20" i="5"/>
  <c r="V21" i="5" s="1"/>
  <c r="V31" i="5" s="1"/>
  <c r="V37" i="5" s="1"/>
  <c r="V43" i="5" s="1"/>
  <c r="M20" i="5"/>
  <c r="M21" i="5" s="1"/>
  <c r="M31" i="5" s="1"/>
  <c r="M37" i="5" s="1"/>
  <c r="M43" i="5" s="1"/>
  <c r="M50" i="5" s="1"/>
  <c r="M51" i="5" s="1"/>
  <c r="M53" i="5" s="1"/>
  <c r="M13" i="5"/>
  <c r="DG70" i="5"/>
  <c r="CK70" i="5"/>
  <c r="CO70" i="5"/>
  <c r="CU70" i="5"/>
  <c r="CY70" i="5"/>
  <c r="BT70" i="5"/>
  <c r="DC70" i="5"/>
  <c r="DQ70" i="5"/>
  <c r="DD70" i="5"/>
  <c r="DW70" i="5"/>
  <c r="DP70" i="5"/>
  <c r="I46" i="6"/>
  <c r="M70" i="5" s="1"/>
  <c r="AH70" i="5"/>
  <c r="CA70" i="5"/>
  <c r="DX70" i="5"/>
  <c r="DK70" i="5"/>
  <c r="DF70" i="5"/>
  <c r="CP70" i="5"/>
  <c r="DZ70" i="5"/>
  <c r="AV70" i="5"/>
  <c r="AP70" i="5"/>
  <c r="BF70" i="5"/>
  <c r="AN70" i="5"/>
  <c r="AI70" i="5"/>
  <c r="AS70" i="5"/>
  <c r="K70" i="5"/>
  <c r="G70" i="5"/>
  <c r="BH70" i="5"/>
  <c r="AZ70" i="5"/>
  <c r="AU70" i="5"/>
  <c r="BB70" i="5"/>
  <c r="BI70" i="5"/>
  <c r="P70" i="5"/>
  <c r="C70" i="5"/>
  <c r="AC70" i="5"/>
  <c r="Q70" i="5"/>
  <c r="AG70" i="5"/>
  <c r="AA70" i="5"/>
  <c r="E70" i="5"/>
  <c r="AK70" i="5"/>
  <c r="BK70" i="5"/>
  <c r="BE70" i="5"/>
  <c r="AY70" i="5"/>
  <c r="AE70" i="5"/>
  <c r="R70" i="5"/>
  <c r="BA70" i="5"/>
  <c r="AF70" i="5"/>
  <c r="BD70" i="5"/>
  <c r="J70" i="5"/>
  <c r="L70" i="5"/>
  <c r="H70" i="5"/>
  <c r="F70" i="5"/>
  <c r="BV70" i="5"/>
  <c r="Y70" i="5"/>
  <c r="AX70" i="5"/>
  <c r="AM70" i="5"/>
  <c r="U70" i="5"/>
  <c r="W70" i="5"/>
  <c r="BL70" i="5"/>
  <c r="BO70" i="5"/>
  <c r="X70" i="5"/>
  <c r="M12" i="3"/>
  <c r="H40" i="7"/>
  <c r="H23" i="7"/>
  <c r="H85" i="7"/>
  <c r="H69" i="7"/>
  <c r="H44" i="7"/>
  <c r="H83" i="7"/>
  <c r="H33" i="7"/>
  <c r="H22" i="7"/>
  <c r="H38" i="7"/>
  <c r="H72" i="7"/>
  <c r="H73" i="7"/>
  <c r="H36" i="7"/>
  <c r="H88" i="7"/>
  <c r="I8" i="7"/>
  <c r="H39" i="7"/>
  <c r="H82" i="7"/>
  <c r="H62" i="7"/>
  <c r="H26" i="7"/>
  <c r="H65" i="7"/>
  <c r="H64" i="7"/>
  <c r="H32" i="7"/>
  <c r="H86" i="7"/>
  <c r="H74" i="7"/>
  <c r="H42" i="7"/>
  <c r="H24" i="7"/>
  <c r="H41" i="7"/>
  <c r="H45" i="7"/>
  <c r="H84" i="7"/>
  <c r="H66" i="7"/>
  <c r="H25" i="7"/>
  <c r="H75" i="7"/>
  <c r="H71" i="7"/>
  <c r="H61" i="7"/>
  <c r="H48" i="7"/>
  <c r="H30" i="7"/>
  <c r="H63" i="7"/>
  <c r="H46" i="7"/>
  <c r="H18" i="7"/>
  <c r="H47" i="7"/>
  <c r="H14" i="7"/>
  <c r="H27" i="7"/>
  <c r="H89" i="7"/>
  <c r="H28" i="7"/>
  <c r="H19" i="7"/>
  <c r="H29" i="7"/>
  <c r="H17" i="7"/>
  <c r="H90" i="7"/>
  <c r="H91" i="7"/>
  <c r="H49" i="7"/>
  <c r="D29" i="7"/>
  <c r="F29" i="7"/>
  <c r="E29" i="7"/>
  <c r="C31" i="5"/>
  <c r="C29" i="7"/>
  <c r="P43" i="5"/>
  <c r="CI70" i="5" l="1"/>
  <c r="AO70" i="5"/>
  <c r="CH70" i="5"/>
  <c r="ED70" i="5"/>
  <c r="AW70" i="5"/>
  <c r="AC16" i="5"/>
  <c r="AC13" i="5" s="1"/>
  <c r="AZ16" i="5"/>
  <c r="AZ20" i="5" s="1"/>
  <c r="AZ21" i="5" s="1"/>
  <c r="AZ31" i="5" s="1"/>
  <c r="AZ37" i="5" s="1"/>
  <c r="AZ43" i="5" s="1"/>
  <c r="AZ50" i="5" s="1"/>
  <c r="AZ51" i="5" s="1"/>
  <c r="AZ53" i="5" s="1"/>
  <c r="C13" i="7"/>
  <c r="BD16" i="5"/>
  <c r="DU34" i="5"/>
  <c r="DU35" i="5" s="1"/>
  <c r="BN70" i="5"/>
  <c r="DI70" i="5"/>
  <c r="AR70" i="5"/>
  <c r="CX70" i="5"/>
  <c r="AB70" i="5"/>
  <c r="DS70" i="5"/>
  <c r="BG70" i="5"/>
  <c r="CQ70" i="5"/>
  <c r="AJ70" i="5"/>
  <c r="DA70" i="5"/>
  <c r="DY70" i="5"/>
  <c r="DL70" i="5"/>
  <c r="AX34" i="5"/>
  <c r="AX35" i="5" s="1"/>
  <c r="J40" i="3"/>
  <c r="I31" i="3"/>
  <c r="I32" i="3"/>
  <c r="AX13" i="5"/>
  <c r="AX20" i="5"/>
  <c r="AX21" i="5" s="1"/>
  <c r="AX31" i="5" s="1"/>
  <c r="AX37" i="5" s="1"/>
  <c r="AX43" i="5" s="1"/>
  <c r="AX50" i="5" s="1"/>
  <c r="AX51" i="5" s="1"/>
  <c r="AX53" i="5" s="1"/>
  <c r="AH13" i="5"/>
  <c r="AH20" i="5"/>
  <c r="AH21" i="5" s="1"/>
  <c r="AH31" i="5" s="1"/>
  <c r="AD13" i="5"/>
  <c r="AD20" i="5"/>
  <c r="AD21" i="5" s="1"/>
  <c r="AD31" i="5" s="1"/>
  <c r="AP13" i="5"/>
  <c r="AP20" i="5"/>
  <c r="AP21" i="5" s="1"/>
  <c r="AP31" i="5" s="1"/>
  <c r="AP37" i="5" s="1"/>
  <c r="AP43" i="5" s="1"/>
  <c r="AP50" i="5" s="1"/>
  <c r="AP51" i="5" s="1"/>
  <c r="AP53" i="5" s="1"/>
  <c r="AC20" i="5"/>
  <c r="AC21" i="5" s="1"/>
  <c r="AC31" i="5" s="1"/>
  <c r="AC37" i="5" s="1"/>
  <c r="AC43" i="5" s="1"/>
  <c r="AC50" i="5" s="1"/>
  <c r="AC51" i="5" s="1"/>
  <c r="AC53" i="5" s="1"/>
  <c r="AZ13" i="5"/>
  <c r="O21" i="5"/>
  <c r="D20" i="7"/>
  <c r="AA35" i="5"/>
  <c r="CG13" i="5"/>
  <c r="CG20" i="5"/>
  <c r="CG21" i="5" s="1"/>
  <c r="CG31" i="5" s="1"/>
  <c r="BO16" i="5"/>
  <c r="BO34" i="5"/>
  <c r="BO35" i="5" s="1"/>
  <c r="BN16" i="5"/>
  <c r="BN34" i="5"/>
  <c r="BN35" i="5" s="1"/>
  <c r="CM16" i="5"/>
  <c r="CM34" i="5"/>
  <c r="CM35" i="5" s="1"/>
  <c r="DA20" i="5"/>
  <c r="DA21" i="5" s="1"/>
  <c r="DA31" i="5" s="1"/>
  <c r="DA13" i="5"/>
  <c r="DS34" i="5"/>
  <c r="DS35" i="5" s="1"/>
  <c r="DS16" i="5"/>
  <c r="DC34" i="5"/>
  <c r="DC35" i="5" s="1"/>
  <c r="DC16" i="5"/>
  <c r="AY34" i="5"/>
  <c r="AY16" i="5"/>
  <c r="G15" i="7"/>
  <c r="DO34" i="5"/>
  <c r="DO35" i="5" s="1"/>
  <c r="DO16" i="5"/>
  <c r="CP34" i="5"/>
  <c r="CP35" i="5" s="1"/>
  <c r="CP16" i="5"/>
  <c r="AG34" i="5"/>
  <c r="AG35" i="5" s="1"/>
  <c r="AG16" i="5"/>
  <c r="BZ16" i="5"/>
  <c r="BZ34" i="5"/>
  <c r="BZ35" i="5" s="1"/>
  <c r="AL34" i="5"/>
  <c r="AL35" i="5" s="1"/>
  <c r="AL16" i="5"/>
  <c r="BD13" i="5"/>
  <c r="BD20" i="5"/>
  <c r="BD21" i="5" s="1"/>
  <c r="BD31" i="5" s="1"/>
  <c r="BD37" i="5" s="1"/>
  <c r="BD43" i="5" s="1"/>
  <c r="BD50" i="5" s="1"/>
  <c r="BD51" i="5" s="1"/>
  <c r="BD53" i="5" s="1"/>
  <c r="AD70" i="5"/>
  <c r="DH70" i="5"/>
  <c r="DE70" i="5"/>
  <c r="EB70" i="5"/>
  <c r="CB70" i="5"/>
  <c r="CJ70" i="5"/>
  <c r="BZ70" i="5"/>
  <c r="BW70" i="5"/>
  <c r="O70" i="5"/>
  <c r="BP70" i="5"/>
  <c r="AT70" i="5"/>
  <c r="DU70" i="5"/>
  <c r="DJ70" i="5"/>
  <c r="CZ70" i="5"/>
  <c r="CN70" i="5"/>
  <c r="AL70" i="5"/>
  <c r="CG34" i="5"/>
  <c r="CG35" i="5" s="1"/>
  <c r="EC16" i="5"/>
  <c r="C20" i="7"/>
  <c r="AB13" i="5"/>
  <c r="AB20" i="5"/>
  <c r="AB21" i="5" s="1"/>
  <c r="AB31" i="5" s="1"/>
  <c r="AB37" i="5" s="1"/>
  <c r="AB43" i="5" s="1"/>
  <c r="AB50" i="5" s="1"/>
  <c r="AB51" i="5" s="1"/>
  <c r="AB53" i="5" s="1"/>
  <c r="D13" i="7"/>
  <c r="AV13" i="5"/>
  <c r="AV20" i="5"/>
  <c r="AV21" i="5" s="1"/>
  <c r="AV31" i="5" s="1"/>
  <c r="AV37" i="5" s="1"/>
  <c r="AV43" i="5" s="1"/>
  <c r="AV50" i="5" s="1"/>
  <c r="AV51" i="5" s="1"/>
  <c r="AV53" i="5" s="1"/>
  <c r="AS20" i="5"/>
  <c r="AS21" i="5" s="1"/>
  <c r="AS31" i="5" s="1"/>
  <c r="AS37" i="5" s="1"/>
  <c r="AS43" i="5" s="1"/>
  <c r="AS50" i="5" s="1"/>
  <c r="AS51" i="5" s="1"/>
  <c r="AS53" i="5" s="1"/>
  <c r="AS13" i="5"/>
  <c r="AK34" i="5"/>
  <c r="AK35" i="5" s="1"/>
  <c r="AK16" i="5"/>
  <c r="DT34" i="5"/>
  <c r="DT35" i="5" s="1"/>
  <c r="DT16" i="5"/>
  <c r="E15" i="7"/>
  <c r="CO16" i="5"/>
  <c r="CO34" i="5"/>
  <c r="CO35" i="5" s="1"/>
  <c r="CB13" i="5"/>
  <c r="CB20" i="5"/>
  <c r="CB21" i="5" s="1"/>
  <c r="CB31" i="5" s="1"/>
  <c r="EB34" i="5"/>
  <c r="EB35" i="5" s="1"/>
  <c r="EB16" i="5"/>
  <c r="DU20" i="5"/>
  <c r="DU21" i="5" s="1"/>
  <c r="DU31" i="5" s="1"/>
  <c r="DU37" i="5" s="1"/>
  <c r="DU43" i="5" s="1"/>
  <c r="DU50" i="5" s="1"/>
  <c r="DU51" i="5" s="1"/>
  <c r="DU53" i="5" s="1"/>
  <c r="DU13" i="5"/>
  <c r="CI16" i="5"/>
  <c r="CI34" i="5"/>
  <c r="CI35" i="5" s="1"/>
  <c r="BX34" i="5"/>
  <c r="BX35" i="5" s="1"/>
  <c r="BX16" i="5"/>
  <c r="DF16" i="5"/>
  <c r="DF34" i="5"/>
  <c r="DF35" i="5" s="1"/>
  <c r="CS13" i="5"/>
  <c r="CS20" i="5"/>
  <c r="CS21" i="5" s="1"/>
  <c r="CS31" i="5" s="1"/>
  <c r="CA16" i="5"/>
  <c r="CA34" i="5"/>
  <c r="CA35" i="5" s="1"/>
  <c r="BG34" i="5"/>
  <c r="BG35" i="5" s="1"/>
  <c r="BG16" i="5"/>
  <c r="BL16" i="5"/>
  <c r="BL34" i="5"/>
  <c r="BL35" i="5" s="1"/>
  <c r="CQ16" i="5"/>
  <c r="CQ34" i="5"/>
  <c r="CQ35" i="5" s="1"/>
  <c r="CN16" i="5"/>
  <c r="CN34" i="5"/>
  <c r="CN35" i="5" s="1"/>
  <c r="DG34" i="5"/>
  <c r="DG35" i="5" s="1"/>
  <c r="DG16" i="5"/>
  <c r="BY16" i="5"/>
  <c r="BY34" i="5"/>
  <c r="BY35" i="5" s="1"/>
  <c r="CL34" i="5"/>
  <c r="CL35" i="5" s="1"/>
  <c r="CL16" i="5"/>
  <c r="CZ34" i="5"/>
  <c r="CZ35" i="5" s="1"/>
  <c r="CZ16" i="5"/>
  <c r="AN16" i="5"/>
  <c r="AN34" i="5"/>
  <c r="AN35" i="5" s="1"/>
  <c r="AJ34" i="5"/>
  <c r="AJ35" i="5" s="1"/>
  <c r="AJ16" i="5"/>
  <c r="BJ16" i="5"/>
  <c r="BJ34" i="5"/>
  <c r="BJ35" i="5" s="1"/>
  <c r="CU16" i="5"/>
  <c r="CU34" i="5"/>
  <c r="CU35" i="5" s="1"/>
  <c r="DJ16" i="5"/>
  <c r="DJ34" i="5"/>
  <c r="DJ35" i="5" s="1"/>
  <c r="AH34" i="5"/>
  <c r="AH35" i="5" s="1"/>
  <c r="BT16" i="5"/>
  <c r="CS34" i="5"/>
  <c r="CS35" i="5" s="1"/>
  <c r="DW16" i="5"/>
  <c r="DW34" i="5"/>
  <c r="DW35" i="5" s="1"/>
  <c r="AO16" i="5"/>
  <c r="AO34" i="5"/>
  <c r="AO35" i="5" s="1"/>
  <c r="DQ34" i="5"/>
  <c r="DQ35" i="5" s="1"/>
  <c r="DQ16" i="5"/>
  <c r="DX34" i="5"/>
  <c r="DX35" i="5" s="1"/>
  <c r="DX16" i="5"/>
  <c r="CE34" i="5"/>
  <c r="CE35" i="5" s="1"/>
  <c r="CE16" i="5"/>
  <c r="BW16" i="5"/>
  <c r="BW34" i="5"/>
  <c r="BW35" i="5" s="1"/>
  <c r="I35" i="7" s="1"/>
  <c r="DD34" i="5"/>
  <c r="DD35" i="5" s="1"/>
  <c r="DD16" i="5"/>
  <c r="DV34" i="5"/>
  <c r="DV35" i="5" s="1"/>
  <c r="DV16" i="5"/>
  <c r="BF16" i="5"/>
  <c r="BF34" i="5"/>
  <c r="BF35" i="5" s="1"/>
  <c r="H15" i="7"/>
  <c r="H47" i="6"/>
  <c r="K46" i="6"/>
  <c r="CL70" i="5"/>
  <c r="CR70" i="5"/>
  <c r="CD70" i="5"/>
  <c r="BX70" i="5"/>
  <c r="S70" i="5"/>
  <c r="DR70" i="5"/>
  <c r="BR70" i="5"/>
  <c r="EA70" i="5"/>
  <c r="BM70" i="5"/>
  <c r="DM70" i="5"/>
  <c r="DN70" i="5"/>
  <c r="BC70" i="5"/>
  <c r="BJ70" i="5"/>
  <c r="G76" i="7" s="1"/>
  <c r="CT70" i="5"/>
  <c r="I70" i="5"/>
  <c r="CS70" i="5"/>
  <c r="CW70" i="5"/>
  <c r="CM70" i="5"/>
  <c r="CG70" i="5"/>
  <c r="V70" i="5"/>
  <c r="V50" i="5"/>
  <c r="V51" i="5" s="1"/>
  <c r="V53" i="5" s="1"/>
  <c r="AR13" i="5"/>
  <c r="AR20" i="5"/>
  <c r="AR21" i="5" s="1"/>
  <c r="AR31" i="5" s="1"/>
  <c r="AR37" i="5" s="1"/>
  <c r="AR43" i="5" s="1"/>
  <c r="AR50" i="5" s="1"/>
  <c r="AR51" i="5" s="1"/>
  <c r="AR53" i="5" s="1"/>
  <c r="C21" i="7"/>
  <c r="D50" i="5"/>
  <c r="D51" i="5" s="1"/>
  <c r="D53" i="5"/>
  <c r="J26" i="3"/>
  <c r="BP13" i="5"/>
  <c r="BP20" i="5"/>
  <c r="BP21" i="5" s="1"/>
  <c r="BP31" i="5" s="1"/>
  <c r="BP37" i="5" s="1"/>
  <c r="BP43" i="5" s="1"/>
  <c r="BP50" i="5" s="1"/>
  <c r="BP51" i="5" s="1"/>
  <c r="BP53" i="5" s="1"/>
  <c r="CV16" i="5"/>
  <c r="CV34" i="5"/>
  <c r="CV35" i="5" s="1"/>
  <c r="AF13" i="5"/>
  <c r="AF20" i="5"/>
  <c r="AF21" i="5" s="1"/>
  <c r="AF31" i="5" s="1"/>
  <c r="AF37" i="5" s="1"/>
  <c r="AF43" i="5" s="1"/>
  <c r="AF50" i="5" s="1"/>
  <c r="AF51" i="5" s="1"/>
  <c r="AF53" i="5" s="1"/>
  <c r="DR16" i="5"/>
  <c r="DR34" i="5"/>
  <c r="DR35" i="5" s="1"/>
  <c r="DI13" i="5"/>
  <c r="DI20" i="5"/>
  <c r="DI21" i="5" s="1"/>
  <c r="DI31" i="5" s="1"/>
  <c r="DI37" i="5" s="1"/>
  <c r="DI43" i="5" s="1"/>
  <c r="DI50" i="5" s="1"/>
  <c r="DI51" i="5" s="1"/>
  <c r="DI53" i="5" s="1"/>
  <c r="CD16" i="5"/>
  <c r="CD34" i="5"/>
  <c r="CD35" i="5" s="1"/>
  <c r="AW34" i="5"/>
  <c r="AW35" i="5" s="1"/>
  <c r="AW16" i="5"/>
  <c r="CX16" i="5"/>
  <c r="CX34" i="5"/>
  <c r="CX35" i="5" s="1"/>
  <c r="BM34" i="5"/>
  <c r="BM35" i="5" s="1"/>
  <c r="BM16" i="5"/>
  <c r="CF34" i="5"/>
  <c r="CF35" i="5" s="1"/>
  <c r="CF16" i="5"/>
  <c r="I16" i="7" s="1"/>
  <c r="CJ34" i="5"/>
  <c r="CJ35" i="5" s="1"/>
  <c r="CJ16" i="5"/>
  <c r="CH34" i="5"/>
  <c r="CH35" i="5" s="1"/>
  <c r="CH16" i="5"/>
  <c r="DL34" i="5"/>
  <c r="DL35" i="5" s="1"/>
  <c r="DL16" i="5"/>
  <c r="BI34" i="5"/>
  <c r="BI35" i="5" s="1"/>
  <c r="BI16" i="5"/>
  <c r="AI16" i="5"/>
  <c r="AI34" i="5"/>
  <c r="AI35" i="5" s="1"/>
  <c r="CY34" i="5"/>
  <c r="CY35" i="5" s="1"/>
  <c r="CY16" i="5"/>
  <c r="DY13" i="5"/>
  <c r="DY20" i="5"/>
  <c r="DY21" i="5" s="1"/>
  <c r="DY31" i="5" s="1"/>
  <c r="DY37" i="5" s="1"/>
  <c r="DY43" i="5" s="1"/>
  <c r="DY50" i="5" s="1"/>
  <c r="DY51" i="5" s="1"/>
  <c r="DY53" i="5" s="1"/>
  <c r="DN34" i="5"/>
  <c r="DN35" i="5" s="1"/>
  <c r="DN16" i="5"/>
  <c r="CR34" i="5"/>
  <c r="CR35" i="5" s="1"/>
  <c r="CR16" i="5"/>
  <c r="F15" i="7"/>
  <c r="AM16" i="5"/>
  <c r="AM34" i="5"/>
  <c r="CC16" i="5"/>
  <c r="CC34" i="5"/>
  <c r="CC35" i="5" s="1"/>
  <c r="BE16" i="5"/>
  <c r="BE34" i="5"/>
  <c r="BE35" i="5" s="1"/>
  <c r="BA16" i="5"/>
  <c r="BA34" i="5"/>
  <c r="BA35" i="5" s="1"/>
  <c r="BV16" i="5"/>
  <c r="BV34" i="5"/>
  <c r="BV35" i="5" s="1"/>
  <c r="DA34" i="5"/>
  <c r="DA35" i="5" s="1"/>
  <c r="AD34" i="5"/>
  <c r="AD35" i="5" s="1"/>
  <c r="DV70" i="5"/>
  <c r="BQ70" i="5"/>
  <c r="D70" i="5"/>
  <c r="CC70" i="5"/>
  <c r="T70" i="5"/>
  <c r="DT70" i="5"/>
  <c r="DO70" i="5"/>
  <c r="DB70" i="5"/>
  <c r="CV70" i="5"/>
  <c r="AQ70" i="5"/>
  <c r="F76" i="7" s="1"/>
  <c r="Z70" i="5"/>
  <c r="CF70" i="5"/>
  <c r="EC70" i="5"/>
  <c r="BY70" i="5"/>
  <c r="CE70" i="5"/>
  <c r="BU70" i="5"/>
  <c r="BS70" i="5"/>
  <c r="N70" i="5"/>
  <c r="CK16" i="5"/>
  <c r="AT20" i="5"/>
  <c r="AT21" i="5" s="1"/>
  <c r="AT31" i="5" s="1"/>
  <c r="AT37" i="5" s="1"/>
  <c r="AT43" i="5" s="1"/>
  <c r="AT50" i="5" s="1"/>
  <c r="AT51" i="5" s="1"/>
  <c r="AT53" i="5" s="1"/>
  <c r="AT13" i="5"/>
  <c r="AA13" i="5"/>
  <c r="AA20" i="5"/>
  <c r="CW13" i="5"/>
  <c r="CW20" i="5"/>
  <c r="CW21" i="5" s="1"/>
  <c r="CW31" i="5" s="1"/>
  <c r="CW37" i="5" s="1"/>
  <c r="CW43" i="5" s="1"/>
  <c r="CW50" i="5" s="1"/>
  <c r="CW51" i="5" s="1"/>
  <c r="CW53" i="5" s="1"/>
  <c r="DK34" i="5"/>
  <c r="DK35" i="5" s="1"/>
  <c r="DK16" i="5"/>
  <c r="AE16" i="5"/>
  <c r="AE34" i="5"/>
  <c r="AE35" i="5" s="1"/>
  <c r="DM13" i="5"/>
  <c r="DM20" i="5"/>
  <c r="DM21" i="5" s="1"/>
  <c r="DM31" i="5" s="1"/>
  <c r="BU16" i="5"/>
  <c r="BU34" i="5"/>
  <c r="BU35" i="5" s="1"/>
  <c r="DP16" i="5"/>
  <c r="DP34" i="5"/>
  <c r="DP35" i="5" s="1"/>
  <c r="BB16" i="5"/>
  <c r="BB34" i="5"/>
  <c r="BB35" i="5" s="1"/>
  <c r="DZ34" i="5"/>
  <c r="DZ35" i="5" s="1"/>
  <c r="DZ16" i="5"/>
  <c r="BS34" i="5"/>
  <c r="BS35" i="5" s="1"/>
  <c r="BS16" i="5"/>
  <c r="AQ34" i="5"/>
  <c r="AQ35" i="5" s="1"/>
  <c r="AQ16" i="5"/>
  <c r="DE34" i="5"/>
  <c r="DE35" i="5" s="1"/>
  <c r="DE16" i="5"/>
  <c r="DB16" i="5"/>
  <c r="DB34" i="5"/>
  <c r="DB35" i="5" s="1"/>
  <c r="ED34" i="5"/>
  <c r="ED35" i="5" s="1"/>
  <c r="ED16" i="5"/>
  <c r="BH34" i="5"/>
  <c r="BH35" i="5" s="1"/>
  <c r="BH16" i="5"/>
  <c r="BQ34" i="5"/>
  <c r="BQ35" i="5" s="1"/>
  <c r="BQ16" i="5"/>
  <c r="BK34" i="5"/>
  <c r="BK16" i="5"/>
  <c r="BR34" i="5"/>
  <c r="BR35" i="5" s="1"/>
  <c r="BR16" i="5"/>
  <c r="CT16" i="5"/>
  <c r="CT34" i="5"/>
  <c r="CT35" i="5" s="1"/>
  <c r="EA16" i="5"/>
  <c r="EA34" i="5"/>
  <c r="EA35" i="5" s="1"/>
  <c r="AU16" i="5"/>
  <c r="AU34" i="5"/>
  <c r="AU35" i="5" s="1"/>
  <c r="DH34" i="5"/>
  <c r="DH35" i="5" s="1"/>
  <c r="DH16" i="5"/>
  <c r="BC34" i="5"/>
  <c r="BC35" i="5" s="1"/>
  <c r="BC16" i="5"/>
  <c r="CB34" i="5"/>
  <c r="CB35" i="5" s="1"/>
  <c r="DM34" i="5"/>
  <c r="DM35" i="5" s="1"/>
  <c r="L19" i="3"/>
  <c r="L3" i="3" s="1" a="1"/>
  <c r="L3" i="3" s="1"/>
  <c r="N12" i="3"/>
  <c r="I38" i="7"/>
  <c r="I45" i="7"/>
  <c r="I69" i="7"/>
  <c r="I41" i="7"/>
  <c r="I83" i="7"/>
  <c r="J8" i="7"/>
  <c r="I42" i="7"/>
  <c r="I61" i="7"/>
  <c r="I32" i="7"/>
  <c r="I44" i="7"/>
  <c r="I84" i="7"/>
  <c r="I73" i="7"/>
  <c r="I39" i="7"/>
  <c r="I40" i="7"/>
  <c r="I86" i="7"/>
  <c r="I63" i="7"/>
  <c r="I24" i="7"/>
  <c r="I46" i="7"/>
  <c r="I18" i="7"/>
  <c r="I47" i="7"/>
  <c r="I15" i="7"/>
  <c r="I30" i="7"/>
  <c r="I82" i="7"/>
  <c r="I25" i="7"/>
  <c r="I75" i="7"/>
  <c r="I33" i="7"/>
  <c r="I48" i="7"/>
  <c r="I14" i="7"/>
  <c r="I22" i="7"/>
  <c r="I66" i="7"/>
  <c r="I72" i="7"/>
  <c r="I36" i="7"/>
  <c r="I62" i="7"/>
  <c r="I26" i="7"/>
  <c r="I65" i="7"/>
  <c r="I64" i="7"/>
  <c r="I88" i="7"/>
  <c r="I71" i="7"/>
  <c r="I23" i="7"/>
  <c r="I85" i="7"/>
  <c r="I74" i="7"/>
  <c r="I90" i="7"/>
  <c r="I17" i="7"/>
  <c r="I89" i="7"/>
  <c r="I19" i="7"/>
  <c r="I34" i="7"/>
  <c r="I91" i="7"/>
  <c r="I49" i="7"/>
  <c r="I27" i="7"/>
  <c r="I28" i="7"/>
  <c r="I29" i="7"/>
  <c r="C37" i="5"/>
  <c r="C31" i="7"/>
  <c r="P50" i="5"/>
  <c r="E51" i="5"/>
  <c r="C50" i="7"/>
  <c r="E16" i="7" l="1"/>
  <c r="D76" i="7"/>
  <c r="I76" i="7"/>
  <c r="E76" i="7"/>
  <c r="DM37" i="5"/>
  <c r="DM43" i="5" s="1"/>
  <c r="DM50" i="5" s="1"/>
  <c r="DM51" i="5" s="1"/>
  <c r="DM53" i="5" s="1"/>
  <c r="C76" i="7"/>
  <c r="AH37" i="5"/>
  <c r="AH43" i="5" s="1"/>
  <c r="AH50" i="5" s="1"/>
  <c r="AH51" i="5" s="1"/>
  <c r="AH53" i="5" s="1"/>
  <c r="E35" i="7"/>
  <c r="I33" i="3"/>
  <c r="L4" i="3" s="1" a="1"/>
  <c r="L4" i="3" s="1"/>
  <c r="J31" i="3"/>
  <c r="J32" i="3"/>
  <c r="K40" i="3"/>
  <c r="BU20" i="5"/>
  <c r="BU21" i="5" s="1"/>
  <c r="BU31" i="5" s="1"/>
  <c r="BU37" i="5" s="1"/>
  <c r="BU43" i="5" s="1"/>
  <c r="BU50" i="5" s="1"/>
  <c r="BU51" i="5" s="1"/>
  <c r="BU53" i="5" s="1"/>
  <c r="BU13" i="5"/>
  <c r="AM35" i="5"/>
  <c r="F34" i="7"/>
  <c r="AI20" i="5"/>
  <c r="AI21" i="5" s="1"/>
  <c r="AI31" i="5" s="1"/>
  <c r="AI37" i="5" s="1"/>
  <c r="AI43" i="5" s="1"/>
  <c r="AI50" i="5" s="1"/>
  <c r="AI51" i="5" s="1"/>
  <c r="AI53" i="5" s="1"/>
  <c r="AI13" i="5"/>
  <c r="AJ71" i="5"/>
  <c r="DB71" i="5"/>
  <c r="T71" i="5"/>
  <c r="AR71" i="5"/>
  <c r="DO71" i="5"/>
  <c r="DR71" i="5"/>
  <c r="I47" i="6"/>
  <c r="N71" i="5" s="1"/>
  <c r="AV71" i="5"/>
  <c r="J71" i="5"/>
  <c r="BI71" i="5"/>
  <c r="P71" i="5"/>
  <c r="AE71" i="5"/>
  <c r="AQ71" i="5"/>
  <c r="CA71" i="5"/>
  <c r="BQ71" i="5"/>
  <c r="CG71" i="5"/>
  <c r="CW71" i="5"/>
  <c r="DD71" i="5"/>
  <c r="BO71" i="5"/>
  <c r="CO71" i="5"/>
  <c r="CX71" i="5"/>
  <c r="DJ71" i="5"/>
  <c r="DP71" i="5"/>
  <c r="BR71" i="5"/>
  <c r="CD71" i="5"/>
  <c r="CQ71" i="5"/>
  <c r="DN71" i="5"/>
  <c r="DX71" i="5"/>
  <c r="EB71" i="5"/>
  <c r="ED71" i="5"/>
  <c r="I71" i="5"/>
  <c r="AS71" i="5"/>
  <c r="AO71" i="5"/>
  <c r="BH71" i="5"/>
  <c r="BA71" i="5"/>
  <c r="Y71" i="5"/>
  <c r="CL71" i="5"/>
  <c r="CY71" i="5"/>
  <c r="BP71" i="5"/>
  <c r="DK71" i="5"/>
  <c r="BT71" i="5"/>
  <c r="CR71" i="5"/>
  <c r="DV71" i="5"/>
  <c r="BF13" i="5"/>
  <c r="BF20" i="5"/>
  <c r="BF21" i="5" s="1"/>
  <c r="BF31" i="5" s="1"/>
  <c r="DW20" i="5"/>
  <c r="DW21" i="5" s="1"/>
  <c r="DW31" i="5" s="1"/>
  <c r="DW37" i="5" s="1"/>
  <c r="DW43" i="5" s="1"/>
  <c r="DW50" i="5" s="1"/>
  <c r="DW51" i="5" s="1"/>
  <c r="DW53" i="5" s="1"/>
  <c r="DW13" i="5"/>
  <c r="BT20" i="5"/>
  <c r="BT21" i="5" s="1"/>
  <c r="BT31" i="5" s="1"/>
  <c r="BT37" i="5" s="1"/>
  <c r="BT43" i="5" s="1"/>
  <c r="BT50" i="5" s="1"/>
  <c r="BT51" i="5" s="1"/>
  <c r="BT53" i="5" s="1"/>
  <c r="BT13" i="5"/>
  <c r="AJ20" i="5"/>
  <c r="AJ21" i="5" s="1"/>
  <c r="AJ31" i="5" s="1"/>
  <c r="AJ37" i="5" s="1"/>
  <c r="AJ43" i="5" s="1"/>
  <c r="AJ50" i="5" s="1"/>
  <c r="AJ51" i="5" s="1"/>
  <c r="AJ53" i="5" s="1"/>
  <c r="AJ13" i="5"/>
  <c r="CZ13" i="5"/>
  <c r="CZ20" i="5"/>
  <c r="CZ21" i="5" s="1"/>
  <c r="CZ31" i="5" s="1"/>
  <c r="CZ37" i="5" s="1"/>
  <c r="CZ43" i="5" s="1"/>
  <c r="CZ50" i="5" s="1"/>
  <c r="CZ51" i="5" s="1"/>
  <c r="CZ53" i="5" s="1"/>
  <c r="CM13" i="5"/>
  <c r="CM20" i="5"/>
  <c r="CM21" i="5" s="1"/>
  <c r="CM31" i="5" s="1"/>
  <c r="CM37" i="5" s="1"/>
  <c r="CM43" i="5" s="1"/>
  <c r="CM50" i="5" s="1"/>
  <c r="CM51" i="5" s="1"/>
  <c r="CM53" i="5" s="1"/>
  <c r="BO20" i="5"/>
  <c r="BO21" i="5" s="1"/>
  <c r="BO31" i="5" s="1"/>
  <c r="BO37" i="5" s="1"/>
  <c r="BO43" i="5" s="1"/>
  <c r="BO50" i="5" s="1"/>
  <c r="BO51" i="5" s="1"/>
  <c r="BO53" i="5" s="1"/>
  <c r="BO13" i="5"/>
  <c r="BC13" i="5"/>
  <c r="BC20" i="5"/>
  <c r="BC21" i="5" s="1"/>
  <c r="BC31" i="5" s="1"/>
  <c r="BC37" i="5" s="1"/>
  <c r="BC43" i="5" s="1"/>
  <c r="BC50" i="5" s="1"/>
  <c r="BC51" i="5" s="1"/>
  <c r="BC53" i="5" s="1"/>
  <c r="BK20" i="5"/>
  <c r="BK13" i="5"/>
  <c r="H16" i="7"/>
  <c r="BH13" i="5"/>
  <c r="BH20" i="5"/>
  <c r="BH21" i="5" s="1"/>
  <c r="BH31" i="5" s="1"/>
  <c r="BH37" i="5" s="1"/>
  <c r="BH43" i="5" s="1"/>
  <c r="BH50" i="5" s="1"/>
  <c r="BH51" i="5" s="1"/>
  <c r="BH53" i="5" s="1"/>
  <c r="AQ20" i="5"/>
  <c r="AQ21" i="5" s="1"/>
  <c r="AQ31" i="5" s="1"/>
  <c r="AQ37" i="5" s="1"/>
  <c r="AQ43" i="5" s="1"/>
  <c r="AQ50" i="5" s="1"/>
  <c r="AQ51" i="5" s="1"/>
  <c r="AQ53" i="5" s="1"/>
  <c r="AQ13" i="5"/>
  <c r="DZ13" i="5"/>
  <c r="DZ20" i="5"/>
  <c r="DZ21" i="5" s="1"/>
  <c r="DZ31" i="5" s="1"/>
  <c r="DZ37" i="5" s="1"/>
  <c r="DZ43" i="5" s="1"/>
  <c r="DZ50" i="5" s="1"/>
  <c r="DZ51" i="5" s="1"/>
  <c r="DZ53" i="5" s="1"/>
  <c r="DK20" i="5"/>
  <c r="DK21" i="5" s="1"/>
  <c r="DK31" i="5" s="1"/>
  <c r="DK37" i="5" s="1"/>
  <c r="DK43" i="5" s="1"/>
  <c r="DK50" i="5" s="1"/>
  <c r="DK51" i="5" s="1"/>
  <c r="DK53" i="5" s="1"/>
  <c r="DK13" i="5"/>
  <c r="AA21" i="5"/>
  <c r="BV13" i="5"/>
  <c r="BV20" i="5"/>
  <c r="BV21" i="5" s="1"/>
  <c r="BV31" i="5" s="1"/>
  <c r="BV37" i="5" s="1"/>
  <c r="BV43" i="5" s="1"/>
  <c r="BV50" i="5" s="1"/>
  <c r="BV51" i="5" s="1"/>
  <c r="BV53" i="5" s="1"/>
  <c r="BE13" i="5"/>
  <c r="BE20" i="5"/>
  <c r="BE21" i="5" s="1"/>
  <c r="BE31" i="5" s="1"/>
  <c r="BE37" i="5" s="1"/>
  <c r="BE43" i="5" s="1"/>
  <c r="BE50" i="5" s="1"/>
  <c r="BE51" i="5" s="1"/>
  <c r="BE53" i="5" s="1"/>
  <c r="AM20" i="5"/>
  <c r="AM13" i="5"/>
  <c r="F16" i="7"/>
  <c r="DN13" i="5"/>
  <c r="DN20" i="5"/>
  <c r="DN21" i="5" s="1"/>
  <c r="DN31" i="5" s="1"/>
  <c r="DN37" i="5" s="1"/>
  <c r="DN43" i="5" s="1"/>
  <c r="DN50" i="5" s="1"/>
  <c r="DN51" i="5" s="1"/>
  <c r="DN53" i="5" s="1"/>
  <c r="CY13" i="5"/>
  <c r="CY20" i="5"/>
  <c r="CY21" i="5" s="1"/>
  <c r="CY31" i="5" s="1"/>
  <c r="CY37" i="5" s="1"/>
  <c r="CY43" i="5" s="1"/>
  <c r="CY50" i="5" s="1"/>
  <c r="CY51" i="5" s="1"/>
  <c r="CY53" i="5" s="1"/>
  <c r="BI20" i="5"/>
  <c r="BI21" i="5" s="1"/>
  <c r="BI31" i="5" s="1"/>
  <c r="BI37" i="5" s="1"/>
  <c r="BI43" i="5" s="1"/>
  <c r="BI50" i="5" s="1"/>
  <c r="BI51" i="5" s="1"/>
  <c r="BI53" i="5" s="1"/>
  <c r="BI13" i="5"/>
  <c r="CH13" i="5"/>
  <c r="CH20" i="5"/>
  <c r="CH21" i="5" s="1"/>
  <c r="CH31" i="5" s="1"/>
  <c r="CH37" i="5" s="1"/>
  <c r="CH43" i="5" s="1"/>
  <c r="CH50" i="5" s="1"/>
  <c r="CH51" i="5" s="1"/>
  <c r="CH53" i="5" s="1"/>
  <c r="CF13" i="5"/>
  <c r="CF20" i="5"/>
  <c r="CF21" i="5" s="1"/>
  <c r="CF31" i="5" s="1"/>
  <c r="CF37" i="5" s="1"/>
  <c r="CF43" i="5" s="1"/>
  <c r="CF50" i="5" s="1"/>
  <c r="CF51" i="5" s="1"/>
  <c r="CF53" i="5" s="1"/>
  <c r="K26" i="3"/>
  <c r="DV13" i="5"/>
  <c r="DV20" i="5"/>
  <c r="DV21" i="5" s="1"/>
  <c r="DV31" i="5" s="1"/>
  <c r="DV37" i="5" s="1"/>
  <c r="DV43" i="5" s="1"/>
  <c r="DV50" i="5" s="1"/>
  <c r="DV51" i="5" s="1"/>
  <c r="DV53" i="5" s="1"/>
  <c r="DX13" i="5"/>
  <c r="DX20" i="5"/>
  <c r="DX21" i="5" s="1"/>
  <c r="DX31" i="5" s="1"/>
  <c r="DX37" i="5" s="1"/>
  <c r="DX43" i="5" s="1"/>
  <c r="DX50" i="5" s="1"/>
  <c r="DX51" i="5" s="1"/>
  <c r="DX53" i="5" s="1"/>
  <c r="CU13" i="5"/>
  <c r="CU20" i="5"/>
  <c r="CU21" i="5" s="1"/>
  <c r="CU31" i="5" s="1"/>
  <c r="CU37" i="5" s="1"/>
  <c r="BY13" i="5"/>
  <c r="BY20" i="5"/>
  <c r="BY21" i="5" s="1"/>
  <c r="BY31" i="5" s="1"/>
  <c r="CN13" i="5"/>
  <c r="CN20" i="5"/>
  <c r="CN21" i="5" s="1"/>
  <c r="CN31" i="5" s="1"/>
  <c r="CN37" i="5" s="1"/>
  <c r="CN43" i="5" s="1"/>
  <c r="CN50" i="5" s="1"/>
  <c r="CN51" i="5" s="1"/>
  <c r="CN53" i="5" s="1"/>
  <c r="BL20" i="5"/>
  <c r="BL21" i="5" s="1"/>
  <c r="BL31" i="5" s="1"/>
  <c r="BL37" i="5" s="1"/>
  <c r="BL43" i="5" s="1"/>
  <c r="BL50" i="5" s="1"/>
  <c r="BL51" i="5" s="1"/>
  <c r="BL53" i="5" s="1"/>
  <c r="BL13" i="5"/>
  <c r="CA13" i="5"/>
  <c r="CA20" i="5"/>
  <c r="CA21" i="5" s="1"/>
  <c r="CA31" i="5" s="1"/>
  <c r="CA37" i="5" s="1"/>
  <c r="CA43" i="5" s="1"/>
  <c r="CA50" i="5" s="1"/>
  <c r="CA51" i="5" s="1"/>
  <c r="CA53" i="5" s="1"/>
  <c r="DF13" i="5"/>
  <c r="DF20" i="5"/>
  <c r="DF21" i="5" s="1"/>
  <c r="DF31" i="5" s="1"/>
  <c r="DF37" i="5" s="1"/>
  <c r="DF43" i="5" s="1"/>
  <c r="DF50" i="5" s="1"/>
  <c r="DF51" i="5" s="1"/>
  <c r="DF53" i="5" s="1"/>
  <c r="CI20" i="5"/>
  <c r="CI21" i="5" s="1"/>
  <c r="CI31" i="5" s="1"/>
  <c r="CI37" i="5" s="1"/>
  <c r="CI13" i="5"/>
  <c r="CO20" i="5"/>
  <c r="CO21" i="5" s="1"/>
  <c r="CO31" i="5" s="1"/>
  <c r="CO37" i="5" s="1"/>
  <c r="CO43" i="5" s="1"/>
  <c r="CO50" i="5" s="1"/>
  <c r="CO51" i="5" s="1"/>
  <c r="CO53" i="5" s="1"/>
  <c r="CO13" i="5"/>
  <c r="AK13" i="5"/>
  <c r="AK20" i="5"/>
  <c r="AK21" i="5" s="1"/>
  <c r="AK31" i="5" s="1"/>
  <c r="AK37" i="5" s="1"/>
  <c r="AK43" i="5" s="1"/>
  <c r="AK50" i="5" s="1"/>
  <c r="AK51" i="5" s="1"/>
  <c r="AK53" i="5" s="1"/>
  <c r="DC13" i="5"/>
  <c r="DC20" i="5"/>
  <c r="DC21" i="5" s="1"/>
  <c r="DC31" i="5" s="1"/>
  <c r="DC37" i="5" s="1"/>
  <c r="DC43" i="5" s="1"/>
  <c r="DC50" i="5" s="1"/>
  <c r="DC51" i="5" s="1"/>
  <c r="DC53" i="5" s="1"/>
  <c r="CG37" i="5"/>
  <c r="CG43" i="5" s="1"/>
  <c r="CG50" i="5" s="1"/>
  <c r="CG51" i="5" s="1"/>
  <c r="CG53" i="5" s="1"/>
  <c r="EA13" i="5"/>
  <c r="EA20" i="5"/>
  <c r="EA21" i="5" s="1"/>
  <c r="EA31" i="5" s="1"/>
  <c r="EA37" i="5" s="1"/>
  <c r="EA43" i="5" s="1"/>
  <c r="EA50" i="5" s="1"/>
  <c r="EA51" i="5" s="1"/>
  <c r="EA53" i="5" s="1"/>
  <c r="AL13" i="5"/>
  <c r="AL20" i="5"/>
  <c r="AL21" i="5" s="1"/>
  <c r="AL31" i="5" s="1"/>
  <c r="AL37" i="5" s="1"/>
  <c r="AL43" i="5" s="1"/>
  <c r="AL50" i="5" s="1"/>
  <c r="AL51" i="5" s="1"/>
  <c r="AL53" i="5" s="1"/>
  <c r="AY35" i="5"/>
  <c r="G34" i="7"/>
  <c r="AU13" i="5"/>
  <c r="AU20" i="5"/>
  <c r="AU21" i="5" s="1"/>
  <c r="AU31" i="5" s="1"/>
  <c r="AU37" i="5" s="1"/>
  <c r="AU43" i="5" s="1"/>
  <c r="AU50" i="5" s="1"/>
  <c r="AU51" i="5" s="1"/>
  <c r="AU53" i="5" s="1"/>
  <c r="CT20" i="5"/>
  <c r="CT21" i="5" s="1"/>
  <c r="CT31" i="5" s="1"/>
  <c r="CT37" i="5" s="1"/>
  <c r="CT43" i="5" s="1"/>
  <c r="CT50" i="5" s="1"/>
  <c r="CT51" i="5" s="1"/>
  <c r="CT53" i="5" s="1"/>
  <c r="CT13" i="5"/>
  <c r="BK35" i="5"/>
  <c r="H34" i="7"/>
  <c r="DB20" i="5"/>
  <c r="DB21" i="5" s="1"/>
  <c r="DB31" i="5" s="1"/>
  <c r="DB37" i="5" s="1"/>
  <c r="DB43" i="5" s="1"/>
  <c r="DB50" i="5" s="1"/>
  <c r="DB51" i="5" s="1"/>
  <c r="DB53" i="5" s="1"/>
  <c r="DB13" i="5"/>
  <c r="DP13" i="5"/>
  <c r="DP20" i="5"/>
  <c r="DP21" i="5" s="1"/>
  <c r="DP31" i="5" s="1"/>
  <c r="DP37" i="5" s="1"/>
  <c r="DP43" i="5" s="1"/>
  <c r="DP50" i="5" s="1"/>
  <c r="DP51" i="5" s="1"/>
  <c r="DP53" i="5" s="1"/>
  <c r="CK13" i="5"/>
  <c r="CK20" i="5"/>
  <c r="CK21" i="5" s="1"/>
  <c r="CK31" i="5" s="1"/>
  <c r="CK37" i="5" s="1"/>
  <c r="CK43" i="5" s="1"/>
  <c r="CK50" i="5" s="1"/>
  <c r="CK51" i="5" s="1"/>
  <c r="CK53" i="5" s="1"/>
  <c r="CX20" i="5"/>
  <c r="CX21" i="5" s="1"/>
  <c r="CX31" i="5" s="1"/>
  <c r="CX37" i="5" s="1"/>
  <c r="CX43" i="5" s="1"/>
  <c r="CX50" i="5" s="1"/>
  <c r="CX51" i="5" s="1"/>
  <c r="CX53" i="5" s="1"/>
  <c r="CX13" i="5"/>
  <c r="CD20" i="5"/>
  <c r="CD21" i="5" s="1"/>
  <c r="CD31" i="5" s="1"/>
  <c r="CD37" i="5" s="1"/>
  <c r="CD43" i="5" s="1"/>
  <c r="CD50" i="5" s="1"/>
  <c r="CD51" i="5" s="1"/>
  <c r="CD53" i="5" s="1"/>
  <c r="CD13" i="5"/>
  <c r="DR20" i="5"/>
  <c r="DR21" i="5" s="1"/>
  <c r="DR31" i="5" s="1"/>
  <c r="DR37" i="5" s="1"/>
  <c r="DR43" i="5" s="1"/>
  <c r="DR50" i="5" s="1"/>
  <c r="DR51" i="5" s="1"/>
  <c r="DR53" i="5" s="1"/>
  <c r="DR13" i="5"/>
  <c r="CV20" i="5"/>
  <c r="CV21" i="5" s="1"/>
  <c r="CV31" i="5" s="1"/>
  <c r="CV37" i="5" s="1"/>
  <c r="CV43" i="5" s="1"/>
  <c r="CV50" i="5" s="1"/>
  <c r="CV51" i="5" s="1"/>
  <c r="CV53" i="5" s="1"/>
  <c r="CV13" i="5"/>
  <c r="H76" i="7"/>
  <c r="BW13" i="5"/>
  <c r="BW20" i="5"/>
  <c r="AO13" i="5"/>
  <c r="AO20" i="5"/>
  <c r="AO21" i="5" s="1"/>
  <c r="AO31" i="5" s="1"/>
  <c r="AO37" i="5" s="1"/>
  <c r="AO43" i="5" s="1"/>
  <c r="AO50" i="5" s="1"/>
  <c r="AO51" i="5" s="1"/>
  <c r="AO53" i="5" s="1"/>
  <c r="CL13" i="5"/>
  <c r="CL20" i="5"/>
  <c r="CL21" i="5" s="1"/>
  <c r="CL31" i="5" s="1"/>
  <c r="CL37" i="5" s="1"/>
  <c r="CL43" i="5" s="1"/>
  <c r="CL50" i="5" s="1"/>
  <c r="CL51" i="5" s="1"/>
  <c r="CL53" i="5" s="1"/>
  <c r="DG20" i="5"/>
  <c r="DG21" i="5" s="1"/>
  <c r="DG31" i="5" s="1"/>
  <c r="DG37" i="5" s="1"/>
  <c r="DG43" i="5" s="1"/>
  <c r="DG13" i="5"/>
  <c r="BG20" i="5"/>
  <c r="BG21" i="5" s="1"/>
  <c r="BG31" i="5" s="1"/>
  <c r="BG37" i="5" s="1"/>
  <c r="BG43" i="5" s="1"/>
  <c r="BG50" i="5" s="1"/>
  <c r="BG51" i="5" s="1"/>
  <c r="BG53" i="5" s="1"/>
  <c r="BG13" i="5"/>
  <c r="BX13" i="5"/>
  <c r="BX20" i="5"/>
  <c r="BX21" i="5" s="1"/>
  <c r="BX31" i="5" s="1"/>
  <c r="BX37" i="5" s="1"/>
  <c r="BX43" i="5" s="1"/>
  <c r="BX50" i="5" s="1"/>
  <c r="BX51" i="5" s="1"/>
  <c r="BX53" i="5" s="1"/>
  <c r="CB37" i="5"/>
  <c r="CB43" i="5" s="1"/>
  <c r="CB50" i="5" s="1"/>
  <c r="CB51" i="5" s="1"/>
  <c r="CB53" i="5" s="1"/>
  <c r="CP13" i="5"/>
  <c r="CP20" i="5"/>
  <c r="CP21" i="5" s="1"/>
  <c r="CP31" i="5" s="1"/>
  <c r="CP37" i="5" s="1"/>
  <c r="CP43" i="5" s="1"/>
  <c r="DA37" i="5"/>
  <c r="DA43" i="5" s="1"/>
  <c r="DA50" i="5" s="1"/>
  <c r="DA51" i="5" s="1"/>
  <c r="DA53" i="5" s="1"/>
  <c r="BN13" i="5"/>
  <c r="BN20" i="5"/>
  <c r="BN21" i="5" s="1"/>
  <c r="BN31" i="5" s="1"/>
  <c r="BN37" i="5" s="1"/>
  <c r="BN43" i="5" s="1"/>
  <c r="BN50" i="5" s="1"/>
  <c r="BN51" i="5" s="1"/>
  <c r="BN53" i="5" s="1"/>
  <c r="D21" i="7"/>
  <c r="O31" i="5"/>
  <c r="AD37" i="5"/>
  <c r="AD43" i="5" s="1"/>
  <c r="AD50" i="5" s="1"/>
  <c r="AD51" i="5" s="1"/>
  <c r="AD53" i="5" s="1"/>
  <c r="BB13" i="5"/>
  <c r="BB20" i="5"/>
  <c r="BB21" i="5" s="1"/>
  <c r="BB31" i="5" s="1"/>
  <c r="BB37" i="5" s="1"/>
  <c r="BB43" i="5" s="1"/>
  <c r="BB50" i="5" s="1"/>
  <c r="BB51" i="5" s="1"/>
  <c r="BB53" i="5" s="1"/>
  <c r="AE13" i="5"/>
  <c r="E13" i="7" s="1"/>
  <c r="AE20" i="5"/>
  <c r="AE21" i="5" s="1"/>
  <c r="AE31" i="5" s="1"/>
  <c r="AE37" i="5" s="1"/>
  <c r="AE43" i="5" s="1"/>
  <c r="AE50" i="5" s="1"/>
  <c r="AE51" i="5" s="1"/>
  <c r="AE53" i="5" s="1"/>
  <c r="BY37" i="5"/>
  <c r="BY43" i="5" s="1"/>
  <c r="BY50" i="5" s="1"/>
  <c r="BY51" i="5" s="1"/>
  <c r="BY53" i="5" s="1"/>
  <c r="EB13" i="5"/>
  <c r="EB20" i="5"/>
  <c r="EB21" i="5" s="1"/>
  <c r="EB31" i="5" s="1"/>
  <c r="EB37" i="5" s="1"/>
  <c r="EB43" i="5" s="1"/>
  <c r="EB50" i="5" s="1"/>
  <c r="EB51" i="5" s="1"/>
  <c r="EB53" i="5" s="1"/>
  <c r="AG13" i="5"/>
  <c r="AG20" i="5"/>
  <c r="AG21" i="5" s="1"/>
  <c r="AG31" i="5" s="1"/>
  <c r="AG37" i="5" s="1"/>
  <c r="AG43" i="5" s="1"/>
  <c r="AG50" i="5" s="1"/>
  <c r="AG51" i="5" s="1"/>
  <c r="AG53" i="5" s="1"/>
  <c r="DO13" i="5"/>
  <c r="DO20" i="5"/>
  <c r="DO21" i="5" s="1"/>
  <c r="DO31" i="5" s="1"/>
  <c r="DO37" i="5" s="1"/>
  <c r="DO43" i="5" s="1"/>
  <c r="DO50" i="5" s="1"/>
  <c r="DO51" i="5" s="1"/>
  <c r="DO53" i="5" s="1"/>
  <c r="DH20" i="5"/>
  <c r="DH21" i="5" s="1"/>
  <c r="DH31" i="5" s="1"/>
  <c r="DH37" i="5" s="1"/>
  <c r="DH43" i="5" s="1"/>
  <c r="DH50" i="5" s="1"/>
  <c r="DH51" i="5" s="1"/>
  <c r="DH13" i="5"/>
  <c r="BR13" i="5"/>
  <c r="BR20" i="5"/>
  <c r="BR21" i="5" s="1"/>
  <c r="BR31" i="5" s="1"/>
  <c r="BR37" i="5" s="1"/>
  <c r="BR43" i="5" s="1"/>
  <c r="BR50" i="5" s="1"/>
  <c r="BR51" i="5" s="1"/>
  <c r="BR53" i="5" s="1"/>
  <c r="BQ20" i="5"/>
  <c r="BQ21" i="5" s="1"/>
  <c r="BQ31" i="5" s="1"/>
  <c r="BQ37" i="5" s="1"/>
  <c r="BQ43" i="5" s="1"/>
  <c r="BQ50" i="5" s="1"/>
  <c r="BQ51" i="5" s="1"/>
  <c r="BQ53" i="5" s="1"/>
  <c r="BQ13" i="5"/>
  <c r="ED20" i="5"/>
  <c r="ED21" i="5" s="1"/>
  <c r="ED31" i="5" s="1"/>
  <c r="ED37" i="5" s="1"/>
  <c r="ED43" i="5" s="1"/>
  <c r="ED50" i="5" s="1"/>
  <c r="ED51" i="5" s="1"/>
  <c r="ED53" i="5" s="1"/>
  <c r="ED13" i="5"/>
  <c r="DE13" i="5"/>
  <c r="DE20" i="5"/>
  <c r="DE21" i="5" s="1"/>
  <c r="DE31" i="5" s="1"/>
  <c r="DE37" i="5" s="1"/>
  <c r="DE43" i="5" s="1"/>
  <c r="DE50" i="5" s="1"/>
  <c r="DE51" i="5" s="1"/>
  <c r="DE53" i="5" s="1"/>
  <c r="BS13" i="5"/>
  <c r="BS20" i="5"/>
  <c r="BS21" i="5" s="1"/>
  <c r="BS31" i="5" s="1"/>
  <c r="BS37" i="5" s="1"/>
  <c r="BS43" i="5" s="1"/>
  <c r="BS50" i="5" s="1"/>
  <c r="BS51" i="5" s="1"/>
  <c r="BS53" i="5" s="1"/>
  <c r="BA13" i="5"/>
  <c r="BA20" i="5"/>
  <c r="BA21" i="5" s="1"/>
  <c r="BA31" i="5" s="1"/>
  <c r="BA37" i="5" s="1"/>
  <c r="BA43" i="5" s="1"/>
  <c r="BA50" i="5" s="1"/>
  <c r="BA51" i="5" s="1"/>
  <c r="BA53" i="5" s="1"/>
  <c r="CC20" i="5"/>
  <c r="CC21" i="5" s="1"/>
  <c r="CC31" i="5" s="1"/>
  <c r="CC37" i="5" s="1"/>
  <c r="CC43" i="5" s="1"/>
  <c r="CC50" i="5" s="1"/>
  <c r="CC13" i="5"/>
  <c r="CR13" i="5"/>
  <c r="CR20" i="5"/>
  <c r="CR21" i="5" s="1"/>
  <c r="CR31" i="5" s="1"/>
  <c r="CR37" i="5" s="1"/>
  <c r="CR43" i="5" s="1"/>
  <c r="CR50" i="5" s="1"/>
  <c r="CR51" i="5" s="1"/>
  <c r="CR53" i="5" s="1"/>
  <c r="DL13" i="5"/>
  <c r="DL20" i="5"/>
  <c r="DL21" i="5" s="1"/>
  <c r="DL31" i="5" s="1"/>
  <c r="DL37" i="5" s="1"/>
  <c r="DL43" i="5" s="1"/>
  <c r="DL50" i="5" s="1"/>
  <c r="DL51" i="5" s="1"/>
  <c r="DL53" i="5" s="1"/>
  <c r="CJ20" i="5"/>
  <c r="CJ21" i="5" s="1"/>
  <c r="CJ31" i="5" s="1"/>
  <c r="CJ37" i="5" s="1"/>
  <c r="CJ43" i="5" s="1"/>
  <c r="CJ50" i="5" s="1"/>
  <c r="CJ51" i="5" s="1"/>
  <c r="CJ53" i="5" s="1"/>
  <c r="CJ13" i="5"/>
  <c r="BM20" i="5"/>
  <c r="BM21" i="5" s="1"/>
  <c r="BM31" i="5" s="1"/>
  <c r="BM37" i="5" s="1"/>
  <c r="BM43" i="5" s="1"/>
  <c r="BM50" i="5" s="1"/>
  <c r="BM51" i="5" s="1"/>
  <c r="BM53" i="5" s="1"/>
  <c r="BM13" i="5"/>
  <c r="AW13" i="5"/>
  <c r="AW20" i="5"/>
  <c r="AW21" i="5" s="1"/>
  <c r="AW31" i="5" s="1"/>
  <c r="AW37" i="5" s="1"/>
  <c r="AW43" i="5" s="1"/>
  <c r="AW50" i="5" s="1"/>
  <c r="AW51" i="5" s="1"/>
  <c r="AW53" i="5" s="1"/>
  <c r="BF37" i="5"/>
  <c r="BF43" i="5" s="1"/>
  <c r="BF50" i="5" s="1"/>
  <c r="BF51" i="5" s="1"/>
  <c r="BF53" i="5" s="1"/>
  <c r="DD20" i="5"/>
  <c r="DD21" i="5" s="1"/>
  <c r="DD31" i="5" s="1"/>
  <c r="DD37" i="5" s="1"/>
  <c r="DD43" i="5" s="1"/>
  <c r="DD50" i="5" s="1"/>
  <c r="DD51" i="5" s="1"/>
  <c r="DD53" i="5" s="1"/>
  <c r="DD13" i="5"/>
  <c r="CE13" i="5"/>
  <c r="CE20" i="5"/>
  <c r="CE21" i="5" s="1"/>
  <c r="CE31" i="5" s="1"/>
  <c r="CE37" i="5" s="1"/>
  <c r="CE43" i="5" s="1"/>
  <c r="CE50" i="5" s="1"/>
  <c r="CE51" i="5" s="1"/>
  <c r="CE53" i="5" s="1"/>
  <c r="DQ13" i="5"/>
  <c r="DQ20" i="5"/>
  <c r="DQ21" i="5" s="1"/>
  <c r="DQ31" i="5" s="1"/>
  <c r="DQ37" i="5" s="1"/>
  <c r="DQ43" i="5" s="1"/>
  <c r="DQ50" i="5" s="1"/>
  <c r="DQ51" i="5" s="1"/>
  <c r="DQ53" i="5" s="1"/>
  <c r="CS37" i="5"/>
  <c r="CS43" i="5" s="1"/>
  <c r="DJ13" i="5"/>
  <c r="DJ20" i="5"/>
  <c r="DJ21" i="5" s="1"/>
  <c r="DJ31" i="5" s="1"/>
  <c r="DJ37" i="5" s="1"/>
  <c r="DJ43" i="5" s="1"/>
  <c r="DJ50" i="5" s="1"/>
  <c r="DJ51" i="5" s="1"/>
  <c r="DJ53" i="5" s="1"/>
  <c r="BJ20" i="5"/>
  <c r="BJ21" i="5" s="1"/>
  <c r="BJ31" i="5" s="1"/>
  <c r="BJ37" i="5" s="1"/>
  <c r="BJ43" i="5" s="1"/>
  <c r="BJ50" i="5" s="1"/>
  <c r="BJ51" i="5" s="1"/>
  <c r="BJ53" i="5" s="1"/>
  <c r="BJ13" i="5"/>
  <c r="AN13" i="5"/>
  <c r="AN20" i="5"/>
  <c r="AN21" i="5" s="1"/>
  <c r="AN31" i="5" s="1"/>
  <c r="AN37" i="5" s="1"/>
  <c r="AN43" i="5" s="1"/>
  <c r="AN50" i="5" s="1"/>
  <c r="AN51" i="5" s="1"/>
  <c r="AN53" i="5" s="1"/>
  <c r="CQ13" i="5"/>
  <c r="CQ20" i="5"/>
  <c r="CQ21" i="5" s="1"/>
  <c r="CQ31" i="5" s="1"/>
  <c r="CQ37" i="5" s="1"/>
  <c r="CQ43" i="5" s="1"/>
  <c r="CQ50" i="5" s="1"/>
  <c r="CQ51" i="5" s="1"/>
  <c r="CQ53" i="5" s="1"/>
  <c r="DT20" i="5"/>
  <c r="DT21" i="5" s="1"/>
  <c r="DT31" i="5" s="1"/>
  <c r="DT37" i="5" s="1"/>
  <c r="DT43" i="5" s="1"/>
  <c r="DT50" i="5" s="1"/>
  <c r="DT51" i="5" s="1"/>
  <c r="DT53" i="5" s="1"/>
  <c r="DT13" i="5"/>
  <c r="EC20" i="5"/>
  <c r="EC21" i="5" s="1"/>
  <c r="EC31" i="5" s="1"/>
  <c r="EC37" i="5" s="1"/>
  <c r="EC43" i="5" s="1"/>
  <c r="EC50" i="5" s="1"/>
  <c r="EC51" i="5" s="1"/>
  <c r="EC53" i="5" s="1"/>
  <c r="EC13" i="5"/>
  <c r="BZ13" i="5"/>
  <c r="BZ20" i="5"/>
  <c r="BZ21" i="5" s="1"/>
  <c r="BZ31" i="5" s="1"/>
  <c r="BZ37" i="5" s="1"/>
  <c r="BZ43" i="5" s="1"/>
  <c r="BZ50" i="5" s="1"/>
  <c r="BZ51" i="5" s="1"/>
  <c r="BZ53" i="5" s="1"/>
  <c r="AY13" i="5"/>
  <c r="AY20" i="5"/>
  <c r="G16" i="7"/>
  <c r="DS13" i="5"/>
  <c r="DS20" i="5"/>
  <c r="DS21" i="5" s="1"/>
  <c r="DS31" i="5" s="1"/>
  <c r="DS37" i="5" s="1"/>
  <c r="DS43" i="5" s="1"/>
  <c r="DS50" i="5" s="1"/>
  <c r="DS51" i="5" s="1"/>
  <c r="E34" i="7"/>
  <c r="M19" i="3"/>
  <c r="M3" i="3" s="1" a="1"/>
  <c r="M3" i="3" s="1"/>
  <c r="J23" i="7"/>
  <c r="J36" i="7"/>
  <c r="J61" i="7"/>
  <c r="J72" i="7"/>
  <c r="J82" i="7"/>
  <c r="J86" i="7"/>
  <c r="J32" i="7"/>
  <c r="J63" i="7"/>
  <c r="J24" i="7"/>
  <c r="J18" i="7"/>
  <c r="J39" i="7"/>
  <c r="J38" i="7"/>
  <c r="J66" i="7"/>
  <c r="J73" i="7"/>
  <c r="J83" i="7"/>
  <c r="J88" i="7"/>
  <c r="J76" i="7"/>
  <c r="J30" i="7"/>
  <c r="J69" i="7"/>
  <c r="J85" i="7"/>
  <c r="J74" i="7"/>
  <c r="J48" i="7"/>
  <c r="K8" i="7"/>
  <c r="J40" i="7"/>
  <c r="J65" i="7"/>
  <c r="J64" i="7"/>
  <c r="J22" i="7"/>
  <c r="J25" i="7"/>
  <c r="J44" i="7"/>
  <c r="J33" i="7"/>
  <c r="J41" i="7"/>
  <c r="J46" i="7"/>
  <c r="J47" i="7"/>
  <c r="J45" i="7"/>
  <c r="J42" i="7"/>
  <c r="J62" i="7"/>
  <c r="J26" i="7"/>
  <c r="J84" i="7"/>
  <c r="J75" i="7"/>
  <c r="J71" i="7"/>
  <c r="J15" i="7"/>
  <c r="J89" i="7"/>
  <c r="J14" i="7"/>
  <c r="J90" i="7"/>
  <c r="J17" i="7"/>
  <c r="J34" i="7"/>
  <c r="J91" i="7"/>
  <c r="J16" i="7"/>
  <c r="J19" i="7"/>
  <c r="J49" i="7"/>
  <c r="J35" i="7"/>
  <c r="J27" i="7"/>
  <c r="J28" i="7"/>
  <c r="J29" i="7"/>
  <c r="J31" i="7"/>
  <c r="C43" i="5"/>
  <c r="C37" i="7"/>
  <c r="C51" i="7"/>
  <c r="E53" i="5"/>
  <c r="P51" i="5"/>
  <c r="J13" i="7" l="1"/>
  <c r="AY71" i="5"/>
  <c r="S71" i="5"/>
  <c r="AH71" i="5"/>
  <c r="BN71" i="5"/>
  <c r="AU71" i="5"/>
  <c r="DY71" i="5"/>
  <c r="CF71" i="5"/>
  <c r="E71" i="5"/>
  <c r="J37" i="7"/>
  <c r="CJ71" i="5"/>
  <c r="W71" i="5"/>
  <c r="AC71" i="5"/>
  <c r="AP71" i="5"/>
  <c r="X71" i="5"/>
  <c r="DU71" i="5"/>
  <c r="AG71" i="5"/>
  <c r="CH71" i="5"/>
  <c r="U71" i="5"/>
  <c r="DM71" i="5"/>
  <c r="AA71" i="5"/>
  <c r="DA71" i="5"/>
  <c r="DF71" i="5"/>
  <c r="O71" i="5"/>
  <c r="K32" i="3"/>
  <c r="K31" i="3"/>
  <c r="L40" i="3"/>
  <c r="K37" i="7"/>
  <c r="CU43" i="5"/>
  <c r="F35" i="7"/>
  <c r="J21" i="7"/>
  <c r="AY21" i="5"/>
  <c r="G20" i="7"/>
  <c r="CS50" i="5"/>
  <c r="CS51" i="5" s="1"/>
  <c r="CS53" i="5" s="1"/>
  <c r="O37" i="5"/>
  <c r="D31" i="7"/>
  <c r="G35" i="7"/>
  <c r="AM21" i="5"/>
  <c r="F20" i="7"/>
  <c r="H13" i="7"/>
  <c r="AL71" i="5"/>
  <c r="L71" i="5"/>
  <c r="CP71" i="5"/>
  <c r="C71" i="5"/>
  <c r="EC71" i="5"/>
  <c r="CM71" i="5"/>
  <c r="DG71" i="5"/>
  <c r="DC71" i="5"/>
  <c r="CI71" i="5"/>
  <c r="V71" i="5"/>
  <c r="Q71" i="5"/>
  <c r="AK71" i="5"/>
  <c r="H71" i="5"/>
  <c r="CK71" i="5"/>
  <c r="AD71" i="5"/>
  <c r="DZ71" i="5"/>
  <c r="BV71" i="5"/>
  <c r="CU71" i="5"/>
  <c r="CS71" i="5"/>
  <c r="BS71" i="5"/>
  <c r="D71" i="5"/>
  <c r="BJ71" i="5"/>
  <c r="I13" i="7"/>
  <c r="F13" i="7"/>
  <c r="CI43" i="5"/>
  <c r="CI50" i="5" s="1"/>
  <c r="G13" i="7"/>
  <c r="CP50" i="5"/>
  <c r="CP51" i="5" s="1"/>
  <c r="CP53" i="5" s="1"/>
  <c r="DG50" i="5"/>
  <c r="DG51" i="5" s="1"/>
  <c r="DG53" i="5" s="1"/>
  <c r="H35" i="7"/>
  <c r="L26" i="3"/>
  <c r="E20" i="7"/>
  <c r="BK21" i="5"/>
  <c r="H20" i="7"/>
  <c r="K47" i="6"/>
  <c r="H48" i="6"/>
  <c r="DH71" i="5"/>
  <c r="K71" i="5"/>
  <c r="EA71" i="5"/>
  <c r="BZ71" i="5"/>
  <c r="CV71" i="5"/>
  <c r="K77" i="7" s="1"/>
  <c r="CT71" i="5"/>
  <c r="BW71" i="5"/>
  <c r="M71" i="5"/>
  <c r="G71" i="5"/>
  <c r="R71" i="5"/>
  <c r="DQ71" i="5"/>
  <c r="CB71" i="5"/>
  <c r="AX71" i="5"/>
  <c r="DT71" i="5"/>
  <c r="BK71" i="5"/>
  <c r="BX71" i="5"/>
  <c r="BY71" i="5"/>
  <c r="AM71" i="5"/>
  <c r="BF71" i="5"/>
  <c r="BB71" i="5"/>
  <c r="AW71" i="5"/>
  <c r="J20" i="7"/>
  <c r="BW21" i="5"/>
  <c r="I20" i="7"/>
  <c r="J33" i="3"/>
  <c r="M4" i="3" s="1" a="1"/>
  <c r="M4" i="3" s="1"/>
  <c r="E21" i="7"/>
  <c r="AA31" i="5"/>
  <c r="BE71" i="5"/>
  <c r="BC71" i="5"/>
  <c r="DS71" i="5"/>
  <c r="BU71" i="5"/>
  <c r="AF71" i="5"/>
  <c r="DW71" i="5"/>
  <c r="BL71" i="5"/>
  <c r="CN71" i="5"/>
  <c r="CC71" i="5"/>
  <c r="AN71" i="5"/>
  <c r="BG71" i="5"/>
  <c r="BD71" i="5"/>
  <c r="AZ71" i="5"/>
  <c r="CE71" i="5"/>
  <c r="BM71" i="5"/>
  <c r="F71" i="5"/>
  <c r="DE71" i="5"/>
  <c r="DL71" i="5"/>
  <c r="DI71" i="5"/>
  <c r="CZ71" i="5"/>
  <c r="Z71" i="5"/>
  <c r="AI71" i="5"/>
  <c r="AT71" i="5"/>
  <c r="AB71" i="5"/>
  <c r="N19" i="3"/>
  <c r="N3" i="3" s="1" a="1"/>
  <c r="N3" i="3" s="1"/>
  <c r="K44" i="7"/>
  <c r="K38" i="7"/>
  <c r="K61" i="7"/>
  <c r="K84" i="7"/>
  <c r="K41" i="7"/>
  <c r="K32" i="7"/>
  <c r="L8" i="7"/>
  <c r="K39" i="7"/>
  <c r="K73" i="7"/>
  <c r="K72" i="7"/>
  <c r="K85" i="7"/>
  <c r="K69" i="7"/>
  <c r="K63" i="7"/>
  <c r="K24" i="7"/>
  <c r="K40" i="7"/>
  <c r="K66" i="7"/>
  <c r="K83" i="7"/>
  <c r="K25" i="7"/>
  <c r="K75" i="7"/>
  <c r="K71" i="7"/>
  <c r="K15" i="7"/>
  <c r="K30" i="7"/>
  <c r="K88" i="7"/>
  <c r="K46" i="7"/>
  <c r="K36" i="7"/>
  <c r="K22" i="7"/>
  <c r="K82" i="7"/>
  <c r="K42" i="7"/>
  <c r="K62" i="7"/>
  <c r="K64" i="7"/>
  <c r="K23" i="7"/>
  <c r="K33" i="7"/>
  <c r="K86" i="7"/>
  <c r="K18" i="7"/>
  <c r="K74" i="7"/>
  <c r="K48" i="7"/>
  <c r="K45" i="7"/>
  <c r="K47" i="7"/>
  <c r="K76" i="7"/>
  <c r="K26" i="7"/>
  <c r="K65" i="7"/>
  <c r="K89" i="7"/>
  <c r="K14" i="7"/>
  <c r="K17" i="7"/>
  <c r="K90" i="7"/>
  <c r="K34" i="7"/>
  <c r="K16" i="7"/>
  <c r="K91" i="7"/>
  <c r="K19" i="7"/>
  <c r="K13" i="7"/>
  <c r="K49" i="7"/>
  <c r="K20" i="7"/>
  <c r="K35" i="7"/>
  <c r="K27" i="7"/>
  <c r="K21" i="7"/>
  <c r="K28" i="7"/>
  <c r="K29" i="7"/>
  <c r="K31" i="7"/>
  <c r="J43" i="7"/>
  <c r="C53" i="5"/>
  <c r="B50" i="5"/>
  <c r="B50" i="7" s="1"/>
  <c r="C43" i="7"/>
  <c r="K43" i="7"/>
  <c r="CU50" i="5"/>
  <c r="CC51" i="5"/>
  <c r="P53" i="5"/>
  <c r="DH53" i="5"/>
  <c r="DS53" i="5"/>
  <c r="G77" i="7" l="1"/>
  <c r="E77" i="7"/>
  <c r="D77" i="7"/>
  <c r="L45" i="3"/>
  <c r="M40" i="3"/>
  <c r="L46" i="3"/>
  <c r="L32" i="3"/>
  <c r="L31" i="3"/>
  <c r="M26" i="3"/>
  <c r="D37" i="7"/>
  <c r="O43" i="5"/>
  <c r="BU72" i="5"/>
  <c r="BU73" i="5" s="1"/>
  <c r="BU75" i="5" s="1"/>
  <c r="BU87" i="5" s="1"/>
  <c r="BN72" i="5"/>
  <c r="BN73" i="5" s="1"/>
  <c r="BN75" i="5" s="1"/>
  <c r="BN87" i="5" s="1"/>
  <c r="CU72" i="5"/>
  <c r="EC72" i="5"/>
  <c r="EC73" i="5" s="1"/>
  <c r="EC75" i="5" s="1"/>
  <c r="I48" i="6"/>
  <c r="K48" i="6" s="1"/>
  <c r="CX72" i="5"/>
  <c r="CX73" i="5" s="1"/>
  <c r="CX75" i="5" s="1"/>
  <c r="CX87" i="5" s="1"/>
  <c r="DU72" i="5"/>
  <c r="DU73" i="5" s="1"/>
  <c r="DU75" i="5" s="1"/>
  <c r="CL72" i="5"/>
  <c r="CL73" i="5" s="1"/>
  <c r="CL75" i="5" s="1"/>
  <c r="CL87" i="5" s="1"/>
  <c r="DE72" i="5"/>
  <c r="DE73" i="5" s="1"/>
  <c r="DE75" i="5" s="1"/>
  <c r="DE87" i="5" s="1"/>
  <c r="CC72" i="5"/>
  <c r="CC73" i="5" s="1"/>
  <c r="DB72" i="5"/>
  <c r="DB73" i="5" s="1"/>
  <c r="DB75" i="5" s="1"/>
  <c r="DB87" i="5" s="1"/>
  <c r="DR72" i="5"/>
  <c r="DR73" i="5" s="1"/>
  <c r="DR75" i="5" s="1"/>
  <c r="CE72" i="5"/>
  <c r="CE73" i="5" s="1"/>
  <c r="CE75" i="5" s="1"/>
  <c r="CE87" i="5" s="1"/>
  <c r="CS72" i="5"/>
  <c r="CS73" i="5" s="1"/>
  <c r="CS75" i="5" s="1"/>
  <c r="CS87" i="5" s="1"/>
  <c r="DH72" i="5"/>
  <c r="DH73" i="5" s="1"/>
  <c r="DW72" i="5"/>
  <c r="DW73" i="5" s="1"/>
  <c r="DW75" i="5" s="1"/>
  <c r="ED72" i="5"/>
  <c r="ED73" i="5" s="1"/>
  <c r="ED75" i="5" s="1"/>
  <c r="DX72" i="5"/>
  <c r="DX73" i="5" s="1"/>
  <c r="DX75" i="5" s="1"/>
  <c r="F72" i="5"/>
  <c r="F73" i="5" s="1"/>
  <c r="F75" i="5" s="1"/>
  <c r="F87" i="5" s="1"/>
  <c r="BM72" i="5"/>
  <c r="BM73" i="5" s="1"/>
  <c r="BM75" i="5" s="1"/>
  <c r="BM87" i="5" s="1"/>
  <c r="CO72" i="5"/>
  <c r="CO73" i="5" s="1"/>
  <c r="CO75" i="5" s="1"/>
  <c r="CO87" i="5" s="1"/>
  <c r="CP72" i="5"/>
  <c r="CP73" i="5" s="1"/>
  <c r="CP75" i="5" s="1"/>
  <c r="CP87" i="5" s="1"/>
  <c r="CG72" i="5"/>
  <c r="CG73" i="5" s="1"/>
  <c r="CG75" i="5" s="1"/>
  <c r="CG87" i="5" s="1"/>
  <c r="DS72" i="5"/>
  <c r="DS73" i="5" s="1"/>
  <c r="CM72" i="5"/>
  <c r="CM73" i="5" s="1"/>
  <c r="CM75" i="5" s="1"/>
  <c r="CM87" i="5" s="1"/>
  <c r="Y72" i="5"/>
  <c r="Y73" i="5" s="1"/>
  <c r="Y75" i="5" s="1"/>
  <c r="Y87" i="5" s="1"/>
  <c r="AD72" i="5"/>
  <c r="AD73" i="5" s="1"/>
  <c r="AD75" i="5" s="1"/>
  <c r="AD87" i="5" s="1"/>
  <c r="AA72" i="5"/>
  <c r="AC72" i="5"/>
  <c r="AC73" i="5" s="1"/>
  <c r="AC75" i="5" s="1"/>
  <c r="AC87" i="5" s="1"/>
  <c r="AB72" i="5"/>
  <c r="AB73" i="5" s="1"/>
  <c r="AB75" i="5" s="1"/>
  <c r="AB87" i="5" s="1"/>
  <c r="S72" i="5"/>
  <c r="S73" i="5" s="1"/>
  <c r="S75" i="5" s="1"/>
  <c r="S87" i="5" s="1"/>
  <c r="U72" i="5"/>
  <c r="U73" i="5" s="1"/>
  <c r="U75" i="5" s="1"/>
  <c r="U87" i="5" s="1"/>
  <c r="W72" i="5"/>
  <c r="W73" i="5" s="1"/>
  <c r="W75" i="5" s="1"/>
  <c r="W87" i="5" s="1"/>
  <c r="Q72" i="5"/>
  <c r="Q73" i="5" s="1"/>
  <c r="Q75" i="5" s="1"/>
  <c r="Q87" i="5" s="1"/>
  <c r="R72" i="5"/>
  <c r="R73" i="5" s="1"/>
  <c r="R75" i="5" s="1"/>
  <c r="R87" i="5" s="1"/>
  <c r="BH72" i="5"/>
  <c r="BH73" i="5" s="1"/>
  <c r="BH75" i="5" s="1"/>
  <c r="BH87" i="5" s="1"/>
  <c r="BF72" i="5"/>
  <c r="BF73" i="5" s="1"/>
  <c r="BF75" i="5" s="1"/>
  <c r="BF87" i="5" s="1"/>
  <c r="BJ72" i="5"/>
  <c r="BJ73" i="5" s="1"/>
  <c r="BJ75" i="5" s="1"/>
  <c r="BJ87" i="5" s="1"/>
  <c r="K72" i="5"/>
  <c r="K73" i="5" s="1"/>
  <c r="K75" i="5" s="1"/>
  <c r="K87" i="5" s="1"/>
  <c r="DA72" i="5"/>
  <c r="DA73" i="5" s="1"/>
  <c r="DA75" i="5" s="1"/>
  <c r="DA87" i="5" s="1"/>
  <c r="AL72" i="5"/>
  <c r="AL73" i="5" s="1"/>
  <c r="AL75" i="5" s="1"/>
  <c r="AL87" i="5" s="1"/>
  <c r="AK72" i="5"/>
  <c r="AK73" i="5" s="1"/>
  <c r="AK75" i="5" s="1"/>
  <c r="AK87" i="5" s="1"/>
  <c r="AQ72" i="5"/>
  <c r="AQ73" i="5" s="1"/>
  <c r="AQ75" i="5" s="1"/>
  <c r="AQ87" i="5" s="1"/>
  <c r="AI72" i="5"/>
  <c r="AI73" i="5" s="1"/>
  <c r="AI75" i="5" s="1"/>
  <c r="AI87" i="5" s="1"/>
  <c r="V72" i="5"/>
  <c r="V73" i="5" s="1"/>
  <c r="V75" i="5" s="1"/>
  <c r="V87" i="5" s="1"/>
  <c r="BP72" i="5"/>
  <c r="BP73" i="5" s="1"/>
  <c r="BP75" i="5" s="1"/>
  <c r="BP87" i="5" s="1"/>
  <c r="E72" i="5"/>
  <c r="E73" i="5" s="1"/>
  <c r="E75" i="5" s="1"/>
  <c r="E87" i="5" s="1"/>
  <c r="T72" i="5"/>
  <c r="T73" i="5" s="1"/>
  <c r="T75" i="5" s="1"/>
  <c r="T87" i="5" s="1"/>
  <c r="N72" i="5"/>
  <c r="N73" i="5" s="1"/>
  <c r="N75" i="5" s="1"/>
  <c r="N87" i="5" s="1"/>
  <c r="O72" i="5"/>
  <c r="C72" i="5"/>
  <c r="L72" i="5"/>
  <c r="L73" i="5" s="1"/>
  <c r="L75" i="5" s="1"/>
  <c r="L87" i="5" s="1"/>
  <c r="J72" i="5"/>
  <c r="J73" i="5" s="1"/>
  <c r="J75" i="5" s="1"/>
  <c r="J87" i="5" s="1"/>
  <c r="DC72" i="5"/>
  <c r="DC73" i="5" s="1"/>
  <c r="DC75" i="5" s="1"/>
  <c r="DC87" i="5" s="1"/>
  <c r="AS72" i="5"/>
  <c r="AS73" i="5" s="1"/>
  <c r="AS75" i="5" s="1"/>
  <c r="AS87" i="5" s="1"/>
  <c r="AN72" i="5"/>
  <c r="AN73" i="5" s="1"/>
  <c r="AN75" i="5" s="1"/>
  <c r="AN87" i="5" s="1"/>
  <c r="AY72" i="5"/>
  <c r="BB72" i="5"/>
  <c r="BB73" i="5" s="1"/>
  <c r="BB75" i="5" s="1"/>
  <c r="BB87" i="5" s="1"/>
  <c r="AX72" i="5"/>
  <c r="AX73" i="5" s="1"/>
  <c r="AX75" i="5" s="1"/>
  <c r="AX87" i="5" s="1"/>
  <c r="AW72" i="5"/>
  <c r="AW73" i="5" s="1"/>
  <c r="AW75" i="5" s="1"/>
  <c r="AW87" i="5" s="1"/>
  <c r="AU72" i="5"/>
  <c r="AU73" i="5" s="1"/>
  <c r="AU75" i="5" s="1"/>
  <c r="AU87" i="5" s="1"/>
  <c r="H72" i="5"/>
  <c r="H73" i="5" s="1"/>
  <c r="H75" i="5" s="1"/>
  <c r="H87" i="5" s="1"/>
  <c r="M72" i="5"/>
  <c r="M73" i="5" s="1"/>
  <c r="M75" i="5" s="1"/>
  <c r="M87" i="5" s="1"/>
  <c r="BG72" i="5"/>
  <c r="BG73" i="5" s="1"/>
  <c r="BG75" i="5" s="1"/>
  <c r="BG87" i="5" s="1"/>
  <c r="AV72" i="5"/>
  <c r="AV73" i="5" s="1"/>
  <c r="AV75" i="5" s="1"/>
  <c r="AV87" i="5" s="1"/>
  <c r="BI72" i="5"/>
  <c r="BI73" i="5" s="1"/>
  <c r="BI75" i="5" s="1"/>
  <c r="BI87" i="5" s="1"/>
  <c r="I72" i="5"/>
  <c r="I73" i="5" s="1"/>
  <c r="I75" i="5" s="1"/>
  <c r="I87" i="5" s="1"/>
  <c r="AR72" i="5"/>
  <c r="AR73" i="5" s="1"/>
  <c r="AR75" i="5" s="1"/>
  <c r="AR87" i="5" s="1"/>
  <c r="BD72" i="5"/>
  <c r="BD73" i="5" s="1"/>
  <c r="BD75" i="5" s="1"/>
  <c r="BD87" i="5" s="1"/>
  <c r="D72" i="5"/>
  <c r="D73" i="5" s="1"/>
  <c r="D75" i="5" s="1"/>
  <c r="D87" i="5" s="1"/>
  <c r="AO72" i="5"/>
  <c r="AO73" i="5" s="1"/>
  <c r="AO75" i="5" s="1"/>
  <c r="AO87" i="5" s="1"/>
  <c r="AZ72" i="5"/>
  <c r="AZ73" i="5" s="1"/>
  <c r="AZ75" i="5" s="1"/>
  <c r="AZ87" i="5" s="1"/>
  <c r="BE72" i="5"/>
  <c r="BE73" i="5" s="1"/>
  <c r="BE75" i="5" s="1"/>
  <c r="BE87" i="5" s="1"/>
  <c r="CW72" i="5"/>
  <c r="CW73" i="5" s="1"/>
  <c r="CW75" i="5" s="1"/>
  <c r="CW87" i="5" s="1"/>
  <c r="Z72" i="5"/>
  <c r="Z73" i="5" s="1"/>
  <c r="Z75" i="5" s="1"/>
  <c r="Z87" i="5" s="1"/>
  <c r="AF72" i="5"/>
  <c r="AF73" i="5" s="1"/>
  <c r="AF75" i="5" s="1"/>
  <c r="AF87" i="5" s="1"/>
  <c r="AH72" i="5"/>
  <c r="AH73" i="5" s="1"/>
  <c r="AH75" i="5" s="1"/>
  <c r="AH87" i="5" s="1"/>
  <c r="AG72" i="5"/>
  <c r="AG73" i="5" s="1"/>
  <c r="AG75" i="5" s="1"/>
  <c r="AG87" i="5" s="1"/>
  <c r="AP72" i="5"/>
  <c r="AP73" i="5" s="1"/>
  <c r="AP75" i="5" s="1"/>
  <c r="AP87" i="5" s="1"/>
  <c r="AT72" i="5"/>
  <c r="AT73" i="5" s="1"/>
  <c r="AT75" i="5" s="1"/>
  <c r="AT87" i="5" s="1"/>
  <c r="AJ72" i="5"/>
  <c r="AJ73" i="5" s="1"/>
  <c r="AJ75" i="5" s="1"/>
  <c r="AJ87" i="5" s="1"/>
  <c r="BT72" i="5"/>
  <c r="BT73" i="5" s="1"/>
  <c r="BT75" i="5" s="1"/>
  <c r="BT87" i="5" s="1"/>
  <c r="P72" i="5"/>
  <c r="P73" i="5" s="1"/>
  <c r="P75" i="5" s="1"/>
  <c r="J77" i="7"/>
  <c r="E31" i="7"/>
  <c r="AA37" i="5"/>
  <c r="BW31" i="5"/>
  <c r="I21" i="7"/>
  <c r="H77" i="7"/>
  <c r="I77" i="7"/>
  <c r="C77" i="7"/>
  <c r="BK31" i="5"/>
  <c r="H21" i="7"/>
  <c r="F21" i="7"/>
  <c r="AM31" i="5"/>
  <c r="AY31" i="5"/>
  <c r="G21" i="7"/>
  <c r="F77" i="7"/>
  <c r="K33" i="3"/>
  <c r="N4" i="3" s="1" a="1"/>
  <c r="N4" i="3" s="1"/>
  <c r="C53" i="7"/>
  <c r="L42" i="7"/>
  <c r="L30" i="7"/>
  <c r="L86" i="7"/>
  <c r="L66" i="7"/>
  <c r="L61" i="7"/>
  <c r="L84" i="7"/>
  <c r="L33" i="7"/>
  <c r="L23" i="7"/>
  <c r="L32" i="7"/>
  <c r="L22" i="7"/>
  <c r="L88" i="7"/>
  <c r="L72" i="7"/>
  <c r="L85" i="7"/>
  <c r="L36" i="7"/>
  <c r="L38" i="7"/>
  <c r="L82" i="7"/>
  <c r="L76" i="7"/>
  <c r="L62" i="7"/>
  <c r="L26" i="7"/>
  <c r="L65" i="7"/>
  <c r="L64" i="7"/>
  <c r="L69" i="7"/>
  <c r="L77" i="7"/>
  <c r="L48" i="7"/>
  <c r="M8" i="7"/>
  <c r="L73" i="7"/>
  <c r="L45" i="7"/>
  <c r="L18" i="7"/>
  <c r="L46" i="7"/>
  <c r="L17" i="7"/>
  <c r="L47" i="7"/>
  <c r="L44" i="7"/>
  <c r="L40" i="7"/>
  <c r="L83" i="7"/>
  <c r="L63" i="7"/>
  <c r="L24" i="7"/>
  <c r="L25" i="7"/>
  <c r="L75" i="7"/>
  <c r="L71" i="7"/>
  <c r="L41" i="7"/>
  <c r="L39" i="7"/>
  <c r="L74" i="7"/>
  <c r="L14" i="7"/>
  <c r="L15" i="7"/>
  <c r="L19" i="7"/>
  <c r="L16" i="7"/>
  <c r="L34" i="7"/>
  <c r="L35" i="7"/>
  <c r="L49" i="7"/>
  <c r="L13" i="7"/>
  <c r="L20" i="7"/>
  <c r="L28" i="7"/>
  <c r="L27" i="7"/>
  <c r="L21" i="7"/>
  <c r="L31" i="7"/>
  <c r="L29" i="7"/>
  <c r="L37" i="7"/>
  <c r="L43" i="7"/>
  <c r="L50" i="7"/>
  <c r="L51" i="7"/>
  <c r="CU51" i="5"/>
  <c r="K50" i="7"/>
  <c r="CC53" i="5"/>
  <c r="J50" i="7"/>
  <c r="CI51" i="5"/>
  <c r="DH75" i="5"/>
  <c r="L53" i="7"/>
  <c r="C16" i="6"/>
  <c r="C17" i="6" s="1"/>
  <c r="DR83" i="5"/>
  <c r="DS75" i="5"/>
  <c r="CJ72" i="5" l="1"/>
  <c r="CJ73" i="5" s="1"/>
  <c r="CJ75" i="5" s="1"/>
  <c r="CJ87" i="5" s="1"/>
  <c r="BY72" i="5"/>
  <c r="BY73" i="5" s="1"/>
  <c r="BY75" i="5" s="1"/>
  <c r="BY87" i="5" s="1"/>
  <c r="BK72" i="5"/>
  <c r="BK73" i="5" s="1"/>
  <c r="DV72" i="5"/>
  <c r="DV73" i="5" s="1"/>
  <c r="DV75" i="5" s="1"/>
  <c r="CK72" i="5"/>
  <c r="CK73" i="5" s="1"/>
  <c r="CK75" i="5" s="1"/>
  <c r="CK87" i="5" s="1"/>
  <c r="DF72" i="5"/>
  <c r="DF73" i="5" s="1"/>
  <c r="DF75" i="5" s="1"/>
  <c r="DF87" i="5" s="1"/>
  <c r="BR72" i="5"/>
  <c r="BR73" i="5" s="1"/>
  <c r="BR75" i="5" s="1"/>
  <c r="BR87" i="5" s="1"/>
  <c r="AE72" i="5"/>
  <c r="AE73" i="5" s="1"/>
  <c r="AE75" i="5" s="1"/>
  <c r="AE87" i="5" s="1"/>
  <c r="AM72" i="5"/>
  <c r="BW72" i="5"/>
  <c r="CR72" i="5"/>
  <c r="CR73" i="5" s="1"/>
  <c r="CR75" i="5" s="1"/>
  <c r="CR87" i="5" s="1"/>
  <c r="DG72" i="5"/>
  <c r="DG73" i="5" s="1"/>
  <c r="DG75" i="5" s="1"/>
  <c r="DG87" i="5" s="1"/>
  <c r="CT72" i="5"/>
  <c r="CT73" i="5" s="1"/>
  <c r="CT75" i="5" s="1"/>
  <c r="CT87" i="5" s="1"/>
  <c r="CF72" i="5"/>
  <c r="CF73" i="5" s="1"/>
  <c r="CF75" i="5" s="1"/>
  <c r="CF87" i="5" s="1"/>
  <c r="M31" i="3"/>
  <c r="M32" i="3"/>
  <c r="M45" i="3"/>
  <c r="M47" i="3" s="1"/>
  <c r="G5" i="3" s="1" a="1"/>
  <c r="G5" i="3" s="1"/>
  <c r="N40" i="3"/>
  <c r="M46" i="3"/>
  <c r="L47" i="3"/>
  <c r="F5" i="3" s="1" a="1"/>
  <c r="F5" i="3" s="1"/>
  <c r="L33" i="3"/>
  <c r="G31" i="7"/>
  <c r="AY37" i="5"/>
  <c r="F78" i="7"/>
  <c r="BW73" i="5"/>
  <c r="AM73" i="5"/>
  <c r="F79" i="7" s="1"/>
  <c r="F31" i="7"/>
  <c r="AM37" i="5"/>
  <c r="AA73" i="5"/>
  <c r="CD72" i="5"/>
  <c r="CD73" i="5" s="1"/>
  <c r="CD75" i="5" s="1"/>
  <c r="CD87" i="5" s="1"/>
  <c r="DP72" i="5"/>
  <c r="DP73" i="5" s="1"/>
  <c r="DP75" i="5" s="1"/>
  <c r="DP87" i="5" s="1"/>
  <c r="CQ72" i="5"/>
  <c r="CQ73" i="5" s="1"/>
  <c r="CQ75" i="5" s="1"/>
  <c r="CQ87" i="5" s="1"/>
  <c r="CI72" i="5"/>
  <c r="BX72" i="5"/>
  <c r="BX73" i="5" s="1"/>
  <c r="BX75" i="5" s="1"/>
  <c r="BX87" i="5" s="1"/>
  <c r="BC72" i="5"/>
  <c r="BC73" i="5" s="1"/>
  <c r="BC75" i="5" s="1"/>
  <c r="BC87" i="5" s="1"/>
  <c r="DD72" i="5"/>
  <c r="DD73" i="5" s="1"/>
  <c r="DD75" i="5" s="1"/>
  <c r="DD87" i="5" s="1"/>
  <c r="EB72" i="5"/>
  <c r="EB73" i="5" s="1"/>
  <c r="EB75" i="5" s="1"/>
  <c r="CN72" i="5"/>
  <c r="CN73" i="5" s="1"/>
  <c r="CN75" i="5" s="1"/>
  <c r="CN87" i="5" s="1"/>
  <c r="CH72" i="5"/>
  <c r="CH73" i="5" s="1"/>
  <c r="CH75" i="5" s="1"/>
  <c r="CH87" i="5" s="1"/>
  <c r="BV72" i="5"/>
  <c r="BV73" i="5" s="1"/>
  <c r="BV75" i="5" s="1"/>
  <c r="BV87" i="5" s="1"/>
  <c r="BA72" i="5"/>
  <c r="BA73" i="5" s="1"/>
  <c r="BA75" i="5" s="1"/>
  <c r="BA87" i="5" s="1"/>
  <c r="N26" i="3"/>
  <c r="CU73" i="5"/>
  <c r="I31" i="7"/>
  <c r="BW37" i="5"/>
  <c r="C73" i="5"/>
  <c r="CB72" i="5"/>
  <c r="CB73" i="5" s="1"/>
  <c r="CB75" i="5" s="1"/>
  <c r="CB87" i="5" s="1"/>
  <c r="EA72" i="5"/>
  <c r="EA73" i="5" s="1"/>
  <c r="EA75" i="5" s="1"/>
  <c r="CA72" i="5"/>
  <c r="CA73" i="5" s="1"/>
  <c r="CA75" i="5" s="1"/>
  <c r="CA87" i="5" s="1"/>
  <c r="BL72" i="5"/>
  <c r="BL73" i="5" s="1"/>
  <c r="BL75" i="5" s="1"/>
  <c r="BL87" i="5" s="1"/>
  <c r="BQ72" i="5"/>
  <c r="BQ73" i="5" s="1"/>
  <c r="BQ75" i="5" s="1"/>
  <c r="BQ87" i="5" s="1"/>
  <c r="X72" i="5"/>
  <c r="X73" i="5" s="1"/>
  <c r="X75" i="5" s="1"/>
  <c r="X87" i="5" s="1"/>
  <c r="DJ72" i="5"/>
  <c r="DJ73" i="5" s="1"/>
  <c r="DJ75" i="5" s="1"/>
  <c r="DJ87" i="5" s="1"/>
  <c r="DZ72" i="5"/>
  <c r="DZ73" i="5" s="1"/>
  <c r="DZ75" i="5" s="1"/>
  <c r="BZ72" i="5"/>
  <c r="BZ73" i="5" s="1"/>
  <c r="BZ75" i="5" s="1"/>
  <c r="BZ87" i="5" s="1"/>
  <c r="DM72" i="5"/>
  <c r="DM73" i="5" s="1"/>
  <c r="DM75" i="5" s="1"/>
  <c r="DM87" i="5" s="1"/>
  <c r="BO72" i="5"/>
  <c r="BO73" i="5" s="1"/>
  <c r="BO75" i="5" s="1"/>
  <c r="BO87" i="5" s="1"/>
  <c r="G72" i="5"/>
  <c r="G73" i="5" s="1"/>
  <c r="G75" i="5" s="1"/>
  <c r="G87" i="5" s="1"/>
  <c r="H31" i="7"/>
  <c r="BK37" i="5"/>
  <c r="AY73" i="5"/>
  <c r="AA43" i="5"/>
  <c r="E37" i="7"/>
  <c r="O73" i="5"/>
  <c r="DK72" i="5"/>
  <c r="DK73" i="5" s="1"/>
  <c r="DK75" i="5" s="1"/>
  <c r="DK87" i="5" s="1"/>
  <c r="CY72" i="5"/>
  <c r="CY73" i="5" s="1"/>
  <c r="CY75" i="5" s="1"/>
  <c r="CY87" i="5" s="1"/>
  <c r="DN72" i="5"/>
  <c r="DN73" i="5" s="1"/>
  <c r="DN75" i="5" s="1"/>
  <c r="DN87" i="5" s="1"/>
  <c r="DQ72" i="5"/>
  <c r="DQ73" i="5" s="1"/>
  <c r="DQ75" i="5" s="1"/>
  <c r="DQ87" i="5" s="1"/>
  <c r="CZ72" i="5"/>
  <c r="CZ73" i="5" s="1"/>
  <c r="CZ75" i="5" s="1"/>
  <c r="CZ87" i="5" s="1"/>
  <c r="DT72" i="5"/>
  <c r="DT73" i="5" s="1"/>
  <c r="DT75" i="5" s="1"/>
  <c r="DY72" i="5"/>
  <c r="DY73" i="5" s="1"/>
  <c r="DY75" i="5" s="1"/>
  <c r="BS72" i="5"/>
  <c r="BS73" i="5" s="1"/>
  <c r="BS75" i="5" s="1"/>
  <c r="BS87" i="5" s="1"/>
  <c r="DL72" i="5"/>
  <c r="DL73" i="5" s="1"/>
  <c r="DL75" i="5" s="1"/>
  <c r="DL87" i="5" s="1"/>
  <c r="DI72" i="5"/>
  <c r="DI73" i="5" s="1"/>
  <c r="CV72" i="5"/>
  <c r="CV73" i="5" s="1"/>
  <c r="CV75" i="5" s="1"/>
  <c r="CV87" i="5" s="1"/>
  <c r="DO72" i="5"/>
  <c r="DO73" i="5" s="1"/>
  <c r="DO75" i="5" s="1"/>
  <c r="DO87" i="5" s="1"/>
  <c r="O50" i="5"/>
  <c r="D43" i="7"/>
  <c r="H18" i="2"/>
  <c r="D18" i="2"/>
  <c r="C31" i="2" s="1"/>
  <c r="M38" i="7"/>
  <c r="M40" i="7"/>
  <c r="M66" i="7"/>
  <c r="M36" i="7"/>
  <c r="M84" i="7"/>
  <c r="M82" i="7"/>
  <c r="M18" i="7"/>
  <c r="M76" i="7"/>
  <c r="M42" i="7"/>
  <c r="M41" i="7"/>
  <c r="M39" i="7"/>
  <c r="M85" i="7"/>
  <c r="M83" i="7"/>
  <c r="M32" i="7"/>
  <c r="M69" i="7"/>
  <c r="M86" i="7"/>
  <c r="M46" i="7"/>
  <c r="M47" i="7"/>
  <c r="M45" i="7"/>
  <c r="M88" i="7"/>
  <c r="M63" i="7"/>
  <c r="M71" i="7"/>
  <c r="M30" i="7"/>
  <c r="M73" i="7"/>
  <c r="M74" i="7"/>
  <c r="M33" i="7"/>
  <c r="M23" i="7"/>
  <c r="M72" i="7"/>
  <c r="M62" i="7"/>
  <c r="M26" i="7"/>
  <c r="M65" i="7"/>
  <c r="M64" i="7"/>
  <c r="M22" i="7"/>
  <c r="M44" i="7"/>
  <c r="M24" i="7"/>
  <c r="M25" i="7"/>
  <c r="M75" i="7"/>
  <c r="M61" i="7"/>
  <c r="M77" i="7"/>
  <c r="M48" i="7"/>
  <c r="M15" i="7"/>
  <c r="M17" i="7"/>
  <c r="M14" i="7"/>
  <c r="M93" i="7"/>
  <c r="M89" i="7"/>
  <c r="M19" i="7"/>
  <c r="M34" i="7"/>
  <c r="M90" i="7"/>
  <c r="M16" i="7"/>
  <c r="M35" i="7"/>
  <c r="M27" i="7"/>
  <c r="M49" i="7"/>
  <c r="M91" i="7"/>
  <c r="M20" i="7"/>
  <c r="M13" i="7"/>
  <c r="M28" i="7"/>
  <c r="M21" i="7"/>
  <c r="M29" i="7"/>
  <c r="M31" i="7"/>
  <c r="M37" i="7"/>
  <c r="M43" i="7"/>
  <c r="M50" i="7"/>
  <c r="M51" i="7"/>
  <c r="M53" i="7"/>
  <c r="J51" i="7"/>
  <c r="CI53" i="5"/>
  <c r="CC75" i="5"/>
  <c r="K51" i="7"/>
  <c r="CU53" i="5"/>
  <c r="L89" i="7"/>
  <c r="DR84" i="5"/>
  <c r="L90" i="7" s="1"/>
  <c r="P87" i="5"/>
  <c r="DH87" i="5"/>
  <c r="K79" i="7" l="1"/>
  <c r="E79" i="7"/>
  <c r="E78" i="7"/>
  <c r="M81" i="7"/>
  <c r="N45" i="3"/>
  <c r="N46" i="3"/>
  <c r="N31" i="3"/>
  <c r="N32" i="3"/>
  <c r="M79" i="7"/>
  <c r="M78" i="7"/>
  <c r="D79" i="7"/>
  <c r="H79" i="7"/>
  <c r="L78" i="7"/>
  <c r="AY43" i="5"/>
  <c r="G37" i="7"/>
  <c r="H78" i="7"/>
  <c r="AA50" i="5"/>
  <c r="E43" i="7"/>
  <c r="H37" i="7"/>
  <c r="BK43" i="5"/>
  <c r="BW43" i="5"/>
  <c r="I37" i="7"/>
  <c r="CI73" i="5"/>
  <c r="J79" i="7" s="1"/>
  <c r="J78" i="7"/>
  <c r="DI75" i="5"/>
  <c r="L79" i="7"/>
  <c r="D78" i="7"/>
  <c r="G78" i="7"/>
  <c r="C78" i="7"/>
  <c r="M33" i="3"/>
  <c r="F37" i="7"/>
  <c r="AM43" i="5"/>
  <c r="I78" i="7"/>
  <c r="C30" i="2"/>
  <c r="D50" i="7"/>
  <c r="O51" i="5"/>
  <c r="G79" i="7"/>
  <c r="C79" i="7"/>
  <c r="C75" i="5"/>
  <c r="K78" i="7"/>
  <c r="I79" i="7"/>
  <c r="D33" i="2"/>
  <c r="H18" i="3" s="1"/>
  <c r="DR85" i="5"/>
  <c r="DR87" i="5" s="1"/>
  <c r="K53" i="7"/>
  <c r="CU75" i="5"/>
  <c r="CC87" i="5"/>
  <c r="J53" i="7"/>
  <c r="CI75" i="5"/>
  <c r="L91" i="7"/>
  <c r="N47" i="3" l="1"/>
  <c r="H5" i="3" s="1" a="1"/>
  <c r="H5" i="3" s="1"/>
  <c r="DI87" i="5"/>
  <c r="L81" i="7"/>
  <c r="BW50" i="5"/>
  <c r="I43" i="7"/>
  <c r="AA51" i="5"/>
  <c r="E50" i="7"/>
  <c r="O53" i="5"/>
  <c r="D51" i="7"/>
  <c r="AM50" i="5"/>
  <c r="F43" i="7"/>
  <c r="H43" i="7"/>
  <c r="BK50" i="5"/>
  <c r="G43" i="7"/>
  <c r="AY50" i="5"/>
  <c r="L93" i="7"/>
  <c r="C87" i="5"/>
  <c r="C93" i="7" s="1"/>
  <c r="C81" i="7"/>
  <c r="N33" i="3"/>
  <c r="D36" i="3" s="1"/>
  <c r="D16" i="3"/>
  <c r="CI87" i="5"/>
  <c r="J93" i="7" s="1"/>
  <c r="J81" i="7"/>
  <c r="CU87" i="5"/>
  <c r="K93" i="7" s="1"/>
  <c r="K81" i="7"/>
  <c r="E17" i="3" l="1"/>
  <c r="G17" i="3"/>
  <c r="F17" i="3"/>
  <c r="H17" i="3"/>
  <c r="H19" i="3" s="1"/>
  <c r="H3" i="3" s="1" a="1"/>
  <c r="H3" i="3" s="1"/>
  <c r="H6" i="3" s="1"/>
  <c r="H4" i="1" s="1"/>
  <c r="H6" i="1" s="1"/>
  <c r="D35" i="3"/>
  <c r="BK51" i="5"/>
  <c r="H50" i="7"/>
  <c r="F50" i="7"/>
  <c r="AM51" i="5"/>
  <c r="BW51" i="5"/>
  <c r="I50" i="7"/>
  <c r="E51" i="7"/>
  <c r="AA53" i="5"/>
  <c r="G50" i="7"/>
  <c r="AY51" i="5"/>
  <c r="O75" i="5"/>
  <c r="D53" i="7"/>
  <c r="J19" i="3"/>
  <c r="J3" i="3" s="1" a="1"/>
  <c r="J3" i="3" s="1"/>
  <c r="G19" i="3"/>
  <c r="G3" i="3" s="1" a="1"/>
  <c r="G3" i="3" s="1"/>
  <c r="G6" i="3" s="1"/>
  <c r="G4" i="1" s="1"/>
  <c r="G6" i="1" s="1"/>
  <c r="E19" i="3"/>
  <c r="E3" i="3" s="1" a="1"/>
  <c r="E3" i="3" s="1"/>
  <c r="F19" i="3"/>
  <c r="F3" i="3" s="1" a="1"/>
  <c r="F3" i="3" s="1"/>
  <c r="F6" i="3" s="1"/>
  <c r="F4" i="1" s="1"/>
  <c r="F6" i="1" s="1"/>
  <c r="D15" i="3"/>
  <c r="D19" i="3" s="1"/>
  <c r="I19" i="3"/>
  <c r="I3" i="3" s="1" a="1"/>
  <c r="I3" i="3" s="1"/>
  <c r="G46" i="3"/>
  <c r="E53" i="7" l="1"/>
  <c r="AA75" i="5"/>
  <c r="F51" i="7"/>
  <c r="AM53" i="5"/>
  <c r="G51" i="7"/>
  <c r="AY53" i="5"/>
  <c r="D81" i="7"/>
  <c r="O87" i="5"/>
  <c r="I51" i="7"/>
  <c r="BW53" i="5"/>
  <c r="H51" i="7"/>
  <c r="BK53" i="5"/>
  <c r="H46" i="3"/>
  <c r="D21" i="3"/>
  <c r="D3" i="3" a="1"/>
  <c r="D3" i="3" s="1"/>
  <c r="D22" i="3"/>
  <c r="F11" i="1"/>
  <c r="H11" i="1"/>
  <c r="G11" i="1"/>
  <c r="F53" i="7" l="1"/>
  <c r="AM75" i="5"/>
  <c r="BW75" i="5"/>
  <c r="I53" i="7"/>
  <c r="AY75" i="5"/>
  <c r="G53" i="7"/>
  <c r="AA87" i="5"/>
  <c r="E93" i="7" s="1"/>
  <c r="E81" i="7"/>
  <c r="D93" i="7"/>
  <c r="BK75" i="5"/>
  <c r="H53" i="7"/>
  <c r="L18" i="2" l="1" a="1"/>
  <c r="L18" i="2" s="1"/>
  <c r="K30" i="2" s="1"/>
  <c r="H81" i="7"/>
  <c r="BK87" i="5"/>
  <c r="H93" i="7" s="1"/>
  <c r="BW87" i="5"/>
  <c r="I93" i="7" s="1"/>
  <c r="I81" i="7"/>
  <c r="L19" i="2"/>
  <c r="K31" i="2" s="1"/>
  <c r="F81" i="7"/>
  <c r="AM87" i="5"/>
  <c r="AY87" i="5"/>
  <c r="G93" i="7" s="1"/>
  <c r="G81" i="7"/>
  <c r="K29" i="2" l="1"/>
  <c r="L32" i="2" s="1"/>
  <c r="J46" i="3" s="1"/>
  <c r="F93" i="7"/>
  <c r="B89" i="5"/>
  <c r="B90" i="5"/>
  <c r="I46" i="3" l="1"/>
  <c r="E45" i="3"/>
  <c r="E47" i="3" s="1"/>
  <c r="F45" i="3"/>
  <c r="F47" i="3" s="1"/>
  <c r="G45" i="3"/>
  <c r="G47" i="3" s="1"/>
  <c r="L5" i="3" s="1" a="1"/>
  <c r="L5" i="3" s="1"/>
  <c r="L6" i="3" s="1"/>
  <c r="L4" i="1" s="1"/>
  <c r="L6" i="1" s="1"/>
  <c r="L11" i="1" s="1"/>
  <c r="H45" i="3"/>
  <c r="I45" i="3"/>
  <c r="I47" i="3" s="1"/>
  <c r="J45" i="3"/>
  <c r="K45" i="3"/>
  <c r="B97" i="7"/>
  <c r="B96" i="7"/>
  <c r="J47" i="3"/>
  <c r="D5" i="3" s="1" a="1"/>
  <c r="D5" i="3" s="1"/>
  <c r="D6" i="3" s="1"/>
  <c r="D4" i="1" s="1"/>
  <c r="D6" i="1" s="1"/>
  <c r="K46" i="3"/>
  <c r="D44" i="3"/>
  <c r="D43" i="3" s="1"/>
  <c r="D47" i="3" s="1"/>
  <c r="H47" i="3"/>
  <c r="M5" i="3" l="1" a="1"/>
  <c r="M5" i="3" s="1"/>
  <c r="M6" i="3" s="1"/>
  <c r="M4" i="1" s="1"/>
  <c r="M6" i="1" s="1"/>
  <c r="M11" i="1" s="1"/>
  <c r="K5" i="3" a="1"/>
  <c r="K5" i="3" s="1"/>
  <c r="K6" i="3" s="1"/>
  <c r="K4" i="1" s="1"/>
  <c r="K6" i="1" s="1"/>
  <c r="K11" i="1" s="1"/>
  <c r="N5" i="3" a="1"/>
  <c r="N5" i="3" s="1"/>
  <c r="N6" i="3" s="1"/>
  <c r="N4" i="1" s="1"/>
  <c r="N6" i="1" s="1"/>
  <c r="N11" i="1" s="1"/>
  <c r="D13" i="1"/>
  <c r="D14" i="1" s="1"/>
  <c r="D17" i="1" s="1"/>
  <c r="D15" i="1"/>
  <c r="D11" i="1"/>
  <c r="J5" i="3" a="1"/>
  <c r="J5" i="3" s="1"/>
  <c r="J6" i="3" s="1"/>
  <c r="J4" i="1" s="1"/>
  <c r="J6" i="1" s="1"/>
  <c r="J11" i="1" s="1"/>
  <c r="I5" i="3" a="1"/>
  <c r="I5" i="3" s="1"/>
  <c r="I6" i="3" s="1"/>
  <c r="I4" i="1" s="1"/>
  <c r="I6" i="1" s="1"/>
  <c r="K47" i="3"/>
  <c r="D50" i="3" l="1"/>
  <c r="E5" i="3" a="1"/>
  <c r="E5" i="3" s="1"/>
  <c r="E6" i="3" s="1"/>
  <c r="E4" i="1" s="1"/>
  <c r="E6" i="1" s="1"/>
  <c r="E11" i="1" s="1"/>
  <c r="D18" i="1"/>
  <c r="D20" i="1" s="1"/>
  <c r="E9" i="1" s="1"/>
  <c r="E12" i="1" s="1"/>
  <c r="D49" i="3"/>
  <c r="I11" i="1"/>
  <c r="C7" i="1" l="1"/>
  <c r="E13" i="1"/>
  <c r="E15" i="1" s="1"/>
  <c r="E18" i="1" s="1"/>
  <c r="E14" i="1" l="1"/>
  <c r="E17" i="1" s="1"/>
  <c r="E20" i="1" s="1"/>
  <c r="F9" i="1" s="1"/>
  <c r="F12" i="1" s="1"/>
  <c r="F13" i="1" l="1"/>
  <c r="F15" i="1" l="1"/>
  <c r="F18" i="1" s="1"/>
  <c r="F14" i="1"/>
  <c r="F17" i="1" s="1"/>
  <c r="F20" i="1" l="1"/>
  <c r="G9" i="1" s="1"/>
  <c r="G12" i="1" s="1"/>
  <c r="G13" i="1" s="1"/>
  <c r="G15" i="1" s="1"/>
  <c r="G18" i="1" s="1"/>
  <c r="G14" i="1" l="1"/>
  <c r="G17" i="1" s="1"/>
  <c r="G20" i="1" s="1"/>
  <c r="H9" i="1" s="1"/>
  <c r="H12" i="1" s="1"/>
  <c r="H13" i="1" l="1"/>
  <c r="H15" i="1" s="1"/>
  <c r="H18" i="1" s="1"/>
  <c r="H14" i="1" l="1"/>
  <c r="H17" i="1" s="1"/>
  <c r="H20" i="1" l="1"/>
  <c r="I9" i="1" s="1"/>
  <c r="I12" i="1" s="1"/>
  <c r="I13" i="1" s="1"/>
  <c r="I15" i="1" s="1"/>
  <c r="I18" i="1" s="1"/>
  <c r="I14" i="1" l="1"/>
  <c r="I17" i="1" s="1"/>
  <c r="I20" i="1" l="1"/>
  <c r="J9" i="1" s="1"/>
  <c r="J12" i="1" s="1"/>
  <c r="J13" i="1"/>
  <c r="J15" i="1" s="1"/>
  <c r="J18" i="1" s="1"/>
  <c r="J14" i="1" l="1"/>
  <c r="J17" i="1" s="1"/>
  <c r="J20" i="1" s="1"/>
  <c r="K9" i="1" s="1"/>
  <c r="K12" i="1" s="1"/>
  <c r="K13" i="1" s="1"/>
  <c r="K15" i="1" s="1"/>
  <c r="K18" i="1" s="1"/>
  <c r="K14" i="1" l="1"/>
  <c r="K17" i="1" s="1"/>
  <c r="K20" i="1" s="1"/>
  <c r="L9" i="1" s="1"/>
  <c r="L12" i="1" s="1"/>
  <c r="L13" i="1" s="1"/>
  <c r="L15" i="1" s="1"/>
  <c r="L18" i="1" s="1"/>
  <c r="L14" i="1" l="1"/>
  <c r="L17" i="1" s="1"/>
  <c r="L20" i="1" s="1"/>
  <c r="M9" i="1" s="1"/>
  <c r="M12" i="1" s="1"/>
  <c r="M13" i="1" l="1"/>
  <c r="M15" i="1" s="1"/>
  <c r="M18" i="1" s="1"/>
  <c r="M14" i="1" l="1"/>
  <c r="M17" i="1" s="1"/>
  <c r="M20" i="1" s="1"/>
  <c r="N9" i="1" s="1"/>
  <c r="N12" i="1" s="1"/>
  <c r="N13" i="1" l="1"/>
  <c r="N15" i="1" s="1"/>
  <c r="N18" i="1" s="1"/>
  <c r="O18" i="1" s="1"/>
  <c r="N14" i="1" l="1"/>
  <c r="N17" i="1" s="1"/>
  <c r="N20" i="1" l="1"/>
  <c r="O9" i="1" s="1"/>
  <c r="O17" i="1"/>
  <c r="O2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Kyle Tran</author>
  </authors>
  <commentList>
    <comment ref="V16" authorId="0" shapeId="0" xr:uid="{D6213E1E-D82F-4B67-A65E-29571AABF755}">
      <text>
        <r>
          <rPr>
            <b/>
            <sz val="9"/>
            <color indexed="81"/>
            <rFont val="Tahoma"/>
            <family val="2"/>
          </rPr>
          <t>Kyle Tran:</t>
        </r>
        <r>
          <rPr>
            <sz val="9"/>
            <color indexed="81"/>
            <rFont val="Tahoma"/>
            <family val="2"/>
          </rPr>
          <t xml:space="preserve">
Annual basically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<sst xmlns="http://schemas.openxmlformats.org/spreadsheetml/2006/main" count="579" uniqueCount="230">
  <si>
    <t>Equity Levered CF</t>
  </si>
  <si>
    <t>Beginning Balance</t>
  </si>
  <si>
    <t>Contribution</t>
  </si>
  <si>
    <t>Pref Earned</t>
  </si>
  <si>
    <t>Pref Paid</t>
  </si>
  <si>
    <t>Pref Unpaid</t>
  </si>
  <si>
    <t>Equity Repaid</t>
  </si>
  <si>
    <t>Ending Balance - Cumulative Unpaid Pref</t>
  </si>
  <si>
    <t>Ending Balance - Equity Contribution</t>
  </si>
  <si>
    <t>Total Ending Balance</t>
  </si>
  <si>
    <t>Tier 1 - Preferred Return</t>
  </si>
  <si>
    <t>Equity Assumptions</t>
  </si>
  <si>
    <t>General Partner</t>
  </si>
  <si>
    <t>Tier 1</t>
  </si>
  <si>
    <t>Parispasu</t>
  </si>
  <si>
    <t>Tier 2</t>
  </si>
  <si>
    <t>Distribution Fee</t>
  </si>
  <si>
    <t>Structure</t>
  </si>
  <si>
    <t>Limited Partner</t>
  </si>
  <si>
    <t>Debt Assumptions</t>
  </si>
  <si>
    <t>Loan Proceeds</t>
  </si>
  <si>
    <t>Debt Service</t>
  </si>
  <si>
    <t>Loan Repayment</t>
  </si>
  <si>
    <t>IRR</t>
  </si>
  <si>
    <t>Debt</t>
  </si>
  <si>
    <t>Debt CF</t>
  </si>
  <si>
    <t>EM</t>
  </si>
  <si>
    <t>NOI</t>
  </si>
  <si>
    <t>Rate</t>
  </si>
  <si>
    <t>Terms</t>
  </si>
  <si>
    <t>Amortization</t>
  </si>
  <si>
    <t>Loan Length</t>
  </si>
  <si>
    <t>DSCR</t>
  </si>
  <si>
    <t>DY</t>
  </si>
  <si>
    <t>LTV</t>
  </si>
  <si>
    <t>Constraints</t>
  </si>
  <si>
    <t>Origination Fee</t>
  </si>
  <si>
    <t>Start Date</t>
  </si>
  <si>
    <t>Purchase Price</t>
  </si>
  <si>
    <t>Construction</t>
  </si>
  <si>
    <t>Preconstruction</t>
  </si>
  <si>
    <t>Loan Type</t>
  </si>
  <si>
    <t>Interest Only</t>
  </si>
  <si>
    <t>Asset CF</t>
  </si>
  <si>
    <t>Fixed</t>
  </si>
  <si>
    <t>Perm Loan</t>
  </si>
  <si>
    <t>Permenant</t>
  </si>
  <si>
    <t>Pre-Construction</t>
  </si>
  <si>
    <t>Annual PMT</t>
  </si>
  <si>
    <t>Loan Amount</t>
  </si>
  <si>
    <t>End Date</t>
  </si>
  <si>
    <t>Leading NOI</t>
  </si>
  <si>
    <t>Perm Debt CF</t>
  </si>
  <si>
    <t>Construction Debt CF</t>
  </si>
  <si>
    <t>Total Debt CF</t>
  </si>
  <si>
    <t>Holding Period</t>
  </si>
  <si>
    <t>Preconstruction CF</t>
  </si>
  <si>
    <t>Loan Payoff Months</t>
  </si>
  <si>
    <t>Lease Up - Broker Fee</t>
  </si>
  <si>
    <t>Site Work</t>
  </si>
  <si>
    <t xml:space="preserve"> </t>
  </si>
  <si>
    <t>Building Const.</t>
  </si>
  <si>
    <t>Demolition</t>
  </si>
  <si>
    <t>Soft Costs</t>
  </si>
  <si>
    <t>Duration</t>
  </si>
  <si>
    <t>End</t>
  </si>
  <si>
    <t>Start</t>
  </si>
  <si>
    <t>Timeline</t>
  </si>
  <si>
    <t>Base Rent / mo</t>
  </si>
  <si>
    <t>Total Timeline and Costs</t>
  </si>
  <si>
    <t>Tenant Buyout Cost</t>
  </si>
  <si>
    <t>Expected Default</t>
  </si>
  <si>
    <t>Fixed Step</t>
  </si>
  <si>
    <t>Rent Increase</t>
  </si>
  <si>
    <t>Lease End</t>
  </si>
  <si>
    <t>Security Deposit</t>
  </si>
  <si>
    <t>Insurance</t>
  </si>
  <si>
    <t>Lease Start</t>
  </si>
  <si>
    <t>Tenant Improvemnts</t>
  </si>
  <si>
    <t>Repairs &amp; Maintenance</t>
  </si>
  <si>
    <t>Lease Length</t>
  </si>
  <si>
    <t>Free Rent</t>
  </si>
  <si>
    <t>Utilities</t>
  </si>
  <si>
    <t>Area</t>
  </si>
  <si>
    <t xml:space="preserve">Leasing Costs </t>
  </si>
  <si>
    <t>Recoveries:</t>
  </si>
  <si>
    <t>1 &amp; 2</t>
  </si>
  <si>
    <t>Suite</t>
  </si>
  <si>
    <t>Rent Increase (%)</t>
  </si>
  <si>
    <t>Gross</t>
  </si>
  <si>
    <t>Lease Type</t>
  </si>
  <si>
    <t>Big Baller brand</t>
  </si>
  <si>
    <t>Name</t>
  </si>
  <si>
    <t>Fixed Steps</t>
  </si>
  <si>
    <t>Rent Increase Type</t>
  </si>
  <si>
    <t>Rent Roll - Existing Tenant Continued</t>
  </si>
  <si>
    <t>Rent Roll - Existing Tenant</t>
  </si>
  <si>
    <t>Construction Costs</t>
  </si>
  <si>
    <t>Space 2</t>
  </si>
  <si>
    <t>Available</t>
  </si>
  <si>
    <t xml:space="preserve"> Market Base Rent (/sf)</t>
  </si>
  <si>
    <t>Property Taxes</t>
  </si>
  <si>
    <t>Space 1</t>
  </si>
  <si>
    <t>Whole Lease</t>
  </si>
  <si>
    <t>Months Vacant</t>
  </si>
  <si>
    <t>Leasing Commission</t>
  </si>
  <si>
    <t>Renewal Probability</t>
  </si>
  <si>
    <t>Tenant Improvemts</t>
  </si>
  <si>
    <t>Term Length</t>
  </si>
  <si>
    <t>Timing</t>
  </si>
  <si>
    <t>Month 1</t>
  </si>
  <si>
    <t>Recoverable Expenses - NNN</t>
  </si>
  <si>
    <t>Market Base Rent</t>
  </si>
  <si>
    <t>Mo</t>
  </si>
  <si>
    <t>Size / Space</t>
  </si>
  <si>
    <t>Rooftop Solar Leasing</t>
  </si>
  <si>
    <t>Market Assumptions</t>
  </si>
  <si>
    <t>Type</t>
  </si>
  <si>
    <t>Car</t>
  </si>
  <si>
    <t>Trailer</t>
  </si>
  <si>
    <t>Projected Base Rent</t>
  </si>
  <si>
    <t>Year 0 NOI</t>
  </si>
  <si>
    <t>Parking</t>
  </si>
  <si>
    <t>Base Rent</t>
  </si>
  <si>
    <t>Inflation</t>
  </si>
  <si>
    <t>Amount</t>
  </si>
  <si>
    <t>Mo/</t>
  </si>
  <si>
    <t>Other Income</t>
  </si>
  <si>
    <t>Term</t>
  </si>
  <si>
    <t>Analsis End</t>
  </si>
  <si>
    <t>Lease Expiry</t>
  </si>
  <si>
    <t>Analysis Start</t>
  </si>
  <si>
    <t>Tenant Improvements</t>
  </si>
  <si>
    <t>Cost of Sales</t>
  </si>
  <si>
    <t>Exit Cap</t>
  </si>
  <si>
    <t>NNN</t>
  </si>
  <si>
    <t>Recovery Structure</t>
  </si>
  <si>
    <t>Vacancy (Y6-10)</t>
  </si>
  <si>
    <t>Recoveries</t>
  </si>
  <si>
    <t>Rent Roll - New Tenant 2</t>
  </si>
  <si>
    <t>Rent Roll - New Tenant 1</t>
  </si>
  <si>
    <t>Vacancy (Y1-5)</t>
  </si>
  <si>
    <t>Entry Cap</t>
  </si>
  <si>
    <t>Credit</t>
  </si>
  <si>
    <t>Tenant Rating</t>
  </si>
  <si>
    <t>Closing Costs</t>
  </si>
  <si>
    <t>Replacement Reserve</t>
  </si>
  <si>
    <t>Building (SF)</t>
  </si>
  <si>
    <t>Expenses - Capital</t>
  </si>
  <si>
    <t>Lot Size (SF)</t>
  </si>
  <si>
    <t>3.0%</t>
  </si>
  <si>
    <t>Management Fee</t>
  </si>
  <si>
    <t>Multitenant</t>
  </si>
  <si>
    <t>Occupancy Type</t>
  </si>
  <si>
    <t>Previous RE Tax</t>
  </si>
  <si>
    <t>Manufacturing / Distribution</t>
  </si>
  <si>
    <t>Building Class</t>
  </si>
  <si>
    <t>California</t>
  </si>
  <si>
    <t>State</t>
  </si>
  <si>
    <t>Year Built</t>
  </si>
  <si>
    <t>Buyout Cost</t>
  </si>
  <si>
    <t>Year</t>
  </si>
  <si>
    <t>Torrance</t>
  </si>
  <si>
    <t>City</t>
  </si>
  <si>
    <t>20000 S. Western Avenue</t>
  </si>
  <si>
    <t>Address</t>
  </si>
  <si>
    <t>Buyout Cost Analysis</t>
  </si>
  <si>
    <t>Recoverable</t>
  </si>
  <si>
    <t>Existing Tenant Recoveries</t>
  </si>
  <si>
    <t>Inflation (%)</t>
  </si>
  <si>
    <t>Inputs</t>
  </si>
  <si>
    <t>Year 1</t>
  </si>
  <si>
    <t>Expenses - Operating</t>
  </si>
  <si>
    <t>Property</t>
  </si>
  <si>
    <t>Asset MOIC</t>
  </si>
  <si>
    <t>Asset IRR</t>
  </si>
  <si>
    <t>Asset Cash Flow</t>
  </si>
  <si>
    <t>Total Sale Proceeds</t>
  </si>
  <si>
    <t>Sale Price</t>
  </si>
  <si>
    <t>Disposition</t>
  </si>
  <si>
    <t>Total Acquisition Cost</t>
  </si>
  <si>
    <t>Acquisition</t>
  </si>
  <si>
    <t/>
  </si>
  <si>
    <t>Cash Flow Before Debt Service</t>
  </si>
  <si>
    <t>Total Construction Cost</t>
  </si>
  <si>
    <t>Construction Cost</t>
  </si>
  <si>
    <t>Total Leasing &amp; Capital Costs</t>
  </si>
  <si>
    <t>Total Capital Expenditures</t>
  </si>
  <si>
    <t>Tenant Buyout Expense</t>
  </si>
  <si>
    <t>Capital Expenditures</t>
  </si>
  <si>
    <t>Total Leasing Costs</t>
  </si>
  <si>
    <t>Leasing Commissions</t>
  </si>
  <si>
    <t>Leasing Costs</t>
  </si>
  <si>
    <t>Net Operating Income</t>
  </si>
  <si>
    <t>Total Operating Expenses</t>
  </si>
  <si>
    <t>Operating Expenses</t>
  </si>
  <si>
    <t>Effective Gross Revenue</t>
  </si>
  <si>
    <t>Total Vacancy &amp; Credit Loss</t>
  </si>
  <si>
    <t>Vacancy &amp; L2L</t>
  </si>
  <si>
    <t>General Vacancy &amp; Credit Loss</t>
  </si>
  <si>
    <t>Potential Gross Revenue</t>
  </si>
  <si>
    <t>Total Other Income</t>
  </si>
  <si>
    <t>Parking Income</t>
  </si>
  <si>
    <t>Total Tenant Revenue</t>
  </si>
  <si>
    <t>Total Other Tenant Revenue</t>
  </si>
  <si>
    <t>Total Expense Recoveries</t>
  </si>
  <si>
    <t>Other Tenant Revenue</t>
  </si>
  <si>
    <t>Total Rental Revenue</t>
  </si>
  <si>
    <t>Total Base Rent</t>
  </si>
  <si>
    <t>Free Rent / Concessions</t>
  </si>
  <si>
    <t>Vacancy / Turnover</t>
  </si>
  <si>
    <t>Potential Base Rent</t>
  </si>
  <si>
    <t>Tenant 2</t>
  </si>
  <si>
    <t>Tenant 1</t>
  </si>
  <si>
    <t>Base Rent / SF / Year</t>
  </si>
  <si>
    <t>Rental Revenue</t>
  </si>
  <si>
    <t>Months</t>
  </si>
  <si>
    <t>Forecast</t>
  </si>
  <si>
    <t>Actuals</t>
  </si>
  <si>
    <t>Redlands Industrial Property</t>
  </si>
  <si>
    <t>Cash Flow Projections</t>
  </si>
  <si>
    <t>Expense Inflation</t>
  </si>
  <si>
    <t>Market Rent Inflation</t>
  </si>
  <si>
    <t>year 6-10</t>
  </si>
  <si>
    <t>year 1-5</t>
  </si>
  <si>
    <t>Total Debt Service</t>
  </si>
  <si>
    <t>Permanent Loan</t>
  </si>
  <si>
    <t>Construction Loan</t>
  </si>
  <si>
    <t>Forward T12</t>
  </si>
  <si>
    <t>Asset Management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</si>
</sst>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7"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3" formatCode="_(* #,##0.00_);_(* \(#,##0.00\);_(* &quot;-&quot;??_);_(@_)"/>
    <numFmt numFmtId="164" formatCode="&quot;Year&quot;\ 0"/>
    <numFmt numFmtId="165" formatCode="0.0%"/>
    <numFmt numFmtId="166" formatCode="0\ &quot;months&quot;"/>
    <numFmt numFmtId="167" formatCode="mmm\-yyyy"/>
    <numFmt numFmtId="168" formatCode="_(* #,##0.00_);_(* \(#,##0.00\);_(* &quot;-&quot;_);_(@_)"/>
    <numFmt numFmtId="169" formatCode="&quot;$&quot;0,000\ &quot;/ mo&quot;"/>
    <numFmt numFmtId="170" formatCode="0\ &quot;Months&quot;"/>
    <numFmt numFmtId="171" formatCode="0\ &quot;mo&quot;"/>
    <numFmt numFmtId="172" formatCode="&quot;$&quot;.00\ &quot;/ rsf&quot;"/>
    <numFmt numFmtId="173" formatCode="0\ &quot;Years&quot;"/>
    <numFmt numFmtId="174" formatCode="&quot;Month&quot;\ 0"/>
    <numFmt numFmtId="175" formatCode="&quot;$&quot;0.00\ &quot;/ sf / mo &quot;\ "/>
    <numFmt numFmtId="176" formatCode="&quot;$&quot;0\ &quot;/ mo &quot;\ "/>
    <numFmt numFmtId="177" formatCode="0\ &quot;Spots&quot;"/>
    <numFmt numFmtId="178" formatCode="&quot;$&quot;0.00&quot; / sf / year&quot;"/>
    <numFmt numFmtId="179" formatCode="0\ &quot;years&quot;"/>
    <numFmt numFmtId="180" formatCode="&quot;month&quot;\ 0\ "/>
    <numFmt numFmtId="181" formatCode="&quot;$&quot;#,##0.00"/>
    <numFmt numFmtId="182" formatCode="&quot;$&quot;#,##0"/>
    <numFmt numFmtId="183" formatCode="&quot;$&quot;0.00\ &quot;/ RSF&quot;"/>
    <numFmt numFmtId="184" formatCode="0.00\ &quot;acres&quot;"/>
    <numFmt numFmtId="185" formatCode="&quot;$&quot;0.00\ &quot;/rsf&quot;"/>
    <numFmt numFmtId="186" formatCode="_(* #,##0_);_(* \(#,##0\);_(* &quot;-&quot;??_);_(@_)"/>
  </numFmts>
  <fonts count="43" x14ac:knownFonts="1">
    <font>
      <sz val="11"/>
      <color theme="1"/>
      <name val="Aptos Narrow"/>
      <family val="2"/>
      <scheme val="minor"/>
    </font>
    <font>
      <sz val="10"/>
      <color theme="1"/>
      <name val="Ebrima"/>
    </font>
    <font>
      <b/>
      <sz val="10"/>
      <color theme="1"/>
      <name val="Ebrima"/>
    </font>
    <font>
      <b/>
      <u/>
      <sz val="10"/>
      <color theme="1"/>
      <name val="Ebrima"/>
    </font>
    <font>
      <sz val="10"/>
      <color rgb="FF0000FF"/>
      <name val="Ebrima"/>
    </font>
    <font>
      <u/>
      <sz val="10"/>
      <color theme="1"/>
      <name val="Ebrima"/>
    </font>
    <font>
      <sz val="9"/>
      <color theme="1"/>
      <name val="Ebrima"/>
    </font>
    <font>
      <sz val="9"/>
      <color rgb="FF0000FF"/>
      <name val="Ebrima"/>
    </font>
    <font>
      <u/>
      <sz val="9"/>
      <color theme="1"/>
      <name val="Ebrima"/>
    </font>
    <font>
      <sz val="8"/>
      <color theme="1"/>
      <name val="Ebrima"/>
    </font>
    <font>
      <sz val="9"/>
      <name val="Ebrima"/>
    </font>
    <font>
      <u val="singleAccounting"/>
      <sz val="10"/>
      <color theme="1"/>
      <name val="Ebrima"/>
    </font>
    <font>
      <b/>
      <sz val="9"/>
      <color theme="1"/>
      <name val="Ebrima"/>
    </font>
    <font>
      <b/>
      <sz val="11"/>
      <color theme="0"/>
      <name val="Aptos Narrow"/>
      <family val="2"/>
      <scheme val="minor"/>
    </font>
    <font>
      <sz val="11"/>
      <color theme="1"/>
      <name val="Ebrima"/>
    </font>
    <font>
      <b/>
      <sz val="11"/>
      <color theme="1"/>
      <name val="Ebrima"/>
    </font>
    <font>
      <sz val="11"/>
      <color rgb="FF0000FF"/>
      <name val="Ebrima"/>
    </font>
    <font>
      <sz val="11"/>
      <color rgb="FF0000FF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name val="Ebrima"/>
    </font>
    <font>
      <u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0000FF"/>
      <name val="Ebrima"/>
    </font>
    <font>
      <sz val="12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Tahoma"/>
      <family val="2"/>
    </font>
    <font>
      <sz val="10"/>
      <color rgb="FF808080"/>
      <name val="Tahoma"/>
      <family val="2"/>
    </font>
    <font>
      <b/>
      <sz val="10"/>
      <color rgb="FF000000"/>
      <name val="Tahoma"/>
      <family val="2"/>
    </font>
    <font>
      <sz val="10"/>
      <color rgb="FF0000FF"/>
      <name val="Tahoma"/>
      <family val="2"/>
    </font>
    <font>
      <sz val="10"/>
      <color rgb="FF000000"/>
      <name val="Ebrima"/>
    </font>
    <font>
      <sz val="10"/>
      <color rgb="FF808080"/>
      <name val="Ebrima"/>
    </font>
    <font>
      <b/>
      <sz val="9"/>
      <color rgb="FF000000"/>
      <name val="Ebrima"/>
    </font>
    <font>
      <sz val="9"/>
      <color rgb="FF000000"/>
      <name val="Ebrima"/>
    </font>
    <font>
      <b/>
      <sz val="10"/>
      <color rgb="FF000000"/>
      <name val="Ebrima"/>
    </font>
    <font>
      <u/>
      <sz val="10"/>
      <color rgb="FF000000"/>
      <name val="Tahoma"/>
      <family val="2"/>
    </font>
    <font>
      <sz val="10"/>
      <color theme="0"/>
      <name val="Tahoma"/>
      <family val="2"/>
    </font>
    <font>
      <sz val="10"/>
      <color rgb="FF0000FF"/>
      <name val="Aptos Narrow"/>
      <family val="2"/>
      <scheme val="minor"/>
    </font>
    <font>
      <sz val="9"/>
      <color rgb="FF808080"/>
      <name val="Ebrima"/>
    </font>
    <font>
      <u/>
      <sz val="9"/>
      <color rgb="FF000000"/>
      <name val="Ebrima"/>
    </font>
    <font>
      <u/>
      <sz val="9"/>
      <color rgb="FF0000FF"/>
      <name val="Ebrima"/>
    </font>
    <font>
      <sz val="9"/>
      <color theme="0"/>
      <name val="Ebrima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7B0B0E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3" tint="-0.249977111117893"/>
      </right>
      <top/>
      <bottom style="thin">
        <color theme="3" tint="-0.249977111117893"/>
      </bottom>
      <diagonal/>
    </border>
    <border>
      <left/>
      <right/>
      <top/>
      <bottom style="thin">
        <color theme="3" tint="-0.249977111117893"/>
      </bottom>
      <diagonal/>
    </border>
    <border>
      <left style="thin">
        <color theme="3" tint="-0.249977111117893"/>
      </left>
      <right/>
      <top/>
      <bottom style="thin">
        <color theme="3" tint="-0.249977111117893"/>
      </bottom>
      <diagonal/>
    </border>
    <border>
      <left/>
      <right style="thin">
        <color theme="3" tint="-0.249977111117893"/>
      </right>
      <top/>
      <bottom/>
      <diagonal/>
    </border>
    <border>
      <left style="thin">
        <color theme="3" tint="-0.249977111117893"/>
      </left>
      <right/>
      <top/>
      <bottom/>
      <diagonal/>
    </border>
    <border>
      <left/>
      <right style="thin">
        <color theme="3" tint="-0.249977111117893"/>
      </right>
      <top style="thin">
        <color theme="3" tint="-0.249977111117893"/>
      </top>
      <bottom/>
      <diagonal/>
    </border>
    <border>
      <left/>
      <right/>
      <top style="thin">
        <color theme="3" tint="-0.249977111117893"/>
      </top>
      <bottom/>
      <diagonal/>
    </border>
    <border>
      <left style="thin">
        <color theme="3" tint="-0.249977111117893"/>
      </left>
      <right/>
      <top style="thin">
        <color theme="3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3" tint="-0.249977111117893"/>
      </bottom>
      <diagonal/>
    </border>
    <border>
      <left/>
      <right/>
      <top style="thin">
        <color indexed="64"/>
      </top>
      <bottom style="thin">
        <color theme="3" tint="-0.249977111117893"/>
      </bottom>
      <diagonal/>
    </border>
  </borders>
  <cellStyleXfs count="1">
    <xf numFmtId="0" fontId="0" fillId="0" borderId="0"/>
  </cellStyleXfs>
  <cellXfs count="312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/>
    </xf>
    <xf numFmtId="0" fontId="5" fillId="0" borderId="0" xfId="0" applyFont="1"/>
    <xf numFmtId="0" fontId="1" fillId="0" borderId="3" xfId="0" applyFont="1" applyBorder="1"/>
    <xf numFmtId="0" fontId="1" fillId="0" borderId="4" xfId="0" applyFont="1" applyBorder="1"/>
    <xf numFmtId="0" fontId="5" fillId="0" borderId="5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left" indent="1"/>
    </xf>
    <xf numFmtId="0" fontId="1" fillId="0" borderId="7" xfId="0" applyFont="1" applyBorder="1"/>
    <xf numFmtId="0" fontId="1" fillId="0" borderId="8" xfId="0" applyFont="1" applyBorder="1"/>
    <xf numFmtId="0" fontId="2" fillId="0" borderId="2" xfId="0" applyFont="1" applyBorder="1"/>
    <xf numFmtId="0" fontId="3" fillId="0" borderId="5" xfId="0" applyFont="1" applyBorder="1"/>
    <xf numFmtId="0" fontId="2" fillId="0" borderId="5" xfId="0" applyFont="1" applyBorder="1"/>
    <xf numFmtId="0" fontId="3" fillId="0" borderId="2" xfId="0" applyFont="1" applyBorder="1"/>
    <xf numFmtId="41" fontId="1" fillId="0" borderId="0" xfId="0" applyNumberFormat="1" applyFont="1"/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9" fontId="7" fillId="0" borderId="6" xfId="0" applyNumberFormat="1" applyFont="1" applyBorder="1"/>
    <xf numFmtId="9" fontId="6" fillId="0" borderId="6" xfId="0" applyNumberFormat="1" applyFont="1" applyBorder="1"/>
    <xf numFmtId="165" fontId="7" fillId="0" borderId="6" xfId="0" applyNumberFormat="1" applyFont="1" applyBorder="1"/>
    <xf numFmtId="166" fontId="7" fillId="0" borderId="6" xfId="0" applyNumberFormat="1" applyFont="1" applyBorder="1"/>
    <xf numFmtId="0" fontId="6" fillId="0" borderId="6" xfId="0" applyFont="1" applyBorder="1"/>
    <xf numFmtId="9" fontId="6" fillId="0" borderId="9" xfId="0" applyNumberFormat="1" applyFont="1" applyBorder="1"/>
    <xf numFmtId="0" fontId="6" fillId="0" borderId="4" xfId="0" applyFont="1" applyBorder="1"/>
    <xf numFmtId="166" fontId="6" fillId="0" borderId="6" xfId="0" applyNumberFormat="1" applyFont="1" applyBorder="1"/>
    <xf numFmtId="0" fontId="5" fillId="0" borderId="5" xfId="0" applyFont="1" applyBorder="1" applyAlignment="1">
      <alignment horizontal="left"/>
    </xf>
    <xf numFmtId="10" fontId="7" fillId="0" borderId="6" xfId="0" applyNumberFormat="1" applyFont="1" applyBorder="1"/>
    <xf numFmtId="4" fontId="7" fillId="0" borderId="6" xfId="0" applyNumberFormat="1" applyFont="1" applyBorder="1"/>
    <xf numFmtId="167" fontId="7" fillId="0" borderId="6" xfId="0" applyNumberFormat="1" applyFont="1" applyBorder="1"/>
    <xf numFmtId="167" fontId="6" fillId="0" borderId="1" xfId="0" applyNumberFormat="1" applyFont="1" applyBorder="1"/>
    <xf numFmtId="167" fontId="6" fillId="0" borderId="0" xfId="0" applyNumberFormat="1" applyFont="1"/>
    <xf numFmtId="164" fontId="8" fillId="0" borderId="0" xfId="0" applyNumberFormat="1" applyFont="1"/>
    <xf numFmtId="3" fontId="6" fillId="0" borderId="0" xfId="0" applyNumberFormat="1" applyFont="1" applyAlignment="1">
      <alignment horizontal="center"/>
    </xf>
    <xf numFmtId="3" fontId="6" fillId="0" borderId="6" xfId="0" applyNumberFormat="1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3" fontId="9" fillId="0" borderId="8" xfId="0" applyNumberFormat="1" applyFont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164" fontId="9" fillId="0" borderId="6" xfId="0" applyNumberFormat="1" applyFont="1" applyBorder="1" applyAlignment="1">
      <alignment horizontal="center"/>
    </xf>
    <xf numFmtId="41" fontId="11" fillId="0" borderId="0" xfId="0" applyNumberFormat="1" applyFont="1"/>
    <xf numFmtId="41" fontId="1" fillId="0" borderId="8" xfId="0" applyNumberFormat="1" applyFont="1" applyBorder="1"/>
    <xf numFmtId="165" fontId="1" fillId="0" borderId="0" xfId="0" applyNumberFormat="1" applyFont="1"/>
    <xf numFmtId="168" fontId="1" fillId="0" borderId="0" xfId="0" applyNumberFormat="1" applyFont="1"/>
    <xf numFmtId="41" fontId="10" fillId="0" borderId="1" xfId="0" applyNumberFormat="1" applyFont="1" applyBorder="1"/>
    <xf numFmtId="3" fontId="4" fillId="0" borderId="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" xfId="0" applyFont="1" applyBorder="1"/>
    <xf numFmtId="167" fontId="10" fillId="0" borderId="6" xfId="0" applyNumberFormat="1" applyFont="1" applyBorder="1"/>
    <xf numFmtId="0" fontId="1" fillId="2" borderId="11" xfId="0" applyFont="1" applyFill="1" applyBorder="1"/>
    <xf numFmtId="0" fontId="2" fillId="0" borderId="0" xfId="0" applyFont="1"/>
    <xf numFmtId="41" fontId="4" fillId="2" borderId="10" xfId="0" applyNumberFormat="1" applyFont="1" applyFill="1" applyBorder="1"/>
    <xf numFmtId="41" fontId="4" fillId="2" borderId="12" xfId="0" applyNumberFormat="1" applyFont="1" applyFill="1" applyBorder="1"/>
    <xf numFmtId="164" fontId="8" fillId="0" borderId="0" xfId="0" applyNumberFormat="1" applyFont="1" applyAlignment="1">
      <alignment horizontal="center"/>
    </xf>
    <xf numFmtId="0" fontId="6" fillId="0" borderId="0" xfId="0" applyFont="1" applyAlignment="1">
      <alignment horizontal="left" indent="1"/>
    </xf>
    <xf numFmtId="0" fontId="12" fillId="0" borderId="0" xfId="0" applyFont="1"/>
    <xf numFmtId="0" fontId="1" fillId="0" borderId="2" xfId="0" applyFont="1" applyBorder="1"/>
    <xf numFmtId="41" fontId="1" fillId="2" borderId="0" xfId="0" applyNumberFormat="1" applyFont="1" applyFill="1"/>
    <xf numFmtId="10" fontId="7" fillId="0" borderId="6" xfId="0" applyNumberFormat="1" applyFont="1" applyBorder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4" fontId="14" fillId="0" borderId="13" xfId="0" applyNumberFormat="1" applyFont="1" applyBorder="1" applyAlignment="1">
      <alignment horizontal="center"/>
    </xf>
    <xf numFmtId="3" fontId="1" fillId="0" borderId="0" xfId="0" applyNumberFormat="1" applyFont="1" applyAlignment="1">
      <alignment horizontal="center"/>
    </xf>
    <xf numFmtId="14" fontId="14" fillId="0" borderId="9" xfId="0" applyNumberFormat="1" applyFont="1" applyBorder="1" applyAlignment="1">
      <alignment horizontal="center"/>
    </xf>
    <xf numFmtId="14" fontId="14" fillId="0" borderId="8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4" fillId="0" borderId="7" xfId="0" applyFont="1" applyBorder="1" applyAlignment="1">
      <alignment horizontal="left" indent="1"/>
    </xf>
    <xf numFmtId="4" fontId="14" fillId="0" borderId="14" xfId="0" applyNumberFormat="1" applyFont="1" applyBorder="1" applyAlignment="1">
      <alignment horizontal="center"/>
    </xf>
    <xf numFmtId="14" fontId="14" fillId="0" borderId="6" xfId="0" applyNumberFormat="1" applyFont="1" applyBorder="1" applyAlignment="1">
      <alignment horizontal="center"/>
    </xf>
    <xf numFmtId="14" fontId="14" fillId="0" borderId="0" xfId="0" applyNumberFormat="1" applyFont="1" applyAlignment="1">
      <alignment horizontal="center"/>
    </xf>
    <xf numFmtId="0" fontId="14" fillId="0" borderId="5" xfId="0" applyFont="1" applyBorder="1" applyAlignment="1">
      <alignment horizontal="left" indent="1"/>
    </xf>
    <xf numFmtId="8" fontId="14" fillId="0" borderId="0" xfId="0" applyNumberFormat="1" applyFont="1"/>
    <xf numFmtId="0" fontId="14" fillId="0" borderId="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5" fillId="0" borderId="10" xfId="0" applyFont="1" applyBorder="1"/>
    <xf numFmtId="169" fontId="14" fillId="0" borderId="0" xfId="0" applyNumberFormat="1" applyFont="1"/>
    <xf numFmtId="0" fontId="14" fillId="0" borderId="9" xfId="0" applyFont="1" applyBorder="1"/>
    <xf numFmtId="0" fontId="14" fillId="0" borderId="8" xfId="0" applyFont="1" applyBorder="1"/>
    <xf numFmtId="0" fontId="14" fillId="0" borderId="7" xfId="0" applyFont="1" applyBorder="1"/>
    <xf numFmtId="8" fontId="16" fillId="0" borderId="9" xfId="0" applyNumberFormat="1" applyFont="1" applyBorder="1" applyAlignment="1">
      <alignment horizontal="right"/>
    </xf>
    <xf numFmtId="3" fontId="1" fillId="0" borderId="8" xfId="0" applyNumberFormat="1" applyFont="1" applyBorder="1" applyAlignment="1">
      <alignment horizontal="center"/>
    </xf>
    <xf numFmtId="41" fontId="14" fillId="0" borderId="9" xfId="0" applyNumberFormat="1" applyFont="1" applyBorder="1" applyAlignment="1">
      <alignment horizontal="center"/>
    </xf>
    <xf numFmtId="170" fontId="14" fillId="0" borderId="8" xfId="0" applyNumberFormat="1" applyFont="1" applyBorder="1"/>
    <xf numFmtId="8" fontId="6" fillId="0" borderId="8" xfId="0" applyNumberFormat="1" applyFont="1" applyBorder="1" applyAlignment="1">
      <alignment horizontal="center"/>
    </xf>
    <xf numFmtId="3" fontId="14" fillId="3" borderId="6" xfId="0" applyNumberFormat="1" applyFont="1" applyFill="1" applyBorder="1" applyAlignment="1">
      <alignment horizontal="right"/>
    </xf>
    <xf numFmtId="0" fontId="14" fillId="3" borderId="0" xfId="0" applyFont="1" applyFill="1"/>
    <xf numFmtId="0" fontId="15" fillId="3" borderId="5" xfId="0" applyFont="1" applyFill="1" applyBorder="1" applyAlignment="1">
      <alignment horizontal="left"/>
    </xf>
    <xf numFmtId="14" fontId="14" fillId="3" borderId="6" xfId="0" applyNumberFormat="1" applyFont="1" applyFill="1" applyBorder="1" applyAlignment="1">
      <alignment horizontal="right"/>
    </xf>
    <xf numFmtId="164" fontId="17" fillId="3" borderId="0" xfId="0" applyNumberFormat="1" applyFont="1" applyFill="1" applyAlignment="1">
      <alignment horizontal="center"/>
    </xf>
    <xf numFmtId="41" fontId="16" fillId="0" borderId="9" xfId="0" applyNumberFormat="1" applyFont="1" applyBorder="1" applyAlignment="1">
      <alignment horizontal="center"/>
    </xf>
    <xf numFmtId="171" fontId="17" fillId="0" borderId="8" xfId="0" applyNumberFormat="1" applyFont="1" applyBorder="1"/>
    <xf numFmtId="9" fontId="16" fillId="0" borderId="6" xfId="0" applyNumberFormat="1" applyFont="1" applyBorder="1" applyAlignment="1">
      <alignment horizontal="right"/>
    </xf>
    <xf numFmtId="0" fontId="14" fillId="0" borderId="5" xfId="0" applyFont="1" applyBorder="1"/>
    <xf numFmtId="14" fontId="14" fillId="0" borderId="6" xfId="0" applyNumberFormat="1" applyFont="1" applyBorder="1" applyAlignment="1">
      <alignment horizontal="right"/>
    </xf>
    <xf numFmtId="41" fontId="16" fillId="0" borderId="6" xfId="0" applyNumberFormat="1" applyFont="1" applyBorder="1" applyAlignment="1">
      <alignment horizontal="center"/>
    </xf>
    <xf numFmtId="171" fontId="17" fillId="0" borderId="0" xfId="0" applyNumberFormat="1" applyFont="1"/>
    <xf numFmtId="8" fontId="6" fillId="0" borderId="0" xfId="0" applyNumberFormat="1" applyFont="1" applyAlignment="1">
      <alignment horizontal="center"/>
    </xf>
    <xf numFmtId="166" fontId="16" fillId="0" borderId="9" xfId="0" applyNumberFormat="1" applyFont="1" applyBorder="1" applyAlignment="1">
      <alignment horizontal="right"/>
    </xf>
    <xf numFmtId="3" fontId="18" fillId="0" borderId="8" xfId="0" applyNumberFormat="1" applyFont="1" applyBorder="1" applyAlignment="1">
      <alignment horizontal="center"/>
    </xf>
    <xf numFmtId="14" fontId="16" fillId="0" borderId="6" xfId="0" applyNumberFormat="1" applyFont="1" applyBorder="1" applyAlignment="1">
      <alignment horizontal="right"/>
    </xf>
    <xf numFmtId="172" fontId="16" fillId="0" borderId="6" xfId="0" applyNumberFormat="1" applyFont="1" applyBorder="1" applyAlignment="1">
      <alignment horizontal="right"/>
    </xf>
    <xf numFmtId="173" fontId="16" fillId="0" borderId="6" xfId="0" applyNumberFormat="1" applyFont="1" applyBorder="1"/>
    <xf numFmtId="3" fontId="14" fillId="0" borderId="6" xfId="0" applyNumberFormat="1" applyFont="1" applyBorder="1" applyAlignment="1">
      <alignment horizontal="right"/>
    </xf>
    <xf numFmtId="10" fontId="16" fillId="0" borderId="6" xfId="0" applyNumberFormat="1" applyFont="1" applyBorder="1" applyAlignment="1">
      <alignment horizontal="right"/>
    </xf>
    <xf numFmtId="0" fontId="17" fillId="0" borderId="6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0" fillId="0" borderId="5" xfId="0" applyBorder="1"/>
    <xf numFmtId="14" fontId="14" fillId="0" borderId="8" xfId="0" applyNumberFormat="1" applyFont="1" applyBorder="1" applyAlignment="1">
      <alignment horizontal="right"/>
    </xf>
    <xf numFmtId="0" fontId="17" fillId="0" borderId="4" xfId="0" applyFont="1" applyBorder="1" applyAlignment="1">
      <alignment horizontal="center"/>
    </xf>
    <xf numFmtId="0" fontId="14" fillId="0" borderId="3" xfId="0" applyFont="1" applyBorder="1"/>
    <xf numFmtId="0" fontId="19" fillId="0" borderId="3" xfId="0" applyFont="1" applyBorder="1" applyAlignment="1">
      <alignment horizontal="center"/>
    </xf>
    <xf numFmtId="0" fontId="0" fillId="0" borderId="2" xfId="0" applyBorder="1"/>
    <xf numFmtId="164" fontId="20" fillId="0" borderId="4" xfId="0" applyNumberFormat="1" applyFont="1" applyBorder="1" applyAlignment="1">
      <alignment horizontal="center"/>
    </xf>
    <xf numFmtId="14" fontId="16" fillId="0" borderId="3" xfId="0" applyNumberFormat="1" applyFont="1" applyBorder="1" applyAlignment="1">
      <alignment horizontal="right"/>
    </xf>
    <xf numFmtId="0" fontId="6" fillId="0" borderId="3" xfId="0" applyFont="1" applyBorder="1" applyAlignment="1">
      <alignment horizontal="center"/>
    </xf>
    <xf numFmtId="0" fontId="14" fillId="0" borderId="2" xfId="0" applyFont="1" applyBorder="1"/>
    <xf numFmtId="0" fontId="16" fillId="0" borderId="6" xfId="0" applyFont="1" applyBorder="1" applyAlignment="1">
      <alignment horizontal="right"/>
    </xf>
    <xf numFmtId="0" fontId="15" fillId="0" borderId="11" xfId="0" applyFont="1" applyBorder="1" applyAlignment="1">
      <alignment horizontal="center"/>
    </xf>
    <xf numFmtId="0" fontId="15" fillId="0" borderId="12" xfId="0" applyFont="1" applyBorder="1"/>
    <xf numFmtId="41" fontId="16" fillId="0" borderId="4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5" fillId="0" borderId="2" xfId="0" applyFont="1" applyBorder="1"/>
    <xf numFmtId="14" fontId="14" fillId="0" borderId="6" xfId="0" applyNumberFormat="1" applyFont="1" applyBorder="1"/>
    <xf numFmtId="0" fontId="0" fillId="0" borderId="0" xfId="0" applyAlignment="1">
      <alignment horizontal="center"/>
    </xf>
    <xf numFmtId="2" fontId="16" fillId="0" borderId="6" xfId="0" applyNumberFormat="1" applyFont="1" applyBorder="1" applyAlignment="1">
      <alignment horizontal="right"/>
    </xf>
    <xf numFmtId="174" fontId="0" fillId="0" borderId="9" xfId="0" applyNumberFormat="1" applyBorder="1" applyAlignment="1">
      <alignment horizontal="center"/>
    </xf>
    <xf numFmtId="174" fontId="0" fillId="0" borderId="8" xfId="0" applyNumberFormat="1" applyBorder="1" applyAlignment="1">
      <alignment horizontal="center"/>
    </xf>
    <xf numFmtId="174" fontId="0" fillId="0" borderId="6" xfId="0" applyNumberFormat="1" applyBorder="1" applyAlignment="1">
      <alignment horizontal="center"/>
    </xf>
    <xf numFmtId="174" fontId="0" fillId="0" borderId="0" xfId="0" applyNumberFormat="1" applyAlignment="1">
      <alignment horizontal="center"/>
    </xf>
    <xf numFmtId="166" fontId="14" fillId="0" borderId="6" xfId="0" applyNumberFormat="1" applyFont="1" applyBorder="1" applyAlignment="1">
      <alignment horizontal="right"/>
    </xf>
    <xf numFmtId="0" fontId="0" fillId="0" borderId="10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5" fillId="0" borderId="3" xfId="0" applyFont="1" applyBorder="1"/>
    <xf numFmtId="3" fontId="16" fillId="0" borderId="6" xfId="0" applyNumberFormat="1" applyFont="1" applyBorder="1" applyAlignment="1">
      <alignment horizontal="right"/>
    </xf>
    <xf numFmtId="3" fontId="18" fillId="0" borderId="0" xfId="0" applyNumberFormat="1" applyFont="1" applyAlignment="1">
      <alignment horizontal="center"/>
    </xf>
    <xf numFmtId="3" fontId="16" fillId="0" borderId="11" xfId="0" applyNumberFormat="1" applyFont="1" applyBorder="1" applyAlignment="1">
      <alignment horizontal="right"/>
    </xf>
    <xf numFmtId="0" fontId="18" fillId="0" borderId="12" xfId="0" applyFont="1" applyBorder="1" applyAlignment="1">
      <alignment horizontal="center"/>
    </xf>
    <xf numFmtId="9" fontId="16" fillId="0" borderId="1" xfId="0" applyNumberFormat="1" applyFont="1" applyBorder="1" applyAlignment="1">
      <alignment horizontal="center"/>
    </xf>
    <xf numFmtId="175" fontId="16" fillId="0" borderId="12" xfId="0" applyNumberFormat="1" applyFont="1" applyBorder="1" applyAlignment="1">
      <alignment horizontal="right"/>
    </xf>
    <xf numFmtId="3" fontId="1" fillId="0" borderId="12" xfId="0" applyNumberFormat="1" applyFont="1" applyBorder="1" applyAlignment="1">
      <alignment horizontal="center"/>
    </xf>
    <xf numFmtId="0" fontId="14" fillId="0" borderId="12" xfId="0" applyFont="1" applyBorder="1"/>
    <xf numFmtId="0" fontId="14" fillId="0" borderId="10" xfId="0" applyFont="1" applyBorder="1"/>
    <xf numFmtId="0" fontId="16" fillId="0" borderId="11" xfId="0" applyFont="1" applyBorder="1" applyAlignment="1">
      <alignment horizontal="right"/>
    </xf>
    <xf numFmtId="0" fontId="0" fillId="0" borderId="12" xfId="0" applyBorder="1"/>
    <xf numFmtId="14" fontId="14" fillId="0" borderId="13" xfId="0" applyNumberFormat="1" applyFont="1" applyBorder="1" applyAlignment="1">
      <alignment horizontal="center"/>
    </xf>
    <xf numFmtId="176" fontId="14" fillId="0" borderId="8" xfId="0" applyNumberFormat="1" applyFont="1" applyBorder="1" applyAlignment="1">
      <alignment horizontal="center"/>
    </xf>
    <xf numFmtId="177" fontId="14" fillId="0" borderId="8" xfId="0" applyNumberFormat="1" applyFont="1" applyBorder="1" applyAlignment="1">
      <alignment horizontal="center"/>
    </xf>
    <xf numFmtId="165" fontId="17" fillId="0" borderId="9" xfId="0" applyNumberFormat="1" applyFont="1" applyBorder="1" applyAlignment="1">
      <alignment horizontal="right"/>
    </xf>
    <xf numFmtId="165" fontId="17" fillId="0" borderId="9" xfId="0" applyNumberFormat="1" applyFont="1" applyBorder="1" applyAlignment="1">
      <alignment horizontal="center"/>
    </xf>
    <xf numFmtId="0" fontId="16" fillId="0" borderId="0" xfId="0" applyFont="1" applyAlignment="1">
      <alignment horizontal="right"/>
    </xf>
    <xf numFmtId="9" fontId="16" fillId="0" borderId="14" xfId="0" applyNumberFormat="1" applyFont="1" applyBorder="1" applyAlignment="1">
      <alignment horizontal="center"/>
    </xf>
    <xf numFmtId="176" fontId="16" fillId="0" borderId="0" xfId="0" applyNumberFormat="1" applyFont="1" applyAlignment="1">
      <alignment horizontal="right"/>
    </xf>
    <xf numFmtId="3" fontId="21" fillId="0" borderId="0" xfId="0" applyNumberFormat="1" applyFont="1" applyAlignment="1">
      <alignment horizontal="center"/>
    </xf>
    <xf numFmtId="177" fontId="1" fillId="0" borderId="0" xfId="0" applyNumberFormat="1" applyFont="1" applyAlignment="1">
      <alignment horizontal="center"/>
    </xf>
    <xf numFmtId="165" fontId="17" fillId="0" borderId="0" xfId="0" applyNumberFormat="1" applyFont="1" applyAlignment="1">
      <alignment horizontal="right"/>
    </xf>
    <xf numFmtId="165" fontId="17" fillId="0" borderId="6" xfId="0" applyNumberFormat="1" applyFont="1" applyBorder="1" applyAlignment="1">
      <alignment horizontal="right"/>
    </xf>
    <xf numFmtId="165" fontId="17" fillId="0" borderId="6" xfId="0" applyNumberFormat="1" applyFont="1" applyBorder="1" applyAlignment="1">
      <alignment horizontal="center"/>
    </xf>
    <xf numFmtId="9" fontId="16" fillId="0" borderId="15" xfId="0" applyNumberFormat="1" applyFont="1" applyBorder="1" applyAlignment="1">
      <alignment horizontal="center"/>
    </xf>
    <xf numFmtId="176" fontId="16" fillId="0" borderId="3" xfId="0" applyNumberFormat="1" applyFont="1" applyBorder="1" applyAlignment="1">
      <alignment horizontal="right"/>
    </xf>
    <xf numFmtId="3" fontId="22" fillId="0" borderId="3" xfId="0" applyNumberFormat="1" applyFont="1" applyBorder="1" applyAlignment="1">
      <alignment horizontal="center"/>
    </xf>
    <xf numFmtId="177" fontId="1" fillId="0" borderId="3" xfId="0" applyNumberFormat="1" applyFont="1" applyBorder="1" applyAlignment="1">
      <alignment horizontal="center"/>
    </xf>
    <xf numFmtId="14" fontId="14" fillId="0" borderId="2" xfId="0" applyNumberFormat="1" applyFont="1" applyBorder="1" applyAlignment="1">
      <alignment horizontal="left" indent="1"/>
    </xf>
    <xf numFmtId="178" fontId="20" fillId="0" borderId="6" xfId="0" applyNumberFormat="1" applyFont="1" applyBorder="1" applyAlignment="1">
      <alignment horizontal="center"/>
    </xf>
    <xf numFmtId="169" fontId="1" fillId="0" borderId="0" xfId="0" applyNumberFormat="1" applyFont="1" applyAlignment="1">
      <alignment horizontal="center"/>
    </xf>
    <xf numFmtId="3" fontId="16" fillId="0" borderId="16" xfId="0" applyNumberFormat="1" applyFont="1" applyBorder="1" applyAlignment="1">
      <alignment horizontal="right"/>
    </xf>
    <xf numFmtId="0" fontId="0" fillId="0" borderId="17" xfId="0" applyBorder="1"/>
    <xf numFmtId="0" fontId="14" fillId="0" borderId="18" xfId="0" applyFont="1" applyBorder="1"/>
    <xf numFmtId="14" fontId="16" fillId="0" borderId="15" xfId="0" applyNumberFormat="1" applyFont="1" applyBorder="1" applyAlignment="1">
      <alignment horizontal="right"/>
    </xf>
    <xf numFmtId="0" fontId="16" fillId="0" borderId="3" xfId="0" applyFont="1" applyBorder="1"/>
    <xf numFmtId="14" fontId="14" fillId="0" borderId="3" xfId="0" applyNumberFormat="1" applyFont="1" applyBorder="1"/>
    <xf numFmtId="14" fontId="14" fillId="0" borderId="2" xfId="0" applyNumberFormat="1" applyFont="1" applyBorder="1"/>
    <xf numFmtId="8" fontId="16" fillId="0" borderId="0" xfId="0" applyNumberFormat="1" applyFont="1" applyAlignment="1">
      <alignment horizontal="right"/>
    </xf>
    <xf numFmtId="178" fontId="16" fillId="0" borderId="6" xfId="0" applyNumberFormat="1" applyFont="1" applyBorder="1" applyAlignment="1">
      <alignment horizontal="center"/>
    </xf>
    <xf numFmtId="3" fontId="16" fillId="0" borderId="19" xfId="0" applyNumberFormat="1" applyFont="1" applyBorder="1" applyAlignment="1">
      <alignment horizontal="right"/>
    </xf>
    <xf numFmtId="0" fontId="14" fillId="0" borderId="20" xfId="0" applyFont="1" applyBorder="1"/>
    <xf numFmtId="0" fontId="14" fillId="0" borderId="4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14" fontId="14" fillId="0" borderId="0" xfId="0" applyNumberFormat="1" applyFont="1" applyAlignment="1">
      <alignment horizontal="right"/>
    </xf>
    <xf numFmtId="14" fontId="16" fillId="0" borderId="0" xfId="0" applyNumberFormat="1" applyFont="1"/>
    <xf numFmtId="179" fontId="16" fillId="0" borderId="0" xfId="0" applyNumberFormat="1" applyFont="1" applyAlignment="1">
      <alignment horizontal="right"/>
    </xf>
    <xf numFmtId="179" fontId="16" fillId="0" borderId="6" xfId="0" applyNumberFormat="1" applyFont="1" applyBorder="1" applyAlignment="1">
      <alignment horizontal="right"/>
    </xf>
    <xf numFmtId="179" fontId="16" fillId="0" borderId="6" xfId="0" applyNumberFormat="1" applyFont="1" applyBorder="1" applyAlignment="1">
      <alignment horizontal="center"/>
    </xf>
    <xf numFmtId="14" fontId="14" fillId="0" borderId="19" xfId="0" applyNumberFormat="1" applyFont="1" applyBorder="1" applyAlignment="1">
      <alignment horizontal="right"/>
    </xf>
    <xf numFmtId="14" fontId="14" fillId="0" borderId="9" xfId="0" applyNumberFormat="1" applyFont="1" applyBorder="1" applyAlignment="1">
      <alignment horizontal="right"/>
    </xf>
    <xf numFmtId="14" fontId="16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center"/>
    </xf>
    <xf numFmtId="14" fontId="16" fillId="0" borderId="6" xfId="0" applyNumberFormat="1" applyFont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180" fontId="6" fillId="0" borderId="0" xfId="0" applyNumberFormat="1" applyFont="1" applyAlignment="1">
      <alignment horizontal="center"/>
    </xf>
    <xf numFmtId="14" fontId="16" fillId="0" borderId="19" xfId="0" applyNumberFormat="1" applyFont="1" applyBorder="1" applyAlignment="1">
      <alignment horizontal="right"/>
    </xf>
    <xf numFmtId="3" fontId="16" fillId="0" borderId="0" xfId="0" applyNumberFormat="1" applyFont="1" applyAlignment="1">
      <alignment horizontal="right"/>
    </xf>
    <xf numFmtId="3" fontId="16" fillId="0" borderId="6" xfId="0" applyNumberFormat="1" applyFont="1" applyBorder="1" applyAlignment="1">
      <alignment horizontal="center"/>
    </xf>
    <xf numFmtId="9" fontId="16" fillId="0" borderId="19" xfId="0" applyNumberFormat="1" applyFont="1" applyBorder="1" applyAlignment="1">
      <alignment horizontal="right"/>
    </xf>
    <xf numFmtId="3" fontId="0" fillId="0" borderId="0" xfId="0" applyNumberFormat="1" applyAlignment="1">
      <alignment horizontal="center"/>
    </xf>
    <xf numFmtId="14" fontId="14" fillId="0" borderId="5" xfId="0" applyNumberFormat="1" applyFont="1" applyBorder="1"/>
    <xf numFmtId="0" fontId="17" fillId="0" borderId="0" xfId="0" applyFont="1" applyAlignment="1">
      <alignment horizontal="center"/>
    </xf>
    <xf numFmtId="10" fontId="16" fillId="0" borderId="19" xfId="0" applyNumberFormat="1" applyFont="1" applyBorder="1" applyAlignment="1">
      <alignment horizontal="right"/>
    </xf>
    <xf numFmtId="14" fontId="14" fillId="0" borderId="4" xfId="0" applyNumberFormat="1" applyFont="1" applyBorder="1" applyAlignment="1">
      <alignment horizontal="right"/>
    </xf>
    <xf numFmtId="164" fontId="17" fillId="0" borderId="0" xfId="0" applyNumberFormat="1" applyFont="1" applyAlignment="1">
      <alignment horizontal="center"/>
    </xf>
    <xf numFmtId="6" fontId="14" fillId="0" borderId="9" xfId="0" applyNumberFormat="1" applyFont="1" applyBorder="1"/>
    <xf numFmtId="164" fontId="14" fillId="0" borderId="7" xfId="0" applyNumberFormat="1" applyFont="1" applyBorder="1" applyAlignment="1">
      <alignment horizontal="center"/>
    </xf>
    <xf numFmtId="0" fontId="15" fillId="0" borderId="4" xfId="0" applyFont="1" applyBorder="1"/>
    <xf numFmtId="6" fontId="14" fillId="0" borderId="6" xfId="0" applyNumberFormat="1" applyFont="1" applyBorder="1"/>
    <xf numFmtId="164" fontId="14" fillId="0" borderId="5" xfId="0" applyNumberFormat="1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1" fontId="12" fillId="0" borderId="1" xfId="0" applyNumberFormat="1" applyFont="1" applyBorder="1" applyAlignment="1">
      <alignment horizontal="center"/>
    </xf>
    <xf numFmtId="181" fontId="15" fillId="0" borderId="1" xfId="0" applyNumberFormat="1" applyFont="1" applyBorder="1"/>
    <xf numFmtId="0" fontId="14" fillId="0" borderId="20" xfId="0" applyFont="1" applyBorder="1" applyAlignment="1">
      <alignment horizontal="left" indent="1"/>
    </xf>
    <xf numFmtId="182" fontId="16" fillId="0" borderId="19" xfId="0" applyNumberFormat="1" applyFont="1" applyBorder="1" applyAlignment="1">
      <alignment horizontal="right"/>
    </xf>
    <xf numFmtId="9" fontId="1" fillId="0" borderId="0" xfId="0" applyNumberFormat="1" applyFont="1" applyAlignment="1">
      <alignment horizontal="center"/>
    </xf>
    <xf numFmtId="9" fontId="1" fillId="0" borderId="9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183" fontId="4" fillId="0" borderId="13" xfId="0" applyNumberFormat="1" applyFont="1" applyBorder="1" applyAlignment="1">
      <alignment horizontal="center"/>
    </xf>
    <xf numFmtId="3" fontId="1" fillId="0" borderId="9" xfId="0" applyNumberFormat="1" applyFont="1" applyBorder="1" applyAlignment="1">
      <alignment horizontal="center"/>
    </xf>
    <xf numFmtId="184" fontId="17" fillId="0" borderId="0" xfId="0" applyNumberFormat="1" applyFont="1" applyAlignment="1">
      <alignment horizontal="center"/>
    </xf>
    <xf numFmtId="0" fontId="1" fillId="0" borderId="6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4" fillId="0" borderId="6" xfId="0" applyNumberFormat="1" applyFont="1" applyBorder="1" applyAlignment="1">
      <alignment horizontal="center"/>
    </xf>
    <xf numFmtId="0" fontId="15" fillId="0" borderId="0" xfId="0" applyFont="1"/>
    <xf numFmtId="0" fontId="12" fillId="0" borderId="0" xfId="0" applyFont="1" applyAlignment="1">
      <alignment horizontal="center"/>
    </xf>
    <xf numFmtId="0" fontId="15" fillId="0" borderId="5" xfId="0" applyFont="1" applyBorder="1"/>
    <xf numFmtId="3" fontId="24" fillId="0" borderId="6" xfId="0" applyNumberFormat="1" applyFont="1" applyBorder="1" applyAlignment="1">
      <alignment horizontal="right"/>
    </xf>
    <xf numFmtId="9" fontId="4" fillId="0" borderId="14" xfId="0" applyNumberFormat="1" applyFont="1" applyBorder="1" applyAlignment="1">
      <alignment horizontal="center"/>
    </xf>
    <xf numFmtId="0" fontId="14" fillId="0" borderId="19" xfId="0" applyFont="1" applyBorder="1" applyAlignment="1">
      <alignment horizontal="right"/>
    </xf>
    <xf numFmtId="9" fontId="1" fillId="0" borderId="6" xfId="0" applyNumberFormat="1" applyFont="1" applyBorder="1" applyAlignment="1">
      <alignment horizontal="center"/>
    </xf>
    <xf numFmtId="3" fontId="4" fillId="0" borderId="14" xfId="0" applyNumberFormat="1" applyFont="1" applyBorder="1" applyAlignment="1">
      <alignment horizontal="center"/>
    </xf>
    <xf numFmtId="3" fontId="1" fillId="0" borderId="6" xfId="0" applyNumberFormat="1" applyFont="1" applyBorder="1" applyAlignment="1">
      <alignment horizontal="center"/>
    </xf>
    <xf numFmtId="185" fontId="6" fillId="0" borderId="0" xfId="0" applyNumberFormat="1" applyFont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14" fillId="0" borderId="13" xfId="0" applyFont="1" applyBorder="1"/>
    <xf numFmtId="165" fontId="4" fillId="0" borderId="0" xfId="0" applyNumberFormat="1" applyFont="1" applyAlignment="1">
      <alignment horizontal="center"/>
    </xf>
    <xf numFmtId="165" fontId="4" fillId="0" borderId="6" xfId="0" applyNumberFormat="1" applyFont="1" applyBorder="1" applyAlignment="1">
      <alignment horizontal="center"/>
    </xf>
    <xf numFmtId="10" fontId="4" fillId="0" borderId="14" xfId="0" applyNumberFormat="1" applyFont="1" applyBorder="1" applyAlignment="1">
      <alignment horizontal="center"/>
    </xf>
    <xf numFmtId="6" fontId="14" fillId="0" borderId="4" xfId="0" applyNumberFormat="1" applyFont="1" applyBorder="1"/>
    <xf numFmtId="164" fontId="14" fillId="0" borderId="2" xfId="0" applyNumberFormat="1" applyFont="1" applyBorder="1" applyAlignment="1">
      <alignment horizontal="center"/>
    </xf>
    <xf numFmtId="0" fontId="14" fillId="0" borderId="14" xfId="0" applyFont="1" applyBorder="1"/>
    <xf numFmtId="165" fontId="1" fillId="0" borderId="0" xfId="0" applyNumberFormat="1" applyFont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164" fontId="14" fillId="0" borderId="0" xfId="0" applyNumberFormat="1" applyFont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3" fontId="14" fillId="0" borderId="1" xfId="0" applyNumberFormat="1" applyFont="1" applyBorder="1"/>
    <xf numFmtId="3" fontId="1" fillId="0" borderId="4" xfId="0" applyNumberFormat="1" applyFont="1" applyBorder="1" applyAlignment="1">
      <alignment horizontal="center"/>
    </xf>
    <xf numFmtId="0" fontId="14" fillId="0" borderId="21" xfId="0" applyFont="1" applyBorder="1" applyAlignment="1">
      <alignment horizontal="right"/>
    </xf>
    <xf numFmtId="0" fontId="0" fillId="0" borderId="22" xfId="0" applyBorder="1"/>
    <xf numFmtId="0" fontId="14" fillId="0" borderId="23" xfId="0" applyFont="1" applyBorder="1"/>
    <xf numFmtId="0" fontId="14" fillId="0" borderId="1" xfId="0" applyFont="1" applyBorder="1"/>
    <xf numFmtId="0" fontId="1" fillId="0" borderId="1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14" fillId="0" borderId="4" xfId="0" applyFont="1" applyBorder="1" applyAlignment="1">
      <alignment horizontal="right"/>
    </xf>
    <xf numFmtId="0" fontId="0" fillId="0" borderId="3" xfId="0" applyBorder="1"/>
    <xf numFmtId="0" fontId="22" fillId="0" borderId="0" xfId="0" applyFont="1"/>
    <xf numFmtId="43" fontId="13" fillId="4" borderId="0" xfId="0" applyNumberFormat="1" applyFont="1" applyFill="1"/>
    <xf numFmtId="9" fontId="22" fillId="0" borderId="0" xfId="0" applyNumberFormat="1" applyFont="1"/>
    <xf numFmtId="165" fontId="13" fillId="4" borderId="0" xfId="0" applyNumberFormat="1" applyFont="1" applyFill="1"/>
    <xf numFmtId="41" fontId="27" fillId="0" borderId="17" xfId="0" applyNumberFormat="1" applyFont="1" applyBorder="1" applyAlignment="1">
      <alignment horizontal="right" vertical="center" wrapText="1" shrinkToFit="1" readingOrder="1"/>
    </xf>
    <xf numFmtId="0" fontId="27" fillId="0" borderId="0" xfId="0" applyFont="1" applyAlignment="1">
      <alignment horizontal="left" vertical="center" wrapText="1" shrinkToFit="1" readingOrder="1"/>
    </xf>
    <xf numFmtId="0" fontId="28" fillId="0" borderId="0" xfId="0" applyFont="1" applyAlignment="1">
      <alignment horizontal="left" vertical="center" wrapText="1" indent="1" shrinkToFit="1" readingOrder="1"/>
    </xf>
    <xf numFmtId="41" fontId="27" fillId="0" borderId="0" xfId="0" applyNumberFormat="1" applyFont="1" applyAlignment="1">
      <alignment horizontal="right" vertical="center" wrapText="1" shrinkToFit="1" readingOrder="1"/>
    </xf>
    <xf numFmtId="41" fontId="22" fillId="0" borderId="0" xfId="0" applyNumberFormat="1" applyFont="1"/>
    <xf numFmtId="0" fontId="29" fillId="0" borderId="0" xfId="0" applyFont="1" applyAlignment="1">
      <alignment horizontal="left" vertical="center" wrapText="1" shrinkToFit="1" readingOrder="1"/>
    </xf>
    <xf numFmtId="41" fontId="27" fillId="0" borderId="25" xfId="0" applyNumberFormat="1" applyFont="1" applyBorder="1" applyAlignment="1">
      <alignment horizontal="right" vertical="center" wrapText="1" shrinkToFit="1" readingOrder="1"/>
    </xf>
    <xf numFmtId="0" fontId="27" fillId="0" borderId="0" xfId="0" applyFont="1" applyAlignment="1">
      <alignment horizontal="left" vertical="center" wrapText="1" indent="1" shrinkToFit="1" readingOrder="1"/>
    </xf>
    <xf numFmtId="41" fontId="30" fillId="3" borderId="0" xfId="0" applyNumberFormat="1" applyFont="1" applyFill="1" applyAlignment="1">
      <alignment horizontal="right" vertical="center" wrapText="1" shrinkToFit="1" readingOrder="1"/>
    </xf>
    <xf numFmtId="41" fontId="27" fillId="0" borderId="8" xfId="0" applyNumberFormat="1" applyFont="1" applyBorder="1" applyAlignment="1">
      <alignment horizontal="right" vertical="center" wrapText="1" shrinkToFit="1" readingOrder="1"/>
    </xf>
    <xf numFmtId="0" fontId="31" fillId="0" borderId="0" xfId="0" applyFont="1" applyAlignment="1">
      <alignment horizontal="left" vertical="center" wrapText="1" shrinkToFit="1" readingOrder="1"/>
    </xf>
    <xf numFmtId="0" fontId="32" fillId="0" borderId="0" xfId="0" applyFont="1" applyAlignment="1">
      <alignment horizontal="left" vertical="center" wrapText="1" shrinkToFit="1" readingOrder="1"/>
    </xf>
    <xf numFmtId="0" fontId="32" fillId="0" borderId="0" xfId="0" applyFont="1" applyAlignment="1">
      <alignment horizontal="left" vertical="center" wrapText="1" indent="1" shrinkToFit="1" readingOrder="1"/>
    </xf>
    <xf numFmtId="41" fontId="31" fillId="0" borderId="0" xfId="0" applyNumberFormat="1" applyFont="1" applyAlignment="1">
      <alignment horizontal="right" vertical="center" wrapText="1" shrinkToFit="1" readingOrder="1"/>
    </xf>
    <xf numFmtId="0" fontId="19" fillId="0" borderId="0" xfId="0" applyFont="1"/>
    <xf numFmtId="186" fontId="6" fillId="0" borderId="0" xfId="0" applyNumberFormat="1" applyFont="1"/>
    <xf numFmtId="0" fontId="33" fillId="0" borderId="0" xfId="0" applyFont="1" applyAlignment="1">
      <alignment horizontal="left" vertical="center" wrapText="1" shrinkToFit="1" readingOrder="1"/>
    </xf>
    <xf numFmtId="0" fontId="34" fillId="0" borderId="0" xfId="0" applyFont="1" applyAlignment="1">
      <alignment horizontal="left" vertical="center" wrapText="1" indent="1" shrinkToFit="1" readingOrder="1"/>
    </xf>
    <xf numFmtId="43" fontId="6" fillId="0" borderId="0" xfId="0" applyNumberFormat="1" applyFont="1"/>
    <xf numFmtId="0" fontId="34" fillId="0" borderId="0" xfId="0" applyFont="1" applyAlignment="1">
      <alignment horizontal="left" vertical="center" wrapText="1" shrinkToFit="1" readingOrder="1"/>
    </xf>
    <xf numFmtId="0" fontId="35" fillId="0" borderId="0" xfId="0" applyFont="1" applyAlignment="1">
      <alignment horizontal="left" vertical="center" wrapText="1" shrinkToFit="1" readingOrder="1"/>
    </xf>
    <xf numFmtId="167" fontId="36" fillId="0" borderId="0" xfId="0" applyNumberFormat="1" applyFont="1" applyAlignment="1">
      <alignment horizontal="center" vertical="center" wrapText="1" shrinkToFit="1" readingOrder="1"/>
    </xf>
    <xf numFmtId="174" fontId="27" fillId="0" borderId="0" xfId="0" applyNumberFormat="1" applyFont="1" applyAlignment="1">
      <alignment horizontal="center" vertical="center" wrapText="1" shrinkToFit="1" readingOrder="1"/>
    </xf>
    <xf numFmtId="164" fontId="22" fillId="0" borderId="0" xfId="0" applyNumberFormat="1" applyFont="1" applyAlignment="1">
      <alignment horizontal="center"/>
    </xf>
    <xf numFmtId="0" fontId="37" fillId="4" borderId="0" xfId="0" applyFont="1" applyFill="1" applyAlignment="1">
      <alignment horizontal="center" vertical="center" wrapText="1" shrinkToFit="1" readingOrder="1"/>
    </xf>
    <xf numFmtId="165" fontId="38" fillId="0" borderId="0" xfId="0" applyNumberFormat="1" applyFont="1"/>
    <xf numFmtId="0" fontId="22" fillId="0" borderId="0" xfId="0" applyFont="1" applyAlignment="1">
      <alignment horizontal="center"/>
    </xf>
    <xf numFmtId="0" fontId="6" fillId="0" borderId="0" xfId="0" applyFont="1"/>
    <xf numFmtId="9" fontId="6" fillId="0" borderId="0" xfId="0" applyNumberFormat="1" applyFont="1"/>
    <xf numFmtId="41" fontId="34" fillId="0" borderId="17" xfId="0" applyNumberFormat="1" applyFont="1" applyBorder="1" applyAlignment="1">
      <alignment horizontal="right" vertical="center" wrapText="1" shrinkToFit="1" readingOrder="1"/>
    </xf>
    <xf numFmtId="0" fontId="39" fillId="0" borderId="0" xfId="0" applyFont="1" applyAlignment="1">
      <alignment horizontal="left" vertical="center" wrapText="1" indent="1" shrinkToFit="1" readingOrder="1"/>
    </xf>
    <xf numFmtId="41" fontId="34" fillId="0" borderId="0" xfId="0" applyNumberFormat="1" applyFont="1" applyAlignment="1">
      <alignment horizontal="right" vertical="center" wrapText="1" shrinkToFit="1" readingOrder="1"/>
    </xf>
    <xf numFmtId="41" fontId="6" fillId="0" borderId="0" xfId="0" applyNumberFormat="1" applyFont="1"/>
    <xf numFmtId="41" fontId="34" fillId="0" borderId="25" xfId="0" applyNumberFormat="1" applyFont="1" applyBorder="1" applyAlignment="1">
      <alignment horizontal="right" vertical="center" wrapText="1" shrinkToFit="1" readingOrder="1"/>
    </xf>
    <xf numFmtId="41" fontId="34" fillId="0" borderId="8" xfId="0" applyNumberFormat="1" applyFont="1" applyBorder="1" applyAlignment="1">
      <alignment horizontal="right" vertical="center" wrapText="1" shrinkToFit="1" readingOrder="1"/>
    </xf>
    <xf numFmtId="0" fontId="39" fillId="0" borderId="0" xfId="0" applyFont="1" applyAlignment="1">
      <alignment horizontal="left" vertical="center" wrapText="1" shrinkToFit="1" readingOrder="1"/>
    </xf>
    <xf numFmtId="167" fontId="40" fillId="0" borderId="0" xfId="0" applyNumberFormat="1" applyFont="1" applyAlignment="1">
      <alignment horizontal="center" vertical="center" wrapText="1" shrinkToFit="1" readingOrder="1"/>
    </xf>
    <xf numFmtId="14" fontId="40" fillId="0" borderId="0" xfId="0" applyNumberFormat="1" applyFont="1" applyAlignment="1">
      <alignment horizontal="center" vertical="center" wrapText="1" shrinkToFit="1" readingOrder="1"/>
    </xf>
    <xf numFmtId="14" fontId="41" fillId="0" borderId="0" xfId="0" applyNumberFormat="1" applyFont="1" applyAlignment="1">
      <alignment horizontal="center" vertical="center" wrapText="1" shrinkToFit="1" readingOrder="1"/>
    </xf>
    <xf numFmtId="0" fontId="42" fillId="4" borderId="0" xfId="0" applyFont="1" applyFill="1" applyAlignment="1">
      <alignment horizontal="center" vertical="center" wrapText="1" shrinkToFit="1" readingOrder="1"/>
    </xf>
    <xf numFmtId="165" fontId="7" fillId="0" borderId="0" xfId="0" applyNumberFormat="1" applyFont="1"/>
    <xf numFmtId="167" fontId="6" fillId="0" borderId="6" xfId="0" applyNumberFormat="1" applyFont="1" applyBorder="1"/>
    <xf numFmtId="3" fontId="1" fillId="0" borderId="1" xfId="0" applyNumberFormat="1" applyFont="1" applyBorder="1" applyAlignment="1">
      <alignment horizontal="center"/>
    </xf>
    <xf numFmtId="9" fontId="1" fillId="0" borderId="0" xfId="0" applyNumberFormat="1" applyFont="1"/>
    <xf numFmtId="3" fontId="14" fillId="0" borderId="12" xfId="0" applyNumberFormat="1" applyFont="1" applyBorder="1"/>
    <xf numFmtId="0" fontId="14" fillId="0" borderId="11" xfId="0" applyFont="1" applyBorder="1"/>
    <xf numFmtId="3" fontId="15" fillId="0" borderId="10" xfId="0" applyNumberFormat="1" applyFont="1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1">
    <cellStyle name="Normal" xfId="0" builtinId="0"/>
  </cellStyles>
  <dxfs count="4"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</dxfs>
  <tableStyles count="1" defaultTableStyle="TableStyleMedium2" defaultPivotStyle="PivotStyleLight16">
    <tableStyle name="Invisible" pivot="0" table="0" count="0" xr9:uid="{1AA15F3F-4AD7-44C1-B601-104E543C1B57}"/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7" Type="http://schemas.openxmlformats.org/officeDocument/2006/relationships/customXml" Target="../ink/ink6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customXml" Target="../ink/ink5.xml"/><Relationship Id="rId5" Type="http://schemas.openxmlformats.org/officeDocument/2006/relationships/customXml" Target="../ink/ink4.xml"/><Relationship Id="rId4" Type="http://schemas.openxmlformats.org/officeDocument/2006/relationships/customXml" Target="../ink/ink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96995</xdr:colOff>
      <xdr:row>22</xdr:row>
      <xdr:rowOff>227040</xdr:rowOff>
    </xdr:from>
    <xdr:ext cx="29160" cy="2196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F2DC7B2-D7EE-446E-99C9-8B1C2FD4833C}"/>
                </a:ext>
              </a:extLst>
            </xdr14:cNvPr>
            <xdr14:cNvContentPartPr/>
          </xdr14:nvContentPartPr>
          <xdr14:nvPr macro=""/>
          <xdr14:xfrm>
            <a:off x="4109040" y="4037040"/>
            <a:ext cx="29160" cy="219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24BD2F0-76E1-E931-905E-3728E4154A9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102920" y="4030920"/>
              <a:ext cx="41400" cy="34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96995</xdr:colOff>
      <xdr:row>23</xdr:row>
      <xdr:rowOff>227040</xdr:rowOff>
    </xdr:from>
    <xdr:ext cx="29160" cy="2196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3E49B3A6-FB08-4B86-B507-3CD1CE92A9EF}"/>
                </a:ext>
              </a:extLst>
            </xdr14:cNvPr>
            <xdr14:cNvContentPartPr/>
          </xdr14:nvContentPartPr>
          <xdr14:nvPr macro=""/>
          <xdr14:xfrm>
            <a:off x="4109040" y="4037040"/>
            <a:ext cx="29160" cy="219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24BD2F0-76E1-E931-905E-3728E4154A9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102920" y="4030920"/>
              <a:ext cx="41400" cy="34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96995</xdr:colOff>
      <xdr:row>24</xdr:row>
      <xdr:rowOff>227040</xdr:rowOff>
    </xdr:from>
    <xdr:ext cx="29160" cy="2196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CC3E5551-4EEF-4955-8A0F-E0BB9C215A49}"/>
                </a:ext>
              </a:extLst>
            </xdr14:cNvPr>
            <xdr14:cNvContentPartPr/>
          </xdr14:nvContentPartPr>
          <xdr14:nvPr macro=""/>
          <xdr14:xfrm>
            <a:off x="4109040" y="4037040"/>
            <a:ext cx="29160" cy="219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24BD2F0-76E1-E931-905E-3728E4154A9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102920" y="4030920"/>
              <a:ext cx="41400" cy="34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96995</xdr:colOff>
      <xdr:row>25</xdr:row>
      <xdr:rowOff>227040</xdr:rowOff>
    </xdr:from>
    <xdr:ext cx="29160" cy="2196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576F40DD-D903-4F82-8929-D4FA1B5F187A}"/>
                </a:ext>
              </a:extLst>
            </xdr14:cNvPr>
            <xdr14:cNvContentPartPr/>
          </xdr14:nvContentPartPr>
          <xdr14:nvPr macro=""/>
          <xdr14:xfrm>
            <a:off x="4109040" y="4037040"/>
            <a:ext cx="29160" cy="219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24BD2F0-76E1-E931-905E-3728E4154A9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102920" y="4030920"/>
              <a:ext cx="41400" cy="34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96995</xdr:colOff>
      <xdr:row>25</xdr:row>
      <xdr:rowOff>227040</xdr:rowOff>
    </xdr:from>
    <xdr:ext cx="29160" cy="2196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5E1DA663-6B42-4A69-8A6F-134FE73EF5D0}"/>
                </a:ext>
              </a:extLst>
            </xdr14:cNvPr>
            <xdr14:cNvContentPartPr/>
          </xdr14:nvContentPartPr>
          <xdr14:nvPr macro=""/>
          <xdr14:xfrm>
            <a:off x="4109040" y="4037040"/>
            <a:ext cx="29160" cy="219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24BD2F0-76E1-E931-905E-3728E4154A9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102920" y="4030920"/>
              <a:ext cx="41400" cy="34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96995</xdr:colOff>
      <xdr:row>26</xdr:row>
      <xdr:rowOff>227040</xdr:rowOff>
    </xdr:from>
    <xdr:ext cx="29160" cy="2196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1566A83C-2A6C-4AA2-B30E-A5BF8F4C6B58}"/>
                </a:ext>
              </a:extLst>
            </xdr14:cNvPr>
            <xdr14:cNvContentPartPr/>
          </xdr14:nvContentPartPr>
          <xdr14:nvPr macro=""/>
          <xdr14:xfrm>
            <a:off x="4109040" y="4037040"/>
            <a:ext cx="29160" cy="219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24BD2F0-76E1-E931-905E-3728E4154A9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102920" y="4030920"/>
              <a:ext cx="41400" cy="342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09T19:39:11.7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80 0 32,'0'0'0,"-80"60"0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09T19:39:11.7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80 0 32,'0'0'0,"-80"60"0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09T19:39:11.7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80 0 32,'0'0'0,"-80"60"0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09T19:39:11.7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80 0 32,'0'0'0,"-80"60"0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09T19:39:11.7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80 0 32,'0'0'0,"-80"60"0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09T19:39:11.7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80 0 32,'0'0'0,"-80"60"0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084B-CA86-4AF7-9517-E95AC641DB6B}">
  <sheetPr>
    <tabColor theme="7" tint="-0.249977111117893"/>
  </sheetPr>
  <dimension ref="A1:EC97"/>
  <sheetViews>
    <sheetView topLeftCell="D30" zoomScale="175" zoomScaleNormal="175" workbookViewId="0">
      <selection activeCell="E43" sqref="E43"/>
    </sheetView>
    <sheetView workbookViewId="1"/>
  </sheetViews>
  <sheetFormatPr defaultColWidth="19.6640625" defaultRowHeight="13.5" x14ac:dyDescent="0.45"/>
  <cols>
    <col min="1" max="1" width="28.9296875" style="290" bestFit="1" customWidth="1"/>
    <col min="2" max="2" width="15.59765625" style="259" customWidth="1"/>
    <col min="3" max="15" width="15.59765625" style="290" customWidth="1"/>
    <col min="16" max="48" width="15.59765625" style="290" hidden="1" customWidth="1"/>
    <col min="49" max="49" width="15.59765625" style="290" customWidth="1" collapsed="1"/>
    <col min="50" max="120" width="15.59765625" style="290" customWidth="1"/>
    <col min="121" max="121" width="15.59765625" style="290" customWidth="1" collapsed="1"/>
    <col min="122" max="133" width="15.59765625" style="290" customWidth="1"/>
    <col min="134" max="16384" width="19.6640625" style="290"/>
  </cols>
  <sheetData>
    <row r="1" spans="1:133" ht="19.149999999999999" customHeight="1" x14ac:dyDescent="0.45">
      <c r="C1" s="62"/>
      <c r="D1" s="62"/>
    </row>
    <row r="2" spans="1:133" ht="19.149999999999999" customHeight="1" x14ac:dyDescent="0.45">
      <c r="A2" s="290" t="s">
        <v>222</v>
      </c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  <c r="T2" s="303"/>
      <c r="U2" s="303"/>
      <c r="V2" s="303"/>
      <c r="W2" s="303"/>
      <c r="X2" s="303"/>
      <c r="Y2" s="303"/>
      <c r="Z2" s="303"/>
      <c r="AA2" s="303"/>
      <c r="AB2" s="303"/>
      <c r="AC2" s="303"/>
      <c r="AD2" s="303"/>
      <c r="AE2" s="303"/>
      <c r="AF2" s="303"/>
      <c r="AG2" s="303"/>
      <c r="AH2" s="303"/>
      <c r="AI2" s="303"/>
      <c r="AJ2" s="303"/>
      <c r="AK2" s="303"/>
      <c r="AL2" s="303"/>
      <c r="AM2" s="303"/>
      <c r="AN2" s="303"/>
      <c r="AO2" s="303"/>
      <c r="AP2" s="303"/>
      <c r="AQ2" s="303"/>
      <c r="AR2" s="303"/>
      <c r="AS2" s="303"/>
      <c r="AT2" s="303"/>
      <c r="AU2" s="303"/>
      <c r="AV2" s="303"/>
      <c r="AW2" s="303"/>
      <c r="AX2" s="303"/>
      <c r="AY2" s="303"/>
      <c r="AZ2" s="303"/>
      <c r="BA2" s="303"/>
      <c r="BB2" s="303"/>
      <c r="BC2" s="303"/>
      <c r="BD2" s="303"/>
      <c r="BE2" s="303"/>
      <c r="BF2" s="303"/>
      <c r="BG2" s="303"/>
      <c r="BH2" s="303"/>
      <c r="BI2" s="303"/>
      <c r="BJ2" s="303"/>
      <c r="BK2" s="303"/>
      <c r="BL2" s="303"/>
      <c r="BM2" s="303"/>
      <c r="BN2" s="303"/>
      <c r="BO2" s="303"/>
      <c r="BP2" s="303"/>
      <c r="BQ2" s="303"/>
      <c r="BR2" s="303"/>
      <c r="BS2" s="303"/>
      <c r="BT2" s="303"/>
      <c r="BU2" s="303"/>
      <c r="BV2" s="303"/>
      <c r="BW2" s="303"/>
      <c r="BX2" s="303"/>
      <c r="BY2" s="303"/>
      <c r="BZ2" s="303"/>
      <c r="CA2" s="303"/>
      <c r="CB2" s="303"/>
      <c r="CC2" s="303"/>
      <c r="CD2" s="303"/>
      <c r="CE2" s="303"/>
      <c r="CF2" s="303"/>
      <c r="CG2" s="303"/>
      <c r="CH2" s="303"/>
      <c r="CI2" s="303"/>
      <c r="CJ2" s="303"/>
      <c r="CK2" s="303"/>
      <c r="CL2" s="303"/>
      <c r="CM2" s="303"/>
      <c r="CN2" s="303"/>
      <c r="CO2" s="303"/>
      <c r="CP2" s="303"/>
      <c r="CQ2" s="303"/>
      <c r="CR2" s="303"/>
      <c r="CS2" s="303"/>
      <c r="CT2" s="303"/>
      <c r="CU2" s="303"/>
      <c r="CV2" s="303"/>
      <c r="CW2" s="303"/>
      <c r="CX2" s="303"/>
      <c r="CY2" s="303"/>
      <c r="CZ2" s="303"/>
      <c r="DA2" s="303"/>
      <c r="DB2" s="303"/>
      <c r="DC2" s="303"/>
      <c r="DD2" s="303"/>
      <c r="DE2" s="303"/>
      <c r="DF2" s="303"/>
      <c r="DG2" s="303"/>
      <c r="DH2" s="303"/>
      <c r="DI2" s="303"/>
      <c r="DJ2" s="303"/>
      <c r="DK2" s="303"/>
      <c r="DL2" s="303"/>
      <c r="DM2" s="303"/>
      <c r="DN2" s="303"/>
      <c r="DO2" s="303"/>
      <c r="DP2" s="303"/>
      <c r="DQ2" s="303"/>
      <c r="DR2" s="303"/>
      <c r="DS2" s="303"/>
      <c r="DT2" s="303"/>
      <c r="DU2" s="303"/>
      <c r="DV2" s="303"/>
      <c r="DW2" s="303"/>
      <c r="DX2" s="303"/>
      <c r="DY2" s="303"/>
      <c r="DZ2" s="303"/>
      <c r="EA2" s="303"/>
      <c r="EB2" s="303"/>
      <c r="EC2" s="303"/>
    </row>
    <row r="3" spans="1:133" ht="19.149999999999999" customHeight="1" x14ac:dyDescent="0.45">
      <c r="A3" s="290" t="s">
        <v>221</v>
      </c>
      <c r="C3" s="303"/>
      <c r="D3" s="303"/>
      <c r="E3" s="303"/>
      <c r="F3" s="303"/>
      <c r="G3" s="303"/>
      <c r="H3" s="303"/>
      <c r="I3" s="303"/>
      <c r="J3" s="303"/>
      <c r="K3" s="303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3"/>
      <c r="W3" s="303"/>
      <c r="X3" s="303"/>
      <c r="Y3" s="303"/>
      <c r="Z3" s="303"/>
      <c r="AA3" s="303"/>
      <c r="AB3" s="303"/>
      <c r="AC3" s="303"/>
      <c r="AD3" s="303"/>
      <c r="AE3" s="303"/>
      <c r="AF3" s="303"/>
      <c r="AG3" s="303"/>
      <c r="AH3" s="303"/>
      <c r="AI3" s="303"/>
      <c r="AJ3" s="303"/>
      <c r="AK3" s="303"/>
      <c r="AL3" s="303"/>
      <c r="AM3" s="303"/>
      <c r="AN3" s="303"/>
      <c r="AO3" s="303"/>
      <c r="AP3" s="303"/>
      <c r="AQ3" s="303"/>
      <c r="AR3" s="303"/>
      <c r="AS3" s="303"/>
      <c r="AT3" s="303"/>
      <c r="AU3" s="303"/>
      <c r="AV3" s="303"/>
      <c r="AW3" s="303"/>
      <c r="AX3" s="303"/>
      <c r="AY3" s="303"/>
      <c r="AZ3" s="303"/>
      <c r="BA3" s="303"/>
      <c r="BB3" s="303"/>
      <c r="BC3" s="303"/>
      <c r="BD3" s="303"/>
      <c r="BE3" s="303"/>
      <c r="BF3" s="303"/>
      <c r="BG3" s="303"/>
      <c r="BH3" s="303"/>
      <c r="BI3" s="303"/>
      <c r="BJ3" s="303"/>
      <c r="BK3" s="303"/>
      <c r="BL3" s="303"/>
      <c r="BM3" s="303"/>
      <c r="BN3" s="303"/>
      <c r="BO3" s="303"/>
      <c r="BP3" s="303"/>
      <c r="BQ3" s="303"/>
      <c r="BR3" s="303"/>
      <c r="BS3" s="303"/>
      <c r="BT3" s="303"/>
      <c r="BU3" s="303"/>
      <c r="BV3" s="303"/>
      <c r="BW3" s="303"/>
      <c r="BX3" s="303"/>
      <c r="BY3" s="303"/>
      <c r="BZ3" s="303"/>
      <c r="CA3" s="303"/>
      <c r="CB3" s="303"/>
      <c r="CC3" s="303"/>
      <c r="CD3" s="303"/>
      <c r="CE3" s="303"/>
      <c r="CF3" s="303"/>
      <c r="CG3" s="303"/>
      <c r="CH3" s="303"/>
      <c r="CI3" s="303"/>
      <c r="CJ3" s="303"/>
      <c r="CK3" s="303"/>
      <c r="CL3" s="303"/>
      <c r="CM3" s="303"/>
      <c r="CN3" s="303"/>
      <c r="CO3" s="303"/>
      <c r="CP3" s="303"/>
      <c r="CQ3" s="303"/>
      <c r="CR3" s="303"/>
      <c r="CS3" s="303"/>
      <c r="CT3" s="303"/>
      <c r="CU3" s="303"/>
      <c r="CV3" s="303"/>
      <c r="CW3" s="303"/>
      <c r="CX3" s="303"/>
      <c r="CY3" s="303"/>
      <c r="CZ3" s="303"/>
      <c r="DA3" s="303"/>
      <c r="DB3" s="303"/>
      <c r="DC3" s="303"/>
      <c r="DD3" s="303"/>
      <c r="DE3" s="303"/>
      <c r="DF3" s="303"/>
      <c r="DG3" s="303"/>
      <c r="DH3" s="303"/>
      <c r="DI3" s="303"/>
      <c r="DJ3" s="303"/>
      <c r="DK3" s="303"/>
      <c r="DL3" s="303"/>
      <c r="DM3" s="303"/>
      <c r="DN3" s="303"/>
      <c r="DO3" s="303"/>
      <c r="DP3" s="303"/>
      <c r="DQ3" s="303"/>
      <c r="DR3" s="303"/>
      <c r="DS3" s="303"/>
      <c r="DT3" s="303"/>
      <c r="DU3" s="303"/>
      <c r="DV3" s="303"/>
      <c r="DW3" s="303"/>
      <c r="DX3" s="303"/>
      <c r="DY3" s="303"/>
      <c r="DZ3" s="303"/>
      <c r="EA3" s="303"/>
      <c r="EB3" s="303"/>
      <c r="EC3" s="303"/>
    </row>
    <row r="4" spans="1:133" ht="19.149999999999999" customHeight="1" x14ac:dyDescent="0.45">
      <c r="A4" s="279" t="s">
        <v>220</v>
      </c>
    </row>
    <row r="5" spans="1:133" ht="19.149999999999999" customHeight="1" x14ac:dyDescent="0.45">
      <c r="A5" s="282" t="s">
        <v>219</v>
      </c>
      <c r="B5" s="268"/>
      <c r="C5" s="279"/>
      <c r="D5" s="279"/>
      <c r="E5" s="279"/>
      <c r="F5" s="279"/>
      <c r="G5" s="279"/>
      <c r="H5" s="279"/>
      <c r="I5" s="279"/>
      <c r="J5" s="279"/>
      <c r="K5" s="279"/>
      <c r="L5" s="279"/>
    </row>
    <row r="6" spans="1:133" ht="12.75" customHeight="1" x14ac:dyDescent="0.45">
      <c r="B6" s="264"/>
      <c r="C6" s="282"/>
      <c r="D6" s="282"/>
      <c r="E6" s="282"/>
      <c r="F6" s="282"/>
      <c r="G6" s="282"/>
      <c r="H6" s="282"/>
      <c r="I6" s="282"/>
      <c r="J6" s="282"/>
      <c r="K6" s="282"/>
      <c r="L6" s="282"/>
    </row>
    <row r="7" spans="1:133" ht="15.4" customHeight="1" x14ac:dyDescent="0.45">
      <c r="B7" s="287" t="s">
        <v>218</v>
      </c>
      <c r="C7" s="302" t="s">
        <v>217</v>
      </c>
      <c r="D7" s="302" t="s">
        <v>217</v>
      </c>
      <c r="E7" s="302" t="s">
        <v>217</v>
      </c>
      <c r="F7" s="302" t="s">
        <v>217</v>
      </c>
      <c r="G7" s="302" t="s">
        <v>217</v>
      </c>
      <c r="H7" s="302" t="s">
        <v>217</v>
      </c>
      <c r="I7" s="302" t="s">
        <v>217</v>
      </c>
      <c r="J7" s="302" t="s">
        <v>217</v>
      </c>
      <c r="K7" s="302" t="s">
        <v>217</v>
      </c>
      <c r="L7" s="302" t="s">
        <v>217</v>
      </c>
      <c r="M7" s="302" t="s">
        <v>228</v>
      </c>
    </row>
    <row r="8" spans="1:133" ht="19.149999999999999" customHeight="1" x14ac:dyDescent="0.55000000000000004">
      <c r="B8" s="286">
        <v>0</v>
      </c>
      <c r="C8" s="191">
        <f t="shared" ref="C8:M8" si="0">B8+1</f>
        <v>1</v>
      </c>
      <c r="D8" s="191">
        <f t="shared" si="0"/>
        <v>2</v>
      </c>
      <c r="E8" s="191">
        <f t="shared" si="0"/>
        <v>3</v>
      </c>
      <c r="F8" s="191">
        <f t="shared" si="0"/>
        <v>4</v>
      </c>
      <c r="G8" s="191">
        <f t="shared" si="0"/>
        <v>5</v>
      </c>
      <c r="H8" s="191">
        <f t="shared" si="0"/>
        <v>6</v>
      </c>
      <c r="I8" s="191">
        <f t="shared" si="0"/>
        <v>7</v>
      </c>
      <c r="J8" s="191">
        <f t="shared" si="0"/>
        <v>8</v>
      </c>
      <c r="K8" s="191">
        <f t="shared" si="0"/>
        <v>9</v>
      </c>
      <c r="L8" s="191">
        <f t="shared" si="0"/>
        <v>10</v>
      </c>
      <c r="M8" s="191">
        <f t="shared" si="0"/>
        <v>11</v>
      </c>
    </row>
    <row r="9" spans="1:133" ht="19.149999999999999" customHeight="1" x14ac:dyDescent="0.45">
      <c r="B9" s="300">
        <f>EOMONTH(C9,-12)</f>
        <v>45322</v>
      </c>
      <c r="C9" s="301">
        <f>EDATE('Torrance Inputs'!analysis_start,0)</f>
        <v>45658</v>
      </c>
      <c r="D9" s="300">
        <f>EOMONTH(C9,12)</f>
        <v>46053</v>
      </c>
      <c r="E9" s="300">
        <f t="shared" ref="E9:M9" si="1">EOMONTH(D9,12)</f>
        <v>46418</v>
      </c>
      <c r="F9" s="300">
        <f t="shared" si="1"/>
        <v>46783</v>
      </c>
      <c r="G9" s="300">
        <f t="shared" si="1"/>
        <v>47149</v>
      </c>
      <c r="H9" s="300">
        <f t="shared" si="1"/>
        <v>47514</v>
      </c>
      <c r="I9" s="300">
        <f t="shared" si="1"/>
        <v>47879</v>
      </c>
      <c r="J9" s="300">
        <f t="shared" si="1"/>
        <v>48244</v>
      </c>
      <c r="K9" s="300">
        <f t="shared" si="1"/>
        <v>48610</v>
      </c>
      <c r="L9" s="300">
        <f t="shared" si="1"/>
        <v>48975</v>
      </c>
      <c r="M9" s="300">
        <f t="shared" si="1"/>
        <v>49340</v>
      </c>
    </row>
    <row r="10" spans="1:133" ht="19.149999999999999" customHeight="1" x14ac:dyDescent="0.45">
      <c r="A10" s="282" t="s">
        <v>216</v>
      </c>
      <c r="B10" s="284"/>
      <c r="C10" s="299"/>
      <c r="D10" s="299"/>
      <c r="E10" s="299"/>
      <c r="F10" s="299"/>
      <c r="G10" s="299"/>
      <c r="H10" s="299"/>
      <c r="I10" s="299"/>
      <c r="J10" s="299"/>
      <c r="K10" s="299"/>
      <c r="L10" s="299"/>
      <c r="M10" s="299"/>
    </row>
    <row r="11" spans="1:133" ht="19.149999999999999" customHeight="1" x14ac:dyDescent="0.45"/>
    <row r="12" spans="1:133" ht="19.149999999999999" customHeight="1" x14ac:dyDescent="0.45">
      <c r="A12" s="279" t="s">
        <v>215</v>
      </c>
      <c r="B12" s="283"/>
    </row>
    <row r="13" spans="1:133" ht="19.149999999999999" customHeight="1" x14ac:dyDescent="0.45">
      <c r="A13" s="282" t="s">
        <v>214</v>
      </c>
      <c r="B13" s="279"/>
      <c r="C13" s="281">
        <f>SUMIF('Torrance Pro Forma'!$B$8:$ED$8,'Annual Pro Forma'!C$8,'Torrance Pro Forma'!$B13:$ED13)</f>
        <v>48</v>
      </c>
      <c r="D13" s="281">
        <f>SUMIF('Torrance Pro Forma'!$B$8:$ED$8,'Annual Pro Forma'!D$8,'Torrance Pro Forma'!$B13:$ED13)</f>
        <v>48.959999999999987</v>
      </c>
      <c r="E13" s="281">
        <f>SUMIF('Torrance Pro Forma'!$B$8:$ED$8,'Annual Pro Forma'!E$8,'Torrance Pro Forma'!$B13:$ED13)</f>
        <v>49.9392</v>
      </c>
      <c r="F13" s="281">
        <f>SUMIF('Torrance Pro Forma'!$B$8:$ED$8,'Annual Pro Forma'!F$8,'Torrance Pro Forma'!$B13:$ED13)</f>
        <v>50.937984000000007</v>
      </c>
      <c r="G13" s="281">
        <f>SUMIF('Torrance Pro Forma'!$B$8:$ED$8,'Annual Pro Forma'!G$8,'Torrance Pro Forma'!$B13:$ED13)</f>
        <v>0</v>
      </c>
      <c r="H13" s="281">
        <f>SUMIF('Torrance Pro Forma'!$B$8:$ED$8,'Annual Pro Forma'!H$8,'Torrance Pro Forma'!$B13:$ED13)</f>
        <v>212.84272004147991</v>
      </c>
      <c r="I13" s="281">
        <f>SUMIF('Torrance Pro Forma'!$B$8:$ED$8,'Annual Pro Forma'!I$8,'Torrance Pro Forma'!$B13:$ED13)</f>
        <v>217.09957444230955</v>
      </c>
      <c r="J13" s="281">
        <f>SUMIF('Torrance Pro Forma'!$B$8:$ED$8,'Annual Pro Forma'!J$8,'Torrance Pro Forma'!$B13:$ED13)</f>
        <v>221.44156593115565</v>
      </c>
      <c r="K13" s="281">
        <f>SUMIF('Torrance Pro Forma'!$B$8:$ED$8,'Annual Pro Forma'!K$8,'Torrance Pro Forma'!$B13:$ED13)</f>
        <v>225.8703972497789</v>
      </c>
      <c r="L13" s="281">
        <f>SUMIF('Torrance Pro Forma'!$B$8:$ED$8,'Annual Pro Forma'!L$8,'Torrance Pro Forma'!$B13:$ED13)</f>
        <v>230.38780519477447</v>
      </c>
      <c r="M13" s="281">
        <f>SUMIF('Torrance Pro Forma'!$B$8:$ED$8,'Annual Pro Forma'!M$8,'Torrance Pro Forma'!$B13:$ED13)</f>
        <v>234.99556129866991</v>
      </c>
    </row>
    <row r="14" spans="1:133" ht="19.149999999999999" customHeight="1" x14ac:dyDescent="0.45">
      <c r="A14" s="280" t="s">
        <v>213</v>
      </c>
      <c r="B14" s="279"/>
      <c r="C14" s="278">
        <f>SUMIF('Torrance Pro Forma'!$B$8:$ED$8,'Annual Pro Forma'!C$8,'Torrance Pro Forma'!$B14:$ED14)</f>
        <v>1099999.9999999998</v>
      </c>
      <c r="D14" s="278">
        <f>SUMIF('Torrance Pro Forma'!$B$8:$ED$8,'Annual Pro Forma'!D$8,'Torrance Pro Forma'!$B14:$ED14)</f>
        <v>1122000</v>
      </c>
      <c r="E14" s="278">
        <f>SUMIF('Torrance Pro Forma'!$B$8:$ED$8,'Annual Pro Forma'!E$8,'Torrance Pro Forma'!$B14:$ED14)</f>
        <v>1144440</v>
      </c>
      <c r="F14" s="278">
        <f>SUMIF('Torrance Pro Forma'!$B$8:$ED$8,'Annual Pro Forma'!F$8,'Torrance Pro Forma'!$B14:$ED14)</f>
        <v>1167328.8</v>
      </c>
      <c r="G14" s="278">
        <f>SUMIF('Torrance Pro Forma'!$B$8:$ED$8,'Annual Pro Forma'!G$8,'Torrance Pro Forma'!$B14:$ED14)</f>
        <v>0</v>
      </c>
      <c r="H14" s="278">
        <f>SUMIF('Torrance Pro Forma'!$B$8:$ED$8,'Annual Pro Forma'!H$8,'Torrance Pro Forma'!$B14:$ED14)</f>
        <v>2438822.8338086247</v>
      </c>
      <c r="I14" s="278">
        <f>SUMIF('Torrance Pro Forma'!$B$8:$ED$8,'Annual Pro Forma'!I$8,'Torrance Pro Forma'!$B14:$ED14)</f>
        <v>2487599.2904847967</v>
      </c>
      <c r="J14" s="278">
        <f>SUMIF('Torrance Pro Forma'!$B$8:$ED$8,'Annual Pro Forma'!J$8,'Torrance Pro Forma'!$B14:$ED14)</f>
        <v>2537351.2762944936</v>
      </c>
      <c r="K14" s="278">
        <f>SUMIF('Torrance Pro Forma'!$B$8:$ED$8,'Annual Pro Forma'!K$8,'Torrance Pro Forma'!$B14:$ED14)</f>
        <v>2588098.3018203829</v>
      </c>
      <c r="L14" s="278">
        <f>SUMIF('Torrance Pro Forma'!$B$8:$ED$8,'Annual Pro Forma'!L$8,'Torrance Pro Forma'!$B14:$ED14)</f>
        <v>2639860.2678567898</v>
      </c>
      <c r="M14" s="278">
        <f>SUMIF('Torrance Pro Forma'!$B$8:$ED$8,'Annual Pro Forma'!M$8,'Torrance Pro Forma'!$B14:$ED14)</f>
        <v>2692657.473213926</v>
      </c>
    </row>
    <row r="15" spans="1:133" ht="19.149999999999999" customHeight="1" x14ac:dyDescent="0.45">
      <c r="A15" s="280" t="s">
        <v>212</v>
      </c>
      <c r="B15" s="279"/>
      <c r="C15" s="278">
        <f>SUMIF('Torrance Pro Forma'!$B$8:$ED$8,'Annual Pro Forma'!C$8,'Torrance Pro Forma'!$B15:$ED15)</f>
        <v>0</v>
      </c>
      <c r="D15" s="278">
        <f>SUMIF('Torrance Pro Forma'!$B$8:$ED$8,'Annual Pro Forma'!D$8,'Torrance Pro Forma'!$B15:$ED15)</f>
        <v>0</v>
      </c>
      <c r="E15" s="278">
        <f>SUMIF('Torrance Pro Forma'!$B$8:$ED$8,'Annual Pro Forma'!E$8,'Torrance Pro Forma'!$B15:$ED15)</f>
        <v>0</v>
      </c>
      <c r="F15" s="278">
        <f>SUMIF('Torrance Pro Forma'!$B$8:$ED$8,'Annual Pro Forma'!F$8,'Torrance Pro Forma'!$B15:$ED15)</f>
        <v>0</v>
      </c>
      <c r="G15" s="278">
        <f>SUMIF('Torrance Pro Forma'!$B$8:$ED$8,'Annual Pro Forma'!G$8,'Torrance Pro Forma'!$B15:$ED15)</f>
        <v>0</v>
      </c>
      <c r="H15" s="278">
        <f>SUMIF('Torrance Pro Forma'!$B$8:$ED$8,'Annual Pro Forma'!H$8,'Torrance Pro Forma'!$B15:$ED15)</f>
        <v>2438822.8338086247</v>
      </c>
      <c r="I15" s="278">
        <f>SUMIF('Torrance Pro Forma'!$B$8:$ED$8,'Annual Pro Forma'!I$8,'Torrance Pro Forma'!$B15:$ED15)</f>
        <v>2487599.2904847967</v>
      </c>
      <c r="J15" s="278">
        <f>SUMIF('Torrance Pro Forma'!$B$8:$ED$8,'Annual Pro Forma'!J$8,'Torrance Pro Forma'!$B15:$ED15)</f>
        <v>2537351.2762944936</v>
      </c>
      <c r="K15" s="278">
        <f>SUMIF('Torrance Pro Forma'!$B$8:$ED$8,'Annual Pro Forma'!K$8,'Torrance Pro Forma'!$B15:$ED15)</f>
        <v>2588098.3018203829</v>
      </c>
      <c r="L15" s="278">
        <f>SUMIF('Torrance Pro Forma'!$B$8:$ED$8,'Annual Pro Forma'!L$8,'Torrance Pro Forma'!$B15:$ED15)</f>
        <v>2639860.2678567898</v>
      </c>
      <c r="M15" s="278">
        <f>SUMIF('Torrance Pro Forma'!$B$8:$ED$8,'Annual Pro Forma'!M$8,'Torrance Pro Forma'!$B15:$ED15)</f>
        <v>2692657.473213926</v>
      </c>
    </row>
    <row r="16" spans="1:133" ht="19.149999999999999" customHeight="1" x14ac:dyDescent="0.45">
      <c r="A16" s="293" t="s">
        <v>211</v>
      </c>
      <c r="B16" s="275"/>
      <c r="C16" s="294">
        <f>SUMIF('Torrance Pro Forma'!$B$8:$ED$8,'Annual Pro Forma'!C$8,'Torrance Pro Forma'!$B16:$ED16)</f>
        <v>1099999.9999999998</v>
      </c>
      <c r="D16" s="294">
        <f>SUMIF('Torrance Pro Forma'!$B$8:$ED$8,'Annual Pro Forma'!D$8,'Torrance Pro Forma'!$B16:$ED16)</f>
        <v>1122000</v>
      </c>
      <c r="E16" s="294">
        <f>SUMIF('Torrance Pro Forma'!$B$8:$ED$8,'Annual Pro Forma'!E$8,'Torrance Pro Forma'!$B16:$ED16)</f>
        <v>1144440</v>
      </c>
      <c r="F16" s="294">
        <f>SUMIF('Torrance Pro Forma'!$B$8:$ED$8,'Annual Pro Forma'!F$8,'Torrance Pro Forma'!$B16:$ED16)</f>
        <v>1167328.8</v>
      </c>
      <c r="G16" s="294">
        <f>SUMIF('Torrance Pro Forma'!$B$8:$ED$8,'Annual Pro Forma'!G$8,'Torrance Pro Forma'!$B16:$ED16)</f>
        <v>0</v>
      </c>
      <c r="H16" s="294">
        <f>SUMIF('Torrance Pro Forma'!$B$8:$ED$8,'Annual Pro Forma'!H$8,'Torrance Pro Forma'!$B16:$ED16)</f>
        <v>4877645.6676172493</v>
      </c>
      <c r="I16" s="294">
        <f>SUMIF('Torrance Pro Forma'!$B$8:$ED$8,'Annual Pro Forma'!I$8,'Torrance Pro Forma'!$B16:$ED16)</f>
        <v>4975198.5809695935</v>
      </c>
      <c r="J16" s="294">
        <f>SUMIF('Torrance Pro Forma'!$B$8:$ED$8,'Annual Pro Forma'!J$8,'Torrance Pro Forma'!$B16:$ED16)</f>
        <v>5074702.5525889872</v>
      </c>
      <c r="K16" s="294">
        <f>SUMIF('Torrance Pro Forma'!$B$8:$ED$8,'Annual Pro Forma'!K$8,'Torrance Pro Forma'!$B16:$ED16)</f>
        <v>5176196.6036407659</v>
      </c>
      <c r="L16" s="294">
        <f>SUMIF('Torrance Pro Forma'!$B$8:$ED$8,'Annual Pro Forma'!L$8,'Torrance Pro Forma'!$B16:$ED16)</f>
        <v>5279720.5357135795</v>
      </c>
      <c r="M16" s="294">
        <f>SUMIF('Torrance Pro Forma'!$B$8:$ED$8,'Annual Pro Forma'!M$8,'Torrance Pro Forma'!$B16:$ED16)</f>
        <v>5385314.9464278519</v>
      </c>
    </row>
    <row r="17" spans="1:13" ht="19.149999999999999" customHeight="1" x14ac:dyDescent="0.45">
      <c r="A17" s="293" t="s">
        <v>210</v>
      </c>
      <c r="B17" s="275"/>
      <c r="C17" s="294">
        <f>SUMIF('Torrance Pro Forma'!$B$8:$ED$8,'Annual Pro Forma'!C$8,'Torrance Pro Forma'!$B17:$ED17)</f>
        <v>0</v>
      </c>
      <c r="D17" s="294">
        <f>SUMIF('Torrance Pro Forma'!$B$8:$ED$8,'Annual Pro Forma'!D$8,'Torrance Pro Forma'!$B17:$ED17)</f>
        <v>0</v>
      </c>
      <c r="E17" s="294">
        <f>SUMIF('Torrance Pro Forma'!$B$8:$ED$8,'Annual Pro Forma'!E$8,'Torrance Pro Forma'!$B17:$ED17)</f>
        <v>0</v>
      </c>
      <c r="F17" s="294">
        <f>SUMIF('Torrance Pro Forma'!$B$8:$ED$8,'Annual Pro Forma'!F$8,'Torrance Pro Forma'!$B17:$ED17)</f>
        <v>0</v>
      </c>
      <c r="G17" s="294">
        <f>SUMIF('Torrance Pro Forma'!$B$8:$ED$8,'Annual Pro Forma'!G$8,'Torrance Pro Forma'!$B17:$ED17)</f>
        <v>0</v>
      </c>
      <c r="H17" s="294">
        <f>SUMIF('Torrance Pro Forma'!$B$8:$ED$8,'Annual Pro Forma'!H$8,'Torrance Pro Forma'!$B17:$ED17)</f>
        <v>0</v>
      </c>
      <c r="I17" s="294">
        <f>SUMIF('Torrance Pro Forma'!$B$8:$ED$8,'Annual Pro Forma'!I$8,'Torrance Pro Forma'!$B17:$ED17)</f>
        <v>0</v>
      </c>
      <c r="J17" s="294">
        <f>SUMIF('Torrance Pro Forma'!$B$8:$ED$8,'Annual Pro Forma'!J$8,'Torrance Pro Forma'!$B17:$ED17)</f>
        <v>0</v>
      </c>
      <c r="K17" s="294">
        <f>SUMIF('Torrance Pro Forma'!$B$8:$ED$8,'Annual Pro Forma'!K$8,'Torrance Pro Forma'!$B17:$ED17)</f>
        <v>0</v>
      </c>
      <c r="L17" s="294">
        <f>SUMIF('Torrance Pro Forma'!$B$8:$ED$8,'Annual Pro Forma'!L$8,'Torrance Pro Forma'!$B17:$ED17)</f>
        <v>0</v>
      </c>
      <c r="M17" s="294">
        <f>SUMIF('Torrance Pro Forma'!$B$8:$ED$8,'Annual Pro Forma'!M$8,'Torrance Pro Forma'!$B17:$ED17)</f>
        <v>0</v>
      </c>
    </row>
    <row r="18" spans="1:13" ht="19.149999999999999" customHeight="1" x14ac:dyDescent="0.45">
      <c r="A18" s="293" t="s">
        <v>75</v>
      </c>
      <c r="B18" s="275"/>
      <c r="C18" s="294">
        <f>SUMIF('Torrance Pro Forma'!$B$8:$ED$8,'Annual Pro Forma'!C$8,'Torrance Pro Forma'!$B18:$ED18)</f>
        <v>0</v>
      </c>
      <c r="D18" s="294">
        <f>SUMIF('Torrance Pro Forma'!$B$8:$ED$8,'Annual Pro Forma'!D$8,'Torrance Pro Forma'!$B18:$ED18)</f>
        <v>0</v>
      </c>
      <c r="E18" s="294">
        <f>SUMIF('Torrance Pro Forma'!$B$8:$ED$8,'Annual Pro Forma'!E$8,'Torrance Pro Forma'!$B18:$ED18)</f>
        <v>0</v>
      </c>
      <c r="F18" s="294">
        <f>SUMIF('Torrance Pro Forma'!$B$8:$ED$8,'Annual Pro Forma'!F$8,'Torrance Pro Forma'!$B18:$ED18)</f>
        <v>0</v>
      </c>
      <c r="G18" s="294">
        <f>SUMIF('Torrance Pro Forma'!$B$8:$ED$8,'Annual Pro Forma'!G$8,'Torrance Pro Forma'!$B18:$ED18)</f>
        <v>0</v>
      </c>
      <c r="H18" s="294">
        <f>SUMIF('Torrance Pro Forma'!$B$8:$ED$8,'Annual Pro Forma'!H$8,'Torrance Pro Forma'!$B18:$ED18)</f>
        <v>504166.66666666669</v>
      </c>
      <c r="I18" s="294">
        <f>SUMIF('Torrance Pro Forma'!$B$8:$ED$8,'Annual Pro Forma'!I$8,'Torrance Pro Forma'!$B18:$ED18)</f>
        <v>0</v>
      </c>
      <c r="J18" s="294">
        <f>SUMIF('Torrance Pro Forma'!$B$8:$ED$8,'Annual Pro Forma'!J$8,'Torrance Pro Forma'!$B18:$ED18)</f>
        <v>0</v>
      </c>
      <c r="K18" s="294">
        <f>SUMIF('Torrance Pro Forma'!$B$8:$ED$8,'Annual Pro Forma'!K$8,'Torrance Pro Forma'!$B18:$ED18)</f>
        <v>0</v>
      </c>
      <c r="L18" s="294">
        <f>SUMIF('Torrance Pro Forma'!$B$8:$ED$8,'Annual Pro Forma'!L$8,'Torrance Pro Forma'!$B18:$ED18)</f>
        <v>0</v>
      </c>
      <c r="M18" s="294">
        <f>SUMIF('Torrance Pro Forma'!$B$8:$ED$8,'Annual Pro Forma'!M$8,'Torrance Pro Forma'!$B18:$ED18)</f>
        <v>0</v>
      </c>
    </row>
    <row r="19" spans="1:13" ht="19.149999999999999" customHeight="1" x14ac:dyDescent="0.45">
      <c r="A19" s="293" t="s">
        <v>209</v>
      </c>
      <c r="B19" s="275"/>
      <c r="C19" s="292">
        <f>SUMIF('Torrance Pro Forma'!$B$8:$ED$8,'Annual Pro Forma'!C$8,'Torrance Pro Forma'!$B19:$ED19)</f>
        <v>0</v>
      </c>
      <c r="D19" s="292">
        <f>SUMIF('Torrance Pro Forma'!$B$8:$ED$8,'Annual Pro Forma'!D$8,'Torrance Pro Forma'!$B19:$ED19)</f>
        <v>0</v>
      </c>
      <c r="E19" s="292">
        <f>SUMIF('Torrance Pro Forma'!$B$8:$ED$8,'Annual Pro Forma'!E$8,'Torrance Pro Forma'!$B19:$ED19)</f>
        <v>0</v>
      </c>
      <c r="F19" s="292">
        <f>SUMIF('Torrance Pro Forma'!$B$8:$ED$8,'Annual Pro Forma'!F$8,'Torrance Pro Forma'!$B19:$ED19)</f>
        <v>0</v>
      </c>
      <c r="G19" s="292">
        <f>SUMIF('Torrance Pro Forma'!$B$8:$ED$8,'Annual Pro Forma'!G$8,'Torrance Pro Forma'!$B19:$ED19)</f>
        <v>0</v>
      </c>
      <c r="H19" s="292">
        <f>SUMIF('Torrance Pro Forma'!$B$8:$ED$8,'Annual Pro Forma'!H$8,'Torrance Pro Forma'!$B19:$ED19)</f>
        <v>-57614.524776957835</v>
      </c>
      <c r="I19" s="292">
        <f>SUMIF('Torrance Pro Forma'!$B$8:$ED$8,'Annual Pro Forma'!I$8,'Torrance Pro Forma'!$B19:$ED19)</f>
        <v>-57614.524776957835</v>
      </c>
      <c r="J19" s="292">
        <f>SUMIF('Torrance Pro Forma'!$B$8:$ED$8,'Annual Pro Forma'!J$8,'Torrance Pro Forma'!$B19:$ED19)</f>
        <v>-57614.524776957835</v>
      </c>
      <c r="K19" s="292">
        <f>SUMIF('Torrance Pro Forma'!$B$8:$ED$8,'Annual Pro Forma'!K$8,'Torrance Pro Forma'!$B19:$ED19)</f>
        <v>-57614.524776957835</v>
      </c>
      <c r="L19" s="292">
        <f>SUMIF('Torrance Pro Forma'!$B$8:$ED$8,'Annual Pro Forma'!L$8,'Torrance Pro Forma'!$B19:$ED19)</f>
        <v>-57614.524776957835</v>
      </c>
      <c r="M19" s="292">
        <f>SUMIF('Torrance Pro Forma'!$B$8:$ED$8,'Annual Pro Forma'!M$8,'Torrance Pro Forma'!$B19:$ED19)</f>
        <v>-57614.524776957835</v>
      </c>
    </row>
    <row r="20" spans="1:13" ht="19.149999999999999" customHeight="1" x14ac:dyDescent="0.45">
      <c r="A20" s="298" t="s">
        <v>208</v>
      </c>
      <c r="B20" s="274"/>
      <c r="C20" s="292">
        <f>SUMIF('Torrance Pro Forma'!$B$8:$ED$8,'Annual Pro Forma'!C$8,'Torrance Pro Forma'!$B20:$ED20)</f>
        <v>1099999.9999999998</v>
      </c>
      <c r="D20" s="292">
        <f>SUMIF('Torrance Pro Forma'!$B$8:$ED$8,'Annual Pro Forma'!D$8,'Torrance Pro Forma'!$B20:$ED20)</f>
        <v>1122000</v>
      </c>
      <c r="E20" s="292">
        <f>SUMIF('Torrance Pro Forma'!$B$8:$ED$8,'Annual Pro Forma'!E$8,'Torrance Pro Forma'!$B20:$ED20)</f>
        <v>1144440</v>
      </c>
      <c r="F20" s="292">
        <f>SUMIF('Torrance Pro Forma'!$B$8:$ED$8,'Annual Pro Forma'!F$8,'Torrance Pro Forma'!$B20:$ED20)</f>
        <v>1167328.8</v>
      </c>
      <c r="G20" s="292">
        <f>SUMIF('Torrance Pro Forma'!$B$8:$ED$8,'Annual Pro Forma'!G$8,'Torrance Pro Forma'!$B20:$ED20)</f>
        <v>0</v>
      </c>
      <c r="H20" s="292">
        <f>SUMIF('Torrance Pro Forma'!$B$8:$ED$8,'Annual Pro Forma'!H$8,'Torrance Pro Forma'!$B20:$ED20)</f>
        <v>5324197.8095069584</v>
      </c>
      <c r="I20" s="292">
        <f>SUMIF('Torrance Pro Forma'!$B$8:$ED$8,'Annual Pro Forma'!I$8,'Torrance Pro Forma'!$B20:$ED20)</f>
        <v>4917584.0561926356</v>
      </c>
      <c r="J20" s="292">
        <f>SUMIF('Torrance Pro Forma'!$B$8:$ED$8,'Annual Pro Forma'!J$8,'Torrance Pro Forma'!$B20:$ED20)</f>
        <v>5017088.0278120283</v>
      </c>
      <c r="K20" s="292">
        <f>SUMIF('Torrance Pro Forma'!$B$8:$ED$8,'Annual Pro Forma'!K$8,'Torrance Pro Forma'!$B20:$ED20)</f>
        <v>5118582.078863808</v>
      </c>
      <c r="L20" s="292">
        <f>SUMIF('Torrance Pro Forma'!$B$8:$ED$8,'Annual Pro Forma'!L$8,'Torrance Pro Forma'!$B20:$ED20)</f>
        <v>5222106.0109366216</v>
      </c>
      <c r="M20" s="292">
        <f>SUMIF('Torrance Pro Forma'!$B$8:$ED$8,'Annual Pro Forma'!M$8,'Torrance Pro Forma'!$B20:$ED20)</f>
        <v>5327700.421650894</v>
      </c>
    </row>
    <row r="21" spans="1:13" ht="19.149999999999999" customHeight="1" x14ac:dyDescent="0.45">
      <c r="A21" s="282" t="s">
        <v>207</v>
      </c>
      <c r="B21" s="273"/>
      <c r="C21" s="292">
        <f>SUMIF('Torrance Pro Forma'!$B$8:$ED$8,'Annual Pro Forma'!C$8,'Torrance Pro Forma'!$B21:$ED21)</f>
        <v>1099999.9999999998</v>
      </c>
      <c r="D21" s="292">
        <f>SUMIF('Torrance Pro Forma'!$B$8:$ED$8,'Annual Pro Forma'!D$8,'Torrance Pro Forma'!$B21:$ED21)</f>
        <v>1122000</v>
      </c>
      <c r="E21" s="292">
        <f>SUMIF('Torrance Pro Forma'!$B$8:$ED$8,'Annual Pro Forma'!E$8,'Torrance Pro Forma'!$B21:$ED21)</f>
        <v>1144440</v>
      </c>
      <c r="F21" s="292">
        <f>SUMIF('Torrance Pro Forma'!$B$8:$ED$8,'Annual Pro Forma'!F$8,'Torrance Pro Forma'!$B21:$ED21)</f>
        <v>1167328.8</v>
      </c>
      <c r="G21" s="292">
        <f>SUMIF('Torrance Pro Forma'!$B$8:$ED$8,'Annual Pro Forma'!G$8,'Torrance Pro Forma'!$B21:$ED21)</f>
        <v>0</v>
      </c>
      <c r="H21" s="292">
        <f>SUMIF('Torrance Pro Forma'!$B$8:$ED$8,'Annual Pro Forma'!H$8,'Torrance Pro Forma'!$B21:$ED21)</f>
        <v>5324197.8095069584</v>
      </c>
      <c r="I21" s="292">
        <f>SUMIF('Torrance Pro Forma'!$B$8:$ED$8,'Annual Pro Forma'!I$8,'Torrance Pro Forma'!$B21:$ED21)</f>
        <v>4917584.0561926356</v>
      </c>
      <c r="J21" s="292">
        <f>SUMIF('Torrance Pro Forma'!$B$8:$ED$8,'Annual Pro Forma'!J$8,'Torrance Pro Forma'!$B21:$ED21)</f>
        <v>5017088.0278120283</v>
      </c>
      <c r="K21" s="292">
        <f>SUMIF('Torrance Pro Forma'!$B$8:$ED$8,'Annual Pro Forma'!K$8,'Torrance Pro Forma'!$B21:$ED21)</f>
        <v>5118582.078863808</v>
      </c>
      <c r="L21" s="292">
        <f>SUMIF('Torrance Pro Forma'!$B$8:$ED$8,'Annual Pro Forma'!L$8,'Torrance Pro Forma'!$B21:$ED21)</f>
        <v>5222106.0109366216</v>
      </c>
      <c r="M21" s="292">
        <f>SUMIF('Torrance Pro Forma'!$B$8:$ED$8,'Annual Pro Forma'!M$8,'Torrance Pro Forma'!$B21:$ED21)</f>
        <v>5327700.421650894</v>
      </c>
    </row>
    <row r="22" spans="1:13" ht="19.149999999999999" customHeight="1" x14ac:dyDescent="0.45">
      <c r="A22" s="290" t="s">
        <v>182</v>
      </c>
      <c r="C22" s="295">
        <f>SUMIF('Torrance Pro Forma'!$B$8:$ED$8,'Annual Pro Forma'!C$8,'Torrance Pro Forma'!$B22:$ED22)</f>
        <v>0</v>
      </c>
      <c r="D22" s="295">
        <f>SUMIF('Torrance Pro Forma'!$B$8:$ED$8,'Annual Pro Forma'!D$8,'Torrance Pro Forma'!$B22:$ED22)</f>
        <v>0</v>
      </c>
      <c r="E22" s="295">
        <f>SUMIF('Torrance Pro Forma'!$B$8:$ED$8,'Annual Pro Forma'!E$8,'Torrance Pro Forma'!$B22:$ED22)</f>
        <v>0</v>
      </c>
      <c r="F22" s="295">
        <f>SUMIF('Torrance Pro Forma'!$B$8:$ED$8,'Annual Pro Forma'!F$8,'Torrance Pro Forma'!$B22:$ED22)</f>
        <v>0</v>
      </c>
      <c r="G22" s="295">
        <f>SUMIF('Torrance Pro Forma'!$B$8:$ED$8,'Annual Pro Forma'!G$8,'Torrance Pro Forma'!$B22:$ED22)</f>
        <v>0</v>
      </c>
      <c r="H22" s="295">
        <f>SUMIF('Torrance Pro Forma'!$B$8:$ED$8,'Annual Pro Forma'!H$8,'Torrance Pro Forma'!$B22:$ED22)</f>
        <v>0</v>
      </c>
      <c r="I22" s="295">
        <f>SUMIF('Torrance Pro Forma'!$B$8:$ED$8,'Annual Pro Forma'!I$8,'Torrance Pro Forma'!$B22:$ED22)</f>
        <v>0</v>
      </c>
      <c r="J22" s="295">
        <f>SUMIF('Torrance Pro Forma'!$B$8:$ED$8,'Annual Pro Forma'!J$8,'Torrance Pro Forma'!$B22:$ED22)</f>
        <v>0</v>
      </c>
      <c r="K22" s="295">
        <f>SUMIF('Torrance Pro Forma'!$B$8:$ED$8,'Annual Pro Forma'!K$8,'Torrance Pro Forma'!$B22:$ED22)</f>
        <v>0</v>
      </c>
      <c r="L22" s="295">
        <f>SUMIF('Torrance Pro Forma'!$B$8:$ED$8,'Annual Pro Forma'!L$8,'Torrance Pro Forma'!$B22:$ED22)</f>
        <v>0</v>
      </c>
      <c r="M22" s="295">
        <f>SUMIF('Torrance Pro Forma'!$B$8:$ED$8,'Annual Pro Forma'!M$8,'Torrance Pro Forma'!$B22:$ED22)</f>
        <v>0</v>
      </c>
    </row>
    <row r="23" spans="1:13" ht="19.149999999999999" customHeight="1" x14ac:dyDescent="0.45">
      <c r="A23" s="279" t="s">
        <v>206</v>
      </c>
      <c r="B23" s="268"/>
      <c r="C23" s="295">
        <f>SUMIF('Torrance Pro Forma'!$B$8:$ED$8,'Annual Pro Forma'!C$8,'Torrance Pro Forma'!$B23:$ED23)</f>
        <v>0</v>
      </c>
      <c r="D23" s="295">
        <f>SUMIF('Torrance Pro Forma'!$B$8:$ED$8,'Annual Pro Forma'!D$8,'Torrance Pro Forma'!$B23:$ED23)</f>
        <v>0</v>
      </c>
      <c r="E23" s="295">
        <f>SUMIF('Torrance Pro Forma'!$B$8:$ED$8,'Annual Pro Forma'!E$8,'Torrance Pro Forma'!$B23:$ED23)</f>
        <v>0</v>
      </c>
      <c r="F23" s="295">
        <f>SUMIF('Torrance Pro Forma'!$B$8:$ED$8,'Annual Pro Forma'!F$8,'Torrance Pro Forma'!$B23:$ED23)</f>
        <v>0</v>
      </c>
      <c r="G23" s="295">
        <f>SUMIF('Torrance Pro Forma'!$B$8:$ED$8,'Annual Pro Forma'!G$8,'Torrance Pro Forma'!$B23:$ED23)</f>
        <v>0</v>
      </c>
      <c r="H23" s="295">
        <f>SUMIF('Torrance Pro Forma'!$B$8:$ED$8,'Annual Pro Forma'!H$8,'Torrance Pro Forma'!$B23:$ED23)</f>
        <v>0</v>
      </c>
      <c r="I23" s="295">
        <f>SUMIF('Torrance Pro Forma'!$B$8:$ED$8,'Annual Pro Forma'!I$8,'Torrance Pro Forma'!$B23:$ED23)</f>
        <v>0</v>
      </c>
      <c r="J23" s="295">
        <f>SUMIF('Torrance Pro Forma'!$B$8:$ED$8,'Annual Pro Forma'!J$8,'Torrance Pro Forma'!$B23:$ED23)</f>
        <v>0</v>
      </c>
      <c r="K23" s="295">
        <f>SUMIF('Torrance Pro Forma'!$B$8:$ED$8,'Annual Pro Forma'!K$8,'Torrance Pro Forma'!$B23:$ED23)</f>
        <v>0</v>
      </c>
      <c r="L23" s="295">
        <f>SUMIF('Torrance Pro Forma'!$B$8:$ED$8,'Annual Pro Forma'!L$8,'Torrance Pro Forma'!$B23:$ED23)</f>
        <v>0</v>
      </c>
      <c r="M23" s="295">
        <f>SUMIF('Torrance Pro Forma'!$B$8:$ED$8,'Annual Pro Forma'!M$8,'Torrance Pro Forma'!$B23:$ED23)</f>
        <v>0</v>
      </c>
    </row>
    <row r="24" spans="1:13" ht="19.149999999999999" customHeight="1" x14ac:dyDescent="0.45">
      <c r="A24" s="280" t="s">
        <v>82</v>
      </c>
      <c r="B24" s="270"/>
      <c r="C24" s="294">
        <f>SUMIF('Torrance Pro Forma'!$B$8:$ED$8,'Annual Pro Forma'!C$8,'Torrance Pro Forma'!$B24:$ED24)</f>
        <v>15000</v>
      </c>
      <c r="D24" s="294">
        <f>SUMIF('Torrance Pro Forma'!$B$8:$ED$8,'Annual Pro Forma'!D$8,'Torrance Pro Forma'!$B24:$ED24)</f>
        <v>15000</v>
      </c>
      <c r="E24" s="294">
        <f>SUMIF('Torrance Pro Forma'!$B$8:$ED$8,'Annual Pro Forma'!E$8,'Torrance Pro Forma'!$B24:$ED24)</f>
        <v>15000</v>
      </c>
      <c r="F24" s="294">
        <f>SUMIF('Torrance Pro Forma'!$B$8:$ED$8,'Annual Pro Forma'!F$8,'Torrance Pro Forma'!$B24:$ED24)</f>
        <v>15000</v>
      </c>
      <c r="G24" s="294">
        <f>SUMIF('Torrance Pro Forma'!$B$8:$ED$8,'Annual Pro Forma'!G$8,'Torrance Pro Forma'!$B24:$ED24)</f>
        <v>0</v>
      </c>
      <c r="H24" s="294">
        <f>SUMIF('Torrance Pro Forma'!$B$8:$ED$8,'Annual Pro Forma'!H$8,'Torrance Pro Forma'!$B24:$ED24)</f>
        <v>15000</v>
      </c>
      <c r="I24" s="294">
        <f>SUMIF('Torrance Pro Forma'!$B$8:$ED$8,'Annual Pro Forma'!I$8,'Torrance Pro Forma'!$B24:$ED24)</f>
        <v>15000</v>
      </c>
      <c r="J24" s="294">
        <f>SUMIF('Torrance Pro Forma'!$B$8:$ED$8,'Annual Pro Forma'!J$8,'Torrance Pro Forma'!$B24:$ED24)</f>
        <v>15000</v>
      </c>
      <c r="K24" s="294">
        <f>SUMIF('Torrance Pro Forma'!$B$8:$ED$8,'Annual Pro Forma'!K$8,'Torrance Pro Forma'!$B24:$ED24)</f>
        <v>15000</v>
      </c>
      <c r="L24" s="294">
        <f>SUMIF('Torrance Pro Forma'!$B$8:$ED$8,'Annual Pro Forma'!L$8,'Torrance Pro Forma'!$B24:$ED24)</f>
        <v>15000</v>
      </c>
      <c r="M24" s="294">
        <f>SUMIF('Torrance Pro Forma'!$B$8:$ED$8,'Annual Pro Forma'!M$8,'Torrance Pro Forma'!$B24:$ED24)</f>
        <v>15000</v>
      </c>
    </row>
    <row r="25" spans="1:13" ht="19.149999999999999" customHeight="1" x14ac:dyDescent="0.45">
      <c r="A25" s="280" t="s">
        <v>79</v>
      </c>
      <c r="B25" s="270"/>
      <c r="C25" s="294">
        <f>SUMIF('Torrance Pro Forma'!$B$8:$ED$8,'Annual Pro Forma'!C$8,'Torrance Pro Forma'!$B25:$ED25)</f>
        <v>15000</v>
      </c>
      <c r="D25" s="294">
        <f>SUMIF('Torrance Pro Forma'!$B$8:$ED$8,'Annual Pro Forma'!D$8,'Torrance Pro Forma'!$B25:$ED25)</f>
        <v>15450</v>
      </c>
      <c r="E25" s="294">
        <f>SUMIF('Torrance Pro Forma'!$B$8:$ED$8,'Annual Pro Forma'!E$8,'Torrance Pro Forma'!$B25:$ED25)</f>
        <v>15913.5</v>
      </c>
      <c r="F25" s="294">
        <f>SUMIF('Torrance Pro Forma'!$B$8:$ED$8,'Annual Pro Forma'!F$8,'Torrance Pro Forma'!$B25:$ED25)</f>
        <v>16390.905000000002</v>
      </c>
      <c r="G25" s="294">
        <f>SUMIF('Torrance Pro Forma'!$B$8:$ED$8,'Annual Pro Forma'!G$8,'Torrance Pro Forma'!$B25:$ED25)</f>
        <v>0</v>
      </c>
      <c r="H25" s="294">
        <f>SUMIF('Torrance Pro Forma'!$B$8:$ED$8,'Annual Pro Forma'!H$8,'Torrance Pro Forma'!$B25:$ED25)</f>
        <v>17389.1111145</v>
      </c>
      <c r="I25" s="294">
        <f>SUMIF('Torrance Pro Forma'!$B$8:$ED$8,'Annual Pro Forma'!I$8,'Torrance Pro Forma'!$B25:$ED25)</f>
        <v>17910.784447934999</v>
      </c>
      <c r="J25" s="294">
        <f>SUMIF('Torrance Pro Forma'!$B$8:$ED$8,'Annual Pro Forma'!J$8,'Torrance Pro Forma'!$B25:$ED25)</f>
        <v>18448.107981373054</v>
      </c>
      <c r="K25" s="294">
        <f>SUMIF('Torrance Pro Forma'!$B$8:$ED$8,'Annual Pro Forma'!K$8,'Torrance Pro Forma'!$B25:$ED25)</f>
        <v>19001.551220814239</v>
      </c>
      <c r="L25" s="294">
        <f>SUMIF('Torrance Pro Forma'!$B$8:$ED$8,'Annual Pro Forma'!L$8,'Torrance Pro Forma'!$B25:$ED25)</f>
        <v>19571.597757438667</v>
      </c>
      <c r="M25" s="294">
        <f>SUMIF('Torrance Pro Forma'!$B$8:$ED$8,'Annual Pro Forma'!M$8,'Torrance Pro Forma'!$B25:$ED25)</f>
        <v>20158.745690161828</v>
      </c>
    </row>
    <row r="26" spans="1:13" ht="19.149999999999999" customHeight="1" x14ac:dyDescent="0.45">
      <c r="A26" s="280" t="s">
        <v>76</v>
      </c>
      <c r="B26" s="270"/>
      <c r="C26" s="294">
        <f>SUMIF('Torrance Pro Forma'!$B$8:$ED$8,'Annual Pro Forma'!C$8,'Torrance Pro Forma'!$B26:$ED26)</f>
        <v>5000</v>
      </c>
      <c r="D26" s="294">
        <f>SUMIF('Torrance Pro Forma'!$B$8:$ED$8,'Annual Pro Forma'!D$8,'Torrance Pro Forma'!$B26:$ED26)</f>
        <v>5150</v>
      </c>
      <c r="E26" s="294">
        <f>SUMIF('Torrance Pro Forma'!$B$8:$ED$8,'Annual Pro Forma'!E$8,'Torrance Pro Forma'!$B26:$ED26)</f>
        <v>5304.5</v>
      </c>
      <c r="F26" s="294">
        <f>SUMIF('Torrance Pro Forma'!$B$8:$ED$8,'Annual Pro Forma'!F$8,'Torrance Pro Forma'!$B26:$ED26)</f>
        <v>5463.6349999999993</v>
      </c>
      <c r="G26" s="294">
        <f>SUMIF('Torrance Pro Forma'!$B$8:$ED$8,'Annual Pro Forma'!G$8,'Torrance Pro Forma'!$B26:$ED26)</f>
        <v>0</v>
      </c>
      <c r="H26" s="294">
        <f>SUMIF('Torrance Pro Forma'!$B$8:$ED$8,'Annual Pro Forma'!H$8,'Torrance Pro Forma'!$B26:$ED26)</f>
        <v>5796.3703714999974</v>
      </c>
      <c r="I26" s="294">
        <f>SUMIF('Torrance Pro Forma'!$B$8:$ED$8,'Annual Pro Forma'!I$8,'Torrance Pro Forma'!$B26:$ED26)</f>
        <v>5970.2614826449999</v>
      </c>
      <c r="J26" s="294">
        <f>SUMIF('Torrance Pro Forma'!$B$8:$ED$8,'Annual Pro Forma'!J$8,'Torrance Pro Forma'!$B26:$ED26)</f>
        <v>6149.3693271243492</v>
      </c>
      <c r="K26" s="294">
        <f>SUMIF('Torrance Pro Forma'!$B$8:$ED$8,'Annual Pro Forma'!K$8,'Torrance Pro Forma'!$B26:$ED26)</f>
        <v>6333.8504069380797</v>
      </c>
      <c r="L26" s="294">
        <f>SUMIF('Torrance Pro Forma'!$B$8:$ED$8,'Annual Pro Forma'!L$8,'Torrance Pro Forma'!$B26:$ED26)</f>
        <v>6523.8659191462248</v>
      </c>
      <c r="M26" s="294">
        <f>SUMIF('Torrance Pro Forma'!$B$8:$ED$8,'Annual Pro Forma'!M$8,'Torrance Pro Forma'!$B26:$ED26)</f>
        <v>6719.5818967206105</v>
      </c>
    </row>
    <row r="27" spans="1:13" ht="19.149999999999999" customHeight="1" x14ac:dyDescent="0.45">
      <c r="A27" s="280" t="s">
        <v>101</v>
      </c>
      <c r="B27" s="270"/>
      <c r="C27" s="294">
        <f>SUMIF('Torrance Pro Forma'!$B$8:$ED$8,'Annual Pro Forma'!C$8,'Torrance Pro Forma'!$B27:$ED27)</f>
        <v>0</v>
      </c>
      <c r="D27" s="294">
        <f>SUMIF('Torrance Pro Forma'!$B$8:$ED$8,'Annual Pro Forma'!D$8,'Torrance Pro Forma'!$B27:$ED27)</f>
        <v>0</v>
      </c>
      <c r="E27" s="294">
        <f>SUMIF('Torrance Pro Forma'!$B$8:$ED$8,'Annual Pro Forma'!E$8,'Torrance Pro Forma'!$B27:$ED27)</f>
        <v>0</v>
      </c>
      <c r="F27" s="294">
        <f>SUMIF('Torrance Pro Forma'!$B$8:$ED$8,'Annual Pro Forma'!F$8,'Torrance Pro Forma'!$B27:$ED27)</f>
        <v>0</v>
      </c>
      <c r="G27" s="294">
        <f>SUMIF('Torrance Pro Forma'!$B$8:$ED$8,'Annual Pro Forma'!G$8,'Torrance Pro Forma'!$B27:$ED27)</f>
        <v>0</v>
      </c>
      <c r="H27" s="294">
        <f>SUMIF('Torrance Pro Forma'!$B$8:$ED$8,'Annual Pro Forma'!H$8,'Torrance Pro Forma'!$B27:$ED27)</f>
        <v>213175.18542798728</v>
      </c>
      <c r="I27" s="294">
        <f>SUMIF('Torrance Pro Forma'!$B$8:$ED$8,'Annual Pro Forma'!I$8,'Torrance Pro Forma'!$B27:$ED27)</f>
        <v>217438.68913654701</v>
      </c>
      <c r="J27" s="294">
        <f>SUMIF('Torrance Pro Forma'!$B$8:$ED$8,'Annual Pro Forma'!J$8,'Torrance Pro Forma'!$B27:$ED27)</f>
        <v>221787.46291927784</v>
      </c>
      <c r="K27" s="294">
        <f>SUMIF('Torrance Pro Forma'!$B$8:$ED$8,'Annual Pro Forma'!K$8,'Torrance Pro Forma'!$B27:$ED27)</f>
        <v>226223.21217766349</v>
      </c>
      <c r="L27" s="294">
        <f>SUMIF('Torrance Pro Forma'!$B$8:$ED$8,'Annual Pro Forma'!L$8,'Torrance Pro Forma'!$B27:$ED27)</f>
        <v>230747.67642121678</v>
      </c>
      <c r="M27" s="294">
        <f>SUMIF('Torrance Pro Forma'!$B$8:$ED$8,'Annual Pro Forma'!M$8,'Torrance Pro Forma'!$B27:$ED27)</f>
        <v>235362.62994964106</v>
      </c>
    </row>
    <row r="28" spans="1:13" ht="19.149999999999999" customHeight="1" x14ac:dyDescent="0.45">
      <c r="A28" s="293" t="s">
        <v>205</v>
      </c>
      <c r="B28" s="265"/>
      <c r="C28" s="297">
        <f>SUMIF('Torrance Pro Forma'!$B$8:$ED$8,'Annual Pro Forma'!C$8,'Torrance Pro Forma'!$B28:$ED28)</f>
        <v>35000.000000000007</v>
      </c>
      <c r="D28" s="297">
        <f>SUMIF('Torrance Pro Forma'!$B$8:$ED$8,'Annual Pro Forma'!D$8,'Torrance Pro Forma'!$B28:$ED28)</f>
        <v>35600.000000000007</v>
      </c>
      <c r="E28" s="297">
        <f>SUMIF('Torrance Pro Forma'!$B$8:$ED$8,'Annual Pro Forma'!E$8,'Torrance Pro Forma'!$B28:$ED28)</f>
        <v>36218</v>
      </c>
      <c r="F28" s="297">
        <f>SUMIF('Torrance Pro Forma'!$B$8:$ED$8,'Annual Pro Forma'!F$8,'Torrance Pro Forma'!$B28:$ED28)</f>
        <v>36854.54</v>
      </c>
      <c r="G28" s="297">
        <f>SUMIF('Torrance Pro Forma'!$B$8:$ED$8,'Annual Pro Forma'!G$8,'Torrance Pro Forma'!$B28:$ED28)</f>
        <v>0</v>
      </c>
      <c r="H28" s="297">
        <f>SUMIF('Torrance Pro Forma'!$B$8:$ED$8,'Annual Pro Forma'!H$8,'Torrance Pro Forma'!$B28:$ED28)</f>
        <v>251360.66691398725</v>
      </c>
      <c r="I28" s="297">
        <f>SUMIF('Torrance Pro Forma'!$B$8:$ED$8,'Annual Pro Forma'!I$8,'Torrance Pro Forma'!$B28:$ED28)</f>
        <v>256319.73506712701</v>
      </c>
      <c r="J28" s="297">
        <f>SUMIF('Torrance Pro Forma'!$B$8:$ED$8,'Annual Pro Forma'!J$8,'Torrance Pro Forma'!$B28:$ED28)</f>
        <v>261384.94022777517</v>
      </c>
      <c r="K28" s="297">
        <f>SUMIF('Torrance Pro Forma'!$B$8:$ED$8,'Annual Pro Forma'!K$8,'Torrance Pro Forma'!$B28:$ED28)</f>
        <v>266558.61380541575</v>
      </c>
      <c r="L28" s="297">
        <f>SUMIF('Torrance Pro Forma'!$B$8:$ED$8,'Annual Pro Forma'!L$8,'Torrance Pro Forma'!$B28:$ED28)</f>
        <v>271843.14009780152</v>
      </c>
      <c r="M28" s="297">
        <f>SUMIF('Torrance Pro Forma'!$B$8:$ED$8,'Annual Pro Forma'!M$8,'Torrance Pro Forma'!$B28:$ED28)</f>
        <v>277240.95753652358</v>
      </c>
    </row>
    <row r="29" spans="1:13" ht="19.149999999999999" customHeight="1" x14ac:dyDescent="0.45">
      <c r="A29" s="282" t="s">
        <v>204</v>
      </c>
      <c r="B29" s="264"/>
      <c r="C29" s="292">
        <f>SUMIF('Torrance Pro Forma'!$B$8:$ED$8,'Annual Pro Forma'!C$8,'Torrance Pro Forma'!$B29:$ED29)</f>
        <v>35000.000000000007</v>
      </c>
      <c r="D29" s="292">
        <f>SUMIF('Torrance Pro Forma'!$B$8:$ED$8,'Annual Pro Forma'!D$8,'Torrance Pro Forma'!$B29:$ED29)</f>
        <v>35600.000000000007</v>
      </c>
      <c r="E29" s="292">
        <f>SUMIF('Torrance Pro Forma'!$B$8:$ED$8,'Annual Pro Forma'!E$8,'Torrance Pro Forma'!$B29:$ED29)</f>
        <v>36218</v>
      </c>
      <c r="F29" s="292">
        <f>SUMIF('Torrance Pro Forma'!$B$8:$ED$8,'Annual Pro Forma'!F$8,'Torrance Pro Forma'!$B29:$ED29)</f>
        <v>36854.54</v>
      </c>
      <c r="G29" s="292">
        <f>SUMIF('Torrance Pro Forma'!$B$8:$ED$8,'Annual Pro Forma'!G$8,'Torrance Pro Forma'!$B29:$ED29)</f>
        <v>0</v>
      </c>
      <c r="H29" s="292">
        <f>SUMIF('Torrance Pro Forma'!$B$8:$ED$8,'Annual Pro Forma'!H$8,'Torrance Pro Forma'!$B29:$ED29)</f>
        <v>251360.66691398725</v>
      </c>
      <c r="I29" s="292">
        <f>SUMIF('Torrance Pro Forma'!$B$8:$ED$8,'Annual Pro Forma'!I$8,'Torrance Pro Forma'!$B29:$ED29)</f>
        <v>256319.73506712701</v>
      </c>
      <c r="J29" s="292">
        <f>SUMIF('Torrance Pro Forma'!$B$8:$ED$8,'Annual Pro Forma'!J$8,'Torrance Pro Forma'!$B29:$ED29)</f>
        <v>261384.94022777517</v>
      </c>
      <c r="K29" s="292">
        <f>SUMIF('Torrance Pro Forma'!$B$8:$ED$8,'Annual Pro Forma'!K$8,'Torrance Pro Forma'!$B29:$ED29)</f>
        <v>266558.61380541575</v>
      </c>
      <c r="L29" s="292">
        <f>SUMIF('Torrance Pro Forma'!$B$8:$ED$8,'Annual Pro Forma'!L$8,'Torrance Pro Forma'!$B29:$ED29)</f>
        <v>271843.14009780152</v>
      </c>
      <c r="M29" s="292">
        <f>SUMIF('Torrance Pro Forma'!$B$8:$ED$8,'Annual Pro Forma'!M$8,'Torrance Pro Forma'!$B29:$ED29)</f>
        <v>277240.95753652358</v>
      </c>
    </row>
    <row r="30" spans="1:13" ht="19.149999999999999" customHeight="1" x14ac:dyDescent="0.45">
      <c r="A30" s="290" t="s">
        <v>182</v>
      </c>
      <c r="C30" s="295">
        <f>SUMIF('Torrance Pro Forma'!$B$8:$ED$8,'Annual Pro Forma'!C$8,'Torrance Pro Forma'!$B30:$ED30)</f>
        <v>0</v>
      </c>
      <c r="D30" s="295">
        <f>SUMIF('Torrance Pro Forma'!$B$8:$ED$8,'Annual Pro Forma'!D$8,'Torrance Pro Forma'!$B30:$ED30)</f>
        <v>0</v>
      </c>
      <c r="E30" s="295">
        <f>SUMIF('Torrance Pro Forma'!$B$8:$ED$8,'Annual Pro Forma'!E$8,'Torrance Pro Forma'!$B30:$ED30)</f>
        <v>0</v>
      </c>
      <c r="F30" s="295">
        <f>SUMIF('Torrance Pro Forma'!$B$8:$ED$8,'Annual Pro Forma'!F$8,'Torrance Pro Forma'!$B30:$ED30)</f>
        <v>0</v>
      </c>
      <c r="G30" s="295">
        <f>SUMIF('Torrance Pro Forma'!$B$8:$ED$8,'Annual Pro Forma'!G$8,'Torrance Pro Forma'!$B30:$ED30)</f>
        <v>0</v>
      </c>
      <c r="H30" s="295">
        <f>SUMIF('Torrance Pro Forma'!$B$8:$ED$8,'Annual Pro Forma'!H$8,'Torrance Pro Forma'!$B30:$ED30)</f>
        <v>0</v>
      </c>
      <c r="I30" s="295">
        <f>SUMIF('Torrance Pro Forma'!$B$8:$ED$8,'Annual Pro Forma'!I$8,'Torrance Pro Forma'!$B30:$ED30)</f>
        <v>0</v>
      </c>
      <c r="J30" s="295">
        <f>SUMIF('Torrance Pro Forma'!$B$8:$ED$8,'Annual Pro Forma'!J$8,'Torrance Pro Forma'!$B30:$ED30)</f>
        <v>0</v>
      </c>
      <c r="K30" s="295">
        <f>SUMIF('Torrance Pro Forma'!$B$8:$ED$8,'Annual Pro Forma'!K$8,'Torrance Pro Forma'!$B30:$ED30)</f>
        <v>0</v>
      </c>
      <c r="L30" s="295">
        <f>SUMIF('Torrance Pro Forma'!$B$8:$ED$8,'Annual Pro Forma'!L$8,'Torrance Pro Forma'!$B30:$ED30)</f>
        <v>0</v>
      </c>
      <c r="M30" s="295">
        <f>SUMIF('Torrance Pro Forma'!$B$8:$ED$8,'Annual Pro Forma'!M$8,'Torrance Pro Forma'!$B30:$ED30)</f>
        <v>0</v>
      </c>
    </row>
    <row r="31" spans="1:13" ht="19.149999999999999" customHeight="1" x14ac:dyDescent="0.45">
      <c r="A31" s="282" t="s">
        <v>203</v>
      </c>
      <c r="B31" s="264"/>
      <c r="C31" s="292">
        <f>SUMIF('Torrance Pro Forma'!$B$8:$ED$8,'Annual Pro Forma'!C$8,'Torrance Pro Forma'!$B31:$ED31)</f>
        <v>1135000.0000000002</v>
      </c>
      <c r="D31" s="292">
        <f>SUMIF('Torrance Pro Forma'!$B$8:$ED$8,'Annual Pro Forma'!D$8,'Torrance Pro Forma'!$B31:$ED31)</f>
        <v>1157600</v>
      </c>
      <c r="E31" s="292">
        <f>SUMIF('Torrance Pro Forma'!$B$8:$ED$8,'Annual Pro Forma'!E$8,'Torrance Pro Forma'!$B31:$ED31)</f>
        <v>1180658</v>
      </c>
      <c r="F31" s="292">
        <f>SUMIF('Torrance Pro Forma'!$B$8:$ED$8,'Annual Pro Forma'!F$8,'Torrance Pro Forma'!$B31:$ED31)</f>
        <v>1204183.3400000001</v>
      </c>
      <c r="G31" s="292">
        <f>SUMIF('Torrance Pro Forma'!$B$8:$ED$8,'Annual Pro Forma'!G$8,'Torrance Pro Forma'!$B31:$ED31)</f>
        <v>0</v>
      </c>
      <c r="H31" s="292">
        <f>SUMIF('Torrance Pro Forma'!$B$8:$ED$8,'Annual Pro Forma'!H$8,'Torrance Pro Forma'!$B31:$ED31)</f>
        <v>5575558.4764209455</v>
      </c>
      <c r="I31" s="292">
        <f>SUMIF('Torrance Pro Forma'!$B$8:$ED$8,'Annual Pro Forma'!I$8,'Torrance Pro Forma'!$B31:$ED31)</f>
        <v>5173903.7912597619</v>
      </c>
      <c r="J31" s="292">
        <f>SUMIF('Torrance Pro Forma'!$B$8:$ED$8,'Annual Pro Forma'!J$8,'Torrance Pro Forma'!$B31:$ED31)</f>
        <v>5278472.9680398023</v>
      </c>
      <c r="K31" s="292">
        <f>SUMIF('Torrance Pro Forma'!$B$8:$ED$8,'Annual Pro Forma'!K$8,'Torrance Pro Forma'!$B31:$ED31)</f>
        <v>5385140.692669224</v>
      </c>
      <c r="L31" s="292">
        <f>SUMIF('Torrance Pro Forma'!$B$8:$ED$8,'Annual Pro Forma'!L$8,'Torrance Pro Forma'!$B31:$ED31)</f>
        <v>5493949.151034425</v>
      </c>
      <c r="M31" s="292">
        <f>SUMIF('Torrance Pro Forma'!$B$8:$ED$8,'Annual Pro Forma'!M$8,'Torrance Pro Forma'!$B31:$ED31)</f>
        <v>5604941.37918742</v>
      </c>
    </row>
    <row r="32" spans="1:13" ht="19.149999999999999" customHeight="1" x14ac:dyDescent="0.45">
      <c r="A32" s="282"/>
      <c r="B32" s="264"/>
      <c r="C32" s="294">
        <f>SUMIF('Torrance Pro Forma'!$B$8:$ED$8,'Annual Pro Forma'!C$8,'Torrance Pro Forma'!$B32:$ED32)</f>
        <v>0</v>
      </c>
      <c r="D32" s="294">
        <f>SUMIF('Torrance Pro Forma'!$B$8:$ED$8,'Annual Pro Forma'!D$8,'Torrance Pro Forma'!$B32:$ED32)</f>
        <v>0</v>
      </c>
      <c r="E32" s="294">
        <f>SUMIF('Torrance Pro Forma'!$B$8:$ED$8,'Annual Pro Forma'!E$8,'Torrance Pro Forma'!$B32:$ED32)</f>
        <v>0</v>
      </c>
      <c r="F32" s="294">
        <f>SUMIF('Torrance Pro Forma'!$B$8:$ED$8,'Annual Pro Forma'!F$8,'Torrance Pro Forma'!$B32:$ED32)</f>
        <v>0</v>
      </c>
      <c r="G32" s="294">
        <f>SUMIF('Torrance Pro Forma'!$B$8:$ED$8,'Annual Pro Forma'!G$8,'Torrance Pro Forma'!$B32:$ED32)</f>
        <v>0</v>
      </c>
      <c r="H32" s="294">
        <f>SUMIF('Torrance Pro Forma'!$B$8:$ED$8,'Annual Pro Forma'!H$8,'Torrance Pro Forma'!$B32:$ED32)</f>
        <v>0</v>
      </c>
      <c r="I32" s="294">
        <f>SUMIF('Torrance Pro Forma'!$B$8:$ED$8,'Annual Pro Forma'!I$8,'Torrance Pro Forma'!$B32:$ED32)</f>
        <v>0</v>
      </c>
      <c r="J32" s="294">
        <f>SUMIF('Torrance Pro Forma'!$B$8:$ED$8,'Annual Pro Forma'!J$8,'Torrance Pro Forma'!$B32:$ED32)</f>
        <v>0</v>
      </c>
      <c r="K32" s="294">
        <f>SUMIF('Torrance Pro Forma'!$B$8:$ED$8,'Annual Pro Forma'!K$8,'Torrance Pro Forma'!$B32:$ED32)</f>
        <v>0</v>
      </c>
      <c r="L32" s="294">
        <f>SUMIF('Torrance Pro Forma'!$B$8:$ED$8,'Annual Pro Forma'!L$8,'Torrance Pro Forma'!$B32:$ED32)</f>
        <v>0</v>
      </c>
      <c r="M32" s="294">
        <f>SUMIF('Torrance Pro Forma'!$B$8:$ED$8,'Annual Pro Forma'!M$8,'Torrance Pro Forma'!$B32:$ED32)</f>
        <v>0</v>
      </c>
    </row>
    <row r="33" spans="1:13" ht="19.149999999999999" customHeight="1" x14ac:dyDescent="0.45">
      <c r="A33" s="279" t="s">
        <v>127</v>
      </c>
      <c r="B33" s="264"/>
      <c r="C33" s="294">
        <f>SUMIF('Torrance Pro Forma'!$B$8:$ED$8,'Annual Pro Forma'!C$8,'Torrance Pro Forma'!$B33:$ED33)</f>
        <v>0</v>
      </c>
      <c r="D33" s="294">
        <f>SUMIF('Torrance Pro Forma'!$B$8:$ED$8,'Annual Pro Forma'!D$8,'Torrance Pro Forma'!$B33:$ED33)</f>
        <v>0</v>
      </c>
      <c r="E33" s="294">
        <f>SUMIF('Torrance Pro Forma'!$B$8:$ED$8,'Annual Pro Forma'!E$8,'Torrance Pro Forma'!$B33:$ED33)</f>
        <v>0</v>
      </c>
      <c r="F33" s="294">
        <f>SUMIF('Torrance Pro Forma'!$B$8:$ED$8,'Annual Pro Forma'!F$8,'Torrance Pro Forma'!$B33:$ED33)</f>
        <v>0</v>
      </c>
      <c r="G33" s="294">
        <f>SUMIF('Torrance Pro Forma'!$B$8:$ED$8,'Annual Pro Forma'!G$8,'Torrance Pro Forma'!$B33:$ED33)</f>
        <v>0</v>
      </c>
      <c r="H33" s="294">
        <f>SUMIF('Torrance Pro Forma'!$B$8:$ED$8,'Annual Pro Forma'!H$8,'Torrance Pro Forma'!$B33:$ED33)</f>
        <v>0</v>
      </c>
      <c r="I33" s="294">
        <f>SUMIF('Torrance Pro Forma'!$B$8:$ED$8,'Annual Pro Forma'!I$8,'Torrance Pro Forma'!$B33:$ED33)</f>
        <v>0</v>
      </c>
      <c r="J33" s="294">
        <f>SUMIF('Torrance Pro Forma'!$B$8:$ED$8,'Annual Pro Forma'!J$8,'Torrance Pro Forma'!$B33:$ED33)</f>
        <v>0</v>
      </c>
      <c r="K33" s="294">
        <f>SUMIF('Torrance Pro Forma'!$B$8:$ED$8,'Annual Pro Forma'!K$8,'Torrance Pro Forma'!$B33:$ED33)</f>
        <v>0</v>
      </c>
      <c r="L33" s="294">
        <f>SUMIF('Torrance Pro Forma'!$B$8:$ED$8,'Annual Pro Forma'!L$8,'Torrance Pro Forma'!$B33:$ED33)</f>
        <v>0</v>
      </c>
      <c r="M33" s="294">
        <f>SUMIF('Torrance Pro Forma'!$B$8:$ED$8,'Annual Pro Forma'!M$8,'Torrance Pro Forma'!$B33:$ED33)</f>
        <v>0</v>
      </c>
    </row>
    <row r="34" spans="1:13" ht="19.149999999999999" customHeight="1" x14ac:dyDescent="0.45">
      <c r="A34" s="280" t="s">
        <v>202</v>
      </c>
      <c r="B34" s="264"/>
      <c r="C34" s="297">
        <f>SUMIF('Torrance Pro Forma'!$B$8:$ED$8,'Annual Pro Forma'!C$8,'Torrance Pro Forma'!$B34:$ED34)</f>
        <v>190740</v>
      </c>
      <c r="D34" s="297">
        <f>SUMIF('Torrance Pro Forma'!$B$8:$ED$8,'Annual Pro Forma'!D$8,'Torrance Pro Forma'!$B34:$ED34)</f>
        <v>194554.79999999996</v>
      </c>
      <c r="E34" s="297">
        <f>SUMIF('Torrance Pro Forma'!$B$8:$ED$8,'Annual Pro Forma'!E$8,'Torrance Pro Forma'!$B34:$ED34)</f>
        <v>198445.89599999998</v>
      </c>
      <c r="F34" s="297">
        <f>SUMIF('Torrance Pro Forma'!$B$8:$ED$8,'Annual Pro Forma'!F$8,'Torrance Pro Forma'!$B34:$ED34)</f>
        <v>202414.81392000002</v>
      </c>
      <c r="G34" s="297">
        <f>SUMIF('Torrance Pro Forma'!$B$8:$ED$8,'Annual Pro Forma'!G$8,'Torrance Pro Forma'!$B34:$ED34)</f>
        <v>0</v>
      </c>
      <c r="H34" s="297">
        <f>SUMIF('Torrance Pro Forma'!$B$8:$ED$8,'Annual Pro Forma'!H$8,'Torrance Pro Forma'!$B34:$ED34)</f>
        <v>210592.372402368</v>
      </c>
      <c r="I34" s="297">
        <f>SUMIF('Torrance Pro Forma'!$B$8:$ED$8,'Annual Pro Forma'!I$8,'Torrance Pro Forma'!$B34:$ED34)</f>
        <v>214804.21985041536</v>
      </c>
      <c r="J34" s="297">
        <f>SUMIF('Torrance Pro Forma'!$B$8:$ED$8,'Annual Pro Forma'!J$8,'Torrance Pro Forma'!$B34:$ED34)</f>
        <v>219100.30424742363</v>
      </c>
      <c r="K34" s="297">
        <f>SUMIF('Torrance Pro Forma'!$B$8:$ED$8,'Annual Pro Forma'!K$8,'Torrance Pro Forma'!$B34:$ED34)</f>
        <v>223482.3103323722</v>
      </c>
      <c r="L34" s="297">
        <f>SUMIF('Torrance Pro Forma'!$B$8:$ED$8,'Annual Pro Forma'!L$8,'Torrance Pro Forma'!$B34:$ED34)</f>
        <v>227951.95653901962</v>
      </c>
      <c r="M34" s="297">
        <f>SUMIF('Torrance Pro Forma'!$B$8:$ED$8,'Annual Pro Forma'!M$8,'Torrance Pro Forma'!$B34:$ED34)</f>
        <v>232510.9956698</v>
      </c>
    </row>
    <row r="35" spans="1:13" ht="19.149999999999999" customHeight="1" x14ac:dyDescent="0.45">
      <c r="A35" s="282" t="s">
        <v>201</v>
      </c>
      <c r="B35" s="264"/>
      <c r="C35" s="294">
        <f>SUMIF('Torrance Pro Forma'!$B$8:$ED$8,'Annual Pro Forma'!C$8,'Torrance Pro Forma'!$B35:$ED35)</f>
        <v>190740</v>
      </c>
      <c r="D35" s="294">
        <f>SUMIF('Torrance Pro Forma'!$B$8:$ED$8,'Annual Pro Forma'!D$8,'Torrance Pro Forma'!$B35:$ED35)</f>
        <v>194554.79999999996</v>
      </c>
      <c r="E35" s="294">
        <f>SUMIF('Torrance Pro Forma'!$B$8:$ED$8,'Annual Pro Forma'!E$8,'Torrance Pro Forma'!$B35:$ED35)</f>
        <v>198445.89599999998</v>
      </c>
      <c r="F35" s="294">
        <f>SUMIF('Torrance Pro Forma'!$B$8:$ED$8,'Annual Pro Forma'!F$8,'Torrance Pro Forma'!$B35:$ED35)</f>
        <v>202414.81392000002</v>
      </c>
      <c r="G35" s="294">
        <f>SUMIF('Torrance Pro Forma'!$B$8:$ED$8,'Annual Pro Forma'!G$8,'Torrance Pro Forma'!$B35:$ED35)</f>
        <v>0</v>
      </c>
      <c r="H35" s="294">
        <f>SUMIF('Torrance Pro Forma'!$B$8:$ED$8,'Annual Pro Forma'!H$8,'Torrance Pro Forma'!$B35:$ED35)</f>
        <v>210592.372402368</v>
      </c>
      <c r="I35" s="294">
        <f>SUMIF('Torrance Pro Forma'!$B$8:$ED$8,'Annual Pro Forma'!I$8,'Torrance Pro Forma'!$B35:$ED35)</f>
        <v>214804.21985041536</v>
      </c>
      <c r="J35" s="294">
        <f>SUMIF('Torrance Pro Forma'!$B$8:$ED$8,'Annual Pro Forma'!J$8,'Torrance Pro Forma'!$B35:$ED35)</f>
        <v>219100.30424742363</v>
      </c>
      <c r="K35" s="294">
        <f>SUMIF('Torrance Pro Forma'!$B$8:$ED$8,'Annual Pro Forma'!K$8,'Torrance Pro Forma'!$B35:$ED35)</f>
        <v>223482.3103323722</v>
      </c>
      <c r="L35" s="294">
        <f>SUMIF('Torrance Pro Forma'!$B$8:$ED$8,'Annual Pro Forma'!L$8,'Torrance Pro Forma'!$B35:$ED35)</f>
        <v>227951.95653901962</v>
      </c>
      <c r="M35" s="294">
        <f>SUMIF('Torrance Pro Forma'!$B$8:$ED$8,'Annual Pro Forma'!M$8,'Torrance Pro Forma'!$B35:$ED35)</f>
        <v>232510.9956698</v>
      </c>
    </row>
    <row r="36" spans="1:13" ht="19.149999999999999" customHeight="1" x14ac:dyDescent="0.45">
      <c r="A36" s="290" t="s">
        <v>182</v>
      </c>
      <c r="C36" s="295">
        <f>SUMIF('Torrance Pro Forma'!$B$8:$ED$8,'Annual Pro Forma'!C$8,'Torrance Pro Forma'!$B36:$ED36)</f>
        <v>0</v>
      </c>
      <c r="D36" s="295">
        <f>SUMIF('Torrance Pro Forma'!$B$8:$ED$8,'Annual Pro Forma'!D$8,'Torrance Pro Forma'!$B36:$ED36)</f>
        <v>0</v>
      </c>
      <c r="E36" s="295">
        <f>SUMIF('Torrance Pro Forma'!$B$8:$ED$8,'Annual Pro Forma'!E$8,'Torrance Pro Forma'!$B36:$ED36)</f>
        <v>0</v>
      </c>
      <c r="F36" s="295">
        <f>SUMIF('Torrance Pro Forma'!$B$8:$ED$8,'Annual Pro Forma'!F$8,'Torrance Pro Forma'!$B36:$ED36)</f>
        <v>0</v>
      </c>
      <c r="G36" s="295">
        <f>SUMIF('Torrance Pro Forma'!$B$8:$ED$8,'Annual Pro Forma'!G$8,'Torrance Pro Forma'!$B36:$ED36)</f>
        <v>0</v>
      </c>
      <c r="H36" s="295">
        <f>SUMIF('Torrance Pro Forma'!$B$8:$ED$8,'Annual Pro Forma'!H$8,'Torrance Pro Forma'!$B36:$ED36)</f>
        <v>0</v>
      </c>
      <c r="I36" s="295">
        <f>SUMIF('Torrance Pro Forma'!$B$8:$ED$8,'Annual Pro Forma'!I$8,'Torrance Pro Forma'!$B36:$ED36)</f>
        <v>0</v>
      </c>
      <c r="J36" s="295">
        <f>SUMIF('Torrance Pro Forma'!$B$8:$ED$8,'Annual Pro Forma'!J$8,'Torrance Pro Forma'!$B36:$ED36)</f>
        <v>0</v>
      </c>
      <c r="K36" s="295">
        <f>SUMIF('Torrance Pro Forma'!$B$8:$ED$8,'Annual Pro Forma'!K$8,'Torrance Pro Forma'!$B36:$ED36)</f>
        <v>0</v>
      </c>
      <c r="L36" s="295">
        <f>SUMIF('Torrance Pro Forma'!$B$8:$ED$8,'Annual Pro Forma'!L$8,'Torrance Pro Forma'!$B36:$ED36)</f>
        <v>0</v>
      </c>
      <c r="M36" s="295">
        <f>SUMIF('Torrance Pro Forma'!$B$8:$ED$8,'Annual Pro Forma'!M$8,'Torrance Pro Forma'!$B36:$ED36)</f>
        <v>0</v>
      </c>
    </row>
    <row r="37" spans="1:13" ht="19.149999999999999" customHeight="1" x14ac:dyDescent="0.45">
      <c r="A37" s="282" t="s">
        <v>200</v>
      </c>
      <c r="B37" s="264"/>
      <c r="C37" s="292">
        <f>SUMIF('Torrance Pro Forma'!$B$8:$ED$8,'Annual Pro Forma'!C$8,'Torrance Pro Forma'!$B37:$ED37)</f>
        <v>1325740</v>
      </c>
      <c r="D37" s="292">
        <f>SUMIF('Torrance Pro Forma'!$B$8:$ED$8,'Annual Pro Forma'!D$8,'Torrance Pro Forma'!$B37:$ED37)</f>
        <v>1352154.8</v>
      </c>
      <c r="E37" s="292">
        <f>SUMIF('Torrance Pro Forma'!$B$8:$ED$8,'Annual Pro Forma'!E$8,'Torrance Pro Forma'!$B37:$ED37)</f>
        <v>1379103.8959999997</v>
      </c>
      <c r="F37" s="292">
        <f>SUMIF('Torrance Pro Forma'!$B$8:$ED$8,'Annual Pro Forma'!F$8,'Torrance Pro Forma'!$B37:$ED37)</f>
        <v>1406598.1539200002</v>
      </c>
      <c r="G37" s="292">
        <f>SUMIF('Torrance Pro Forma'!$B$8:$ED$8,'Annual Pro Forma'!G$8,'Torrance Pro Forma'!$B37:$ED37)</f>
        <v>0</v>
      </c>
      <c r="H37" s="292">
        <f>SUMIF('Torrance Pro Forma'!$B$8:$ED$8,'Annual Pro Forma'!H$8,'Torrance Pro Forma'!$B37:$ED37)</f>
        <v>5786150.8488233117</v>
      </c>
      <c r="I37" s="292">
        <f>SUMIF('Torrance Pro Forma'!$B$8:$ED$8,'Annual Pro Forma'!I$8,'Torrance Pro Forma'!$B37:$ED37)</f>
        <v>5388708.0111101782</v>
      </c>
      <c r="J37" s="292">
        <f>SUMIF('Torrance Pro Forma'!$B$8:$ED$8,'Annual Pro Forma'!J$8,'Torrance Pro Forma'!$B37:$ED37)</f>
        <v>5497573.2722872263</v>
      </c>
      <c r="K37" s="292">
        <f>SUMIF('Torrance Pro Forma'!$B$8:$ED$8,'Annual Pro Forma'!K$8,'Torrance Pro Forma'!$B37:$ED37)</f>
        <v>5608623.003001594</v>
      </c>
      <c r="L37" s="292">
        <f>SUMIF('Torrance Pro Forma'!$B$8:$ED$8,'Annual Pro Forma'!L$8,'Torrance Pro Forma'!$B37:$ED37)</f>
        <v>5721901.1075734431</v>
      </c>
      <c r="M37" s="292">
        <f>SUMIF('Torrance Pro Forma'!$B$8:$ED$8,'Annual Pro Forma'!M$8,'Torrance Pro Forma'!$B37:$ED37)</f>
        <v>5837452.3748572208</v>
      </c>
    </row>
    <row r="38" spans="1:13" ht="19.149999999999999" customHeight="1" x14ac:dyDescent="0.45">
      <c r="A38" s="290" t="s">
        <v>182</v>
      </c>
      <c r="C38" s="295">
        <f>SUMIF('Torrance Pro Forma'!$B$8:$ED$8,'Annual Pro Forma'!C$8,'Torrance Pro Forma'!$B38:$ED38)</f>
        <v>0</v>
      </c>
      <c r="D38" s="295">
        <f>SUMIF('Torrance Pro Forma'!$B$8:$ED$8,'Annual Pro Forma'!D$8,'Torrance Pro Forma'!$B38:$ED38)</f>
        <v>0</v>
      </c>
      <c r="E38" s="295">
        <f>SUMIF('Torrance Pro Forma'!$B$8:$ED$8,'Annual Pro Forma'!E$8,'Torrance Pro Forma'!$B38:$ED38)</f>
        <v>0</v>
      </c>
      <c r="F38" s="295">
        <f>SUMIF('Torrance Pro Forma'!$B$8:$ED$8,'Annual Pro Forma'!F$8,'Torrance Pro Forma'!$B38:$ED38)</f>
        <v>0</v>
      </c>
      <c r="G38" s="295">
        <f>SUMIF('Torrance Pro Forma'!$B$8:$ED$8,'Annual Pro Forma'!G$8,'Torrance Pro Forma'!$B38:$ED38)</f>
        <v>0</v>
      </c>
      <c r="H38" s="295">
        <f>SUMIF('Torrance Pro Forma'!$B$8:$ED$8,'Annual Pro Forma'!H$8,'Torrance Pro Forma'!$B38:$ED38)</f>
        <v>0</v>
      </c>
      <c r="I38" s="295">
        <f>SUMIF('Torrance Pro Forma'!$B$8:$ED$8,'Annual Pro Forma'!I$8,'Torrance Pro Forma'!$B38:$ED38)</f>
        <v>0</v>
      </c>
      <c r="J38" s="295">
        <f>SUMIF('Torrance Pro Forma'!$B$8:$ED$8,'Annual Pro Forma'!J$8,'Torrance Pro Forma'!$B38:$ED38)</f>
        <v>0</v>
      </c>
      <c r="K38" s="295">
        <f>SUMIF('Torrance Pro Forma'!$B$8:$ED$8,'Annual Pro Forma'!K$8,'Torrance Pro Forma'!$B38:$ED38)</f>
        <v>0</v>
      </c>
      <c r="L38" s="295">
        <f>SUMIF('Torrance Pro Forma'!$B$8:$ED$8,'Annual Pro Forma'!L$8,'Torrance Pro Forma'!$B38:$ED38)</f>
        <v>0</v>
      </c>
      <c r="M38" s="295">
        <f>SUMIF('Torrance Pro Forma'!$B$8:$ED$8,'Annual Pro Forma'!M$8,'Torrance Pro Forma'!$B38:$ED38)</f>
        <v>0</v>
      </c>
    </row>
    <row r="39" spans="1:13" ht="19.149999999999999" customHeight="1" x14ac:dyDescent="0.45">
      <c r="A39" s="279" t="s">
        <v>199</v>
      </c>
      <c r="B39" s="268"/>
      <c r="C39" s="295">
        <f>SUMIF('Torrance Pro Forma'!$B$8:$ED$8,'Annual Pro Forma'!C$8,'Torrance Pro Forma'!$B39:$ED39)</f>
        <v>0</v>
      </c>
      <c r="D39" s="295">
        <f>SUMIF('Torrance Pro Forma'!$B$8:$ED$8,'Annual Pro Forma'!D$8,'Torrance Pro Forma'!$B39:$ED39)</f>
        <v>0</v>
      </c>
      <c r="E39" s="295">
        <f>SUMIF('Torrance Pro Forma'!$B$8:$ED$8,'Annual Pro Forma'!E$8,'Torrance Pro Forma'!$B39:$ED39)</f>
        <v>0</v>
      </c>
      <c r="F39" s="295">
        <f>SUMIF('Torrance Pro Forma'!$B$8:$ED$8,'Annual Pro Forma'!F$8,'Torrance Pro Forma'!$B39:$ED39)</f>
        <v>0</v>
      </c>
      <c r="G39" s="295">
        <f>SUMIF('Torrance Pro Forma'!$B$8:$ED$8,'Annual Pro Forma'!G$8,'Torrance Pro Forma'!$B39:$ED39)</f>
        <v>0</v>
      </c>
      <c r="H39" s="295">
        <f>SUMIF('Torrance Pro Forma'!$B$8:$ED$8,'Annual Pro Forma'!H$8,'Torrance Pro Forma'!$B39:$ED39)</f>
        <v>0</v>
      </c>
      <c r="I39" s="295">
        <f>SUMIF('Torrance Pro Forma'!$B$8:$ED$8,'Annual Pro Forma'!I$8,'Torrance Pro Forma'!$B39:$ED39)</f>
        <v>0</v>
      </c>
      <c r="J39" s="295">
        <f>SUMIF('Torrance Pro Forma'!$B$8:$ED$8,'Annual Pro Forma'!J$8,'Torrance Pro Forma'!$B39:$ED39)</f>
        <v>0</v>
      </c>
      <c r="K39" s="295">
        <f>SUMIF('Torrance Pro Forma'!$B$8:$ED$8,'Annual Pro Forma'!K$8,'Torrance Pro Forma'!$B39:$ED39)</f>
        <v>0</v>
      </c>
      <c r="L39" s="295">
        <f>SUMIF('Torrance Pro Forma'!$B$8:$ED$8,'Annual Pro Forma'!L$8,'Torrance Pro Forma'!$B39:$ED39)</f>
        <v>0</v>
      </c>
      <c r="M39" s="295">
        <f>SUMIF('Torrance Pro Forma'!$B$8:$ED$8,'Annual Pro Forma'!M$8,'Torrance Pro Forma'!$B39:$ED39)</f>
        <v>0</v>
      </c>
    </row>
    <row r="40" spans="1:13" ht="19.149999999999999" customHeight="1" x14ac:dyDescent="0.45">
      <c r="A40" s="293" t="s">
        <v>198</v>
      </c>
      <c r="B40" s="265"/>
      <c r="C40" s="292">
        <f>SUMIF('Torrance Pro Forma'!$B$8:$ED$8,'Annual Pro Forma'!C$8,'Torrance Pro Forma'!$B40:$ED40)</f>
        <v>0</v>
      </c>
      <c r="D40" s="292">
        <f>SUMIF('Torrance Pro Forma'!$B$8:$ED$8,'Annual Pro Forma'!D$8,'Torrance Pro Forma'!$B40:$ED40)</f>
        <v>0</v>
      </c>
      <c r="E40" s="292">
        <f>SUMIF('Torrance Pro Forma'!$B$8:$ED$8,'Annual Pro Forma'!E$8,'Torrance Pro Forma'!$B40:$ED40)</f>
        <v>0</v>
      </c>
      <c r="F40" s="292">
        <f>SUMIF('Torrance Pro Forma'!$B$8:$ED$8,'Annual Pro Forma'!F$8,'Torrance Pro Forma'!$B40:$ED40)</f>
        <v>0</v>
      </c>
      <c r="G40" s="292">
        <f>SUMIF('Torrance Pro Forma'!$B$8:$ED$8,'Annual Pro Forma'!G$8,'Torrance Pro Forma'!$B40:$ED40)</f>
        <v>0</v>
      </c>
      <c r="H40" s="292">
        <f>SUMIF('Torrance Pro Forma'!$B$8:$ED$8,'Annual Pro Forma'!H$8,'Torrance Pro Forma'!$B40:$ED40)</f>
        <v>0</v>
      </c>
      <c r="I40" s="292">
        <f>SUMIF('Torrance Pro Forma'!$B$8:$ED$8,'Annual Pro Forma'!I$8,'Torrance Pro Forma'!$B40:$ED40)</f>
        <v>0</v>
      </c>
      <c r="J40" s="292">
        <f>SUMIF('Torrance Pro Forma'!$B$8:$ED$8,'Annual Pro Forma'!J$8,'Torrance Pro Forma'!$B40:$ED40)</f>
        <v>0</v>
      </c>
      <c r="K40" s="292">
        <f>SUMIF('Torrance Pro Forma'!$B$8:$ED$8,'Annual Pro Forma'!K$8,'Torrance Pro Forma'!$B40:$ED40)</f>
        <v>0</v>
      </c>
      <c r="L40" s="292">
        <f>SUMIF('Torrance Pro Forma'!$B$8:$ED$8,'Annual Pro Forma'!L$8,'Torrance Pro Forma'!$B40:$ED40)</f>
        <v>0</v>
      </c>
      <c r="M40" s="292">
        <f>SUMIF('Torrance Pro Forma'!$B$8:$ED$8,'Annual Pro Forma'!M$8,'Torrance Pro Forma'!$B40:$ED40)</f>
        <v>0</v>
      </c>
    </row>
    <row r="41" spans="1:13" ht="19.149999999999999" customHeight="1" x14ac:dyDescent="0.45">
      <c r="A41" s="282" t="s">
        <v>197</v>
      </c>
      <c r="B41" s="264"/>
      <c r="C41" s="292">
        <f>SUMIF('Torrance Pro Forma'!$B$8:$ED$8,'Annual Pro Forma'!C$8,'Torrance Pro Forma'!$B41:$ED41)</f>
        <v>0</v>
      </c>
      <c r="D41" s="292">
        <f>SUMIF('Torrance Pro Forma'!$B$8:$ED$8,'Annual Pro Forma'!D$8,'Torrance Pro Forma'!$B41:$ED41)</f>
        <v>0</v>
      </c>
      <c r="E41" s="292">
        <f>SUMIF('Torrance Pro Forma'!$B$8:$ED$8,'Annual Pro Forma'!E$8,'Torrance Pro Forma'!$B41:$ED41)</f>
        <v>0</v>
      </c>
      <c r="F41" s="292">
        <f>SUMIF('Torrance Pro Forma'!$B$8:$ED$8,'Annual Pro Forma'!F$8,'Torrance Pro Forma'!$B41:$ED41)</f>
        <v>0</v>
      </c>
      <c r="G41" s="292">
        <f>SUMIF('Torrance Pro Forma'!$B$8:$ED$8,'Annual Pro Forma'!G$8,'Torrance Pro Forma'!$B41:$ED41)</f>
        <v>0</v>
      </c>
      <c r="H41" s="292">
        <f>SUMIF('Torrance Pro Forma'!$B$8:$ED$8,'Annual Pro Forma'!H$8,'Torrance Pro Forma'!$B41:$ED41)</f>
        <v>0</v>
      </c>
      <c r="I41" s="292">
        <f>SUMIF('Torrance Pro Forma'!$B$8:$ED$8,'Annual Pro Forma'!I$8,'Torrance Pro Forma'!$B41:$ED41)</f>
        <v>0</v>
      </c>
      <c r="J41" s="292">
        <f>SUMIF('Torrance Pro Forma'!$B$8:$ED$8,'Annual Pro Forma'!J$8,'Torrance Pro Forma'!$B41:$ED41)</f>
        <v>0</v>
      </c>
      <c r="K41" s="292">
        <f>SUMIF('Torrance Pro Forma'!$B$8:$ED$8,'Annual Pro Forma'!K$8,'Torrance Pro Forma'!$B41:$ED41)</f>
        <v>0</v>
      </c>
      <c r="L41" s="292">
        <f>SUMIF('Torrance Pro Forma'!$B$8:$ED$8,'Annual Pro Forma'!L$8,'Torrance Pro Forma'!$B41:$ED41)</f>
        <v>0</v>
      </c>
      <c r="M41" s="292">
        <f>SUMIF('Torrance Pro Forma'!$B$8:$ED$8,'Annual Pro Forma'!M$8,'Torrance Pro Forma'!$B41:$ED41)</f>
        <v>0</v>
      </c>
    </row>
    <row r="42" spans="1:13" ht="19.149999999999999" customHeight="1" x14ac:dyDescent="0.45">
      <c r="A42" s="290" t="s">
        <v>182</v>
      </c>
      <c r="C42" s="295">
        <f>SUMIF('Torrance Pro Forma'!$B$8:$ED$8,'Annual Pro Forma'!C$8,'Torrance Pro Forma'!$B42:$ED42)</f>
        <v>0</v>
      </c>
      <c r="D42" s="295">
        <f>SUMIF('Torrance Pro Forma'!$B$8:$ED$8,'Annual Pro Forma'!D$8,'Torrance Pro Forma'!$B42:$ED42)</f>
        <v>0</v>
      </c>
      <c r="E42" s="295">
        <f>SUMIF('Torrance Pro Forma'!$B$8:$ED$8,'Annual Pro Forma'!E$8,'Torrance Pro Forma'!$B42:$ED42)</f>
        <v>0</v>
      </c>
      <c r="F42" s="295">
        <f>SUMIF('Torrance Pro Forma'!$B$8:$ED$8,'Annual Pro Forma'!F$8,'Torrance Pro Forma'!$B42:$ED42)</f>
        <v>0</v>
      </c>
      <c r="G42" s="295">
        <f>SUMIF('Torrance Pro Forma'!$B$8:$ED$8,'Annual Pro Forma'!G$8,'Torrance Pro Forma'!$B42:$ED42)</f>
        <v>0</v>
      </c>
      <c r="H42" s="295">
        <f>SUMIF('Torrance Pro Forma'!$B$8:$ED$8,'Annual Pro Forma'!H$8,'Torrance Pro Forma'!$B42:$ED42)</f>
        <v>0</v>
      </c>
      <c r="I42" s="295">
        <f>SUMIF('Torrance Pro Forma'!$B$8:$ED$8,'Annual Pro Forma'!I$8,'Torrance Pro Forma'!$B42:$ED42)</f>
        <v>0</v>
      </c>
      <c r="J42" s="295">
        <f>SUMIF('Torrance Pro Forma'!$B$8:$ED$8,'Annual Pro Forma'!J$8,'Torrance Pro Forma'!$B42:$ED42)</f>
        <v>0</v>
      </c>
      <c r="K42" s="295">
        <f>SUMIF('Torrance Pro Forma'!$B$8:$ED$8,'Annual Pro Forma'!K$8,'Torrance Pro Forma'!$B42:$ED42)</f>
        <v>0</v>
      </c>
      <c r="L42" s="295">
        <f>SUMIF('Torrance Pro Forma'!$B$8:$ED$8,'Annual Pro Forma'!L$8,'Torrance Pro Forma'!$B42:$ED42)</f>
        <v>0</v>
      </c>
      <c r="M42" s="295">
        <f>SUMIF('Torrance Pro Forma'!$B$8:$ED$8,'Annual Pro Forma'!M$8,'Torrance Pro Forma'!$B42:$ED42)</f>
        <v>0</v>
      </c>
    </row>
    <row r="43" spans="1:13" ht="19.149999999999999" customHeight="1" x14ac:dyDescent="0.45">
      <c r="A43" s="282" t="s">
        <v>196</v>
      </c>
      <c r="B43" s="264"/>
      <c r="C43" s="292">
        <f>SUMIF('Torrance Pro Forma'!$B$8:$ED$8,'Annual Pro Forma'!C$8,'Torrance Pro Forma'!$B43:$ED43)</f>
        <v>1325740</v>
      </c>
      <c r="D43" s="292">
        <f>SUMIF('Torrance Pro Forma'!$B$8:$ED$8,'Annual Pro Forma'!D$8,'Torrance Pro Forma'!$B43:$ED43)</f>
        <v>1352154.8</v>
      </c>
      <c r="E43" s="292">
        <f>SUMIF('Torrance Pro Forma'!$B$8:$ED$8,'Annual Pro Forma'!E$8,'Torrance Pro Forma'!$B43:$ED43)</f>
        <v>1379103.8959999997</v>
      </c>
      <c r="F43" s="292">
        <f>SUMIF('Torrance Pro Forma'!$B$8:$ED$8,'Annual Pro Forma'!F$8,'Torrance Pro Forma'!$B43:$ED43)</f>
        <v>1406598.1539200002</v>
      </c>
      <c r="G43" s="292">
        <f>SUMIF('Torrance Pro Forma'!$B$8:$ED$8,'Annual Pro Forma'!G$8,'Torrance Pro Forma'!$B43:$ED43)</f>
        <v>0</v>
      </c>
      <c r="H43" s="292">
        <f>SUMIF('Torrance Pro Forma'!$B$8:$ED$8,'Annual Pro Forma'!H$8,'Torrance Pro Forma'!$B43:$ED43)</f>
        <v>5786150.8488233117</v>
      </c>
      <c r="I43" s="292">
        <f>SUMIF('Torrance Pro Forma'!$B$8:$ED$8,'Annual Pro Forma'!I$8,'Torrance Pro Forma'!$B43:$ED43)</f>
        <v>5388708.0111101782</v>
      </c>
      <c r="J43" s="292">
        <f>SUMIF('Torrance Pro Forma'!$B$8:$ED$8,'Annual Pro Forma'!J$8,'Torrance Pro Forma'!$B43:$ED43)</f>
        <v>5497573.2722872263</v>
      </c>
      <c r="K43" s="292">
        <f>SUMIF('Torrance Pro Forma'!$B$8:$ED$8,'Annual Pro Forma'!K$8,'Torrance Pro Forma'!$B43:$ED43)</f>
        <v>5608623.003001594</v>
      </c>
      <c r="L43" s="292">
        <f>SUMIF('Torrance Pro Forma'!$B$8:$ED$8,'Annual Pro Forma'!L$8,'Torrance Pro Forma'!$B43:$ED43)</f>
        <v>5721901.1075734431</v>
      </c>
      <c r="M43" s="292">
        <f>SUMIF('Torrance Pro Forma'!$B$8:$ED$8,'Annual Pro Forma'!M$8,'Torrance Pro Forma'!$B43:$ED43)</f>
        <v>5837452.3748572208</v>
      </c>
    </row>
    <row r="44" spans="1:13" ht="19.149999999999999" customHeight="1" x14ac:dyDescent="0.45">
      <c r="A44" s="290" t="s">
        <v>182</v>
      </c>
      <c r="C44" s="295">
        <f>SUMIF('Torrance Pro Forma'!$B$8:$ED$8,'Annual Pro Forma'!C$8,'Torrance Pro Forma'!$B44:$ED44)</f>
        <v>0</v>
      </c>
      <c r="D44" s="295">
        <f>SUMIF('Torrance Pro Forma'!$B$8:$ED$8,'Annual Pro Forma'!D$8,'Torrance Pro Forma'!$B44:$ED44)</f>
        <v>0</v>
      </c>
      <c r="E44" s="295">
        <f>SUMIF('Torrance Pro Forma'!$B$8:$ED$8,'Annual Pro Forma'!E$8,'Torrance Pro Forma'!$B44:$ED44)</f>
        <v>0</v>
      </c>
      <c r="F44" s="295">
        <f>SUMIF('Torrance Pro Forma'!$B$8:$ED$8,'Annual Pro Forma'!F$8,'Torrance Pro Forma'!$B44:$ED44)</f>
        <v>0</v>
      </c>
      <c r="G44" s="295">
        <f>SUMIF('Torrance Pro Forma'!$B$8:$ED$8,'Annual Pro Forma'!G$8,'Torrance Pro Forma'!$B44:$ED44)</f>
        <v>0</v>
      </c>
      <c r="H44" s="295">
        <f>SUMIF('Torrance Pro Forma'!$B$8:$ED$8,'Annual Pro Forma'!H$8,'Torrance Pro Forma'!$B44:$ED44)</f>
        <v>0</v>
      </c>
      <c r="I44" s="295">
        <f>SUMIF('Torrance Pro Forma'!$B$8:$ED$8,'Annual Pro Forma'!I$8,'Torrance Pro Forma'!$B44:$ED44)</f>
        <v>0</v>
      </c>
      <c r="J44" s="295">
        <f>SUMIF('Torrance Pro Forma'!$B$8:$ED$8,'Annual Pro Forma'!J$8,'Torrance Pro Forma'!$B44:$ED44)</f>
        <v>0</v>
      </c>
      <c r="K44" s="295">
        <f>SUMIF('Torrance Pro Forma'!$B$8:$ED$8,'Annual Pro Forma'!K$8,'Torrance Pro Forma'!$B44:$ED44)</f>
        <v>0</v>
      </c>
      <c r="L44" s="295">
        <f>SUMIF('Torrance Pro Forma'!$B$8:$ED$8,'Annual Pro Forma'!L$8,'Torrance Pro Forma'!$B44:$ED44)</f>
        <v>0</v>
      </c>
      <c r="M44" s="295">
        <f>SUMIF('Torrance Pro Forma'!$B$8:$ED$8,'Annual Pro Forma'!M$8,'Torrance Pro Forma'!$B44:$ED44)</f>
        <v>0</v>
      </c>
    </row>
    <row r="45" spans="1:13" ht="19.149999999999999" customHeight="1" x14ac:dyDescent="0.45">
      <c r="A45" s="279" t="s">
        <v>195</v>
      </c>
      <c r="B45" s="268"/>
      <c r="C45" s="295">
        <f>SUMIF('Torrance Pro Forma'!$B$8:$ED$8,'Annual Pro Forma'!C$8,'Torrance Pro Forma'!$B45:$ED45)</f>
        <v>0</v>
      </c>
      <c r="D45" s="295">
        <f>SUMIF('Torrance Pro Forma'!$B$8:$ED$8,'Annual Pro Forma'!D$8,'Torrance Pro Forma'!$B45:$ED45)</f>
        <v>0</v>
      </c>
      <c r="E45" s="295">
        <f>SUMIF('Torrance Pro Forma'!$B$8:$ED$8,'Annual Pro Forma'!E$8,'Torrance Pro Forma'!$B45:$ED45)</f>
        <v>0</v>
      </c>
      <c r="F45" s="295">
        <f>SUMIF('Torrance Pro Forma'!$B$8:$ED$8,'Annual Pro Forma'!F$8,'Torrance Pro Forma'!$B45:$ED45)</f>
        <v>0</v>
      </c>
      <c r="G45" s="295">
        <f>SUMIF('Torrance Pro Forma'!$B$8:$ED$8,'Annual Pro Forma'!G$8,'Torrance Pro Forma'!$B45:$ED45)</f>
        <v>0</v>
      </c>
      <c r="H45" s="295">
        <f>SUMIF('Torrance Pro Forma'!$B$8:$ED$8,'Annual Pro Forma'!H$8,'Torrance Pro Forma'!$B45:$ED45)</f>
        <v>0</v>
      </c>
      <c r="I45" s="295">
        <f>SUMIF('Torrance Pro Forma'!$B$8:$ED$8,'Annual Pro Forma'!I$8,'Torrance Pro Forma'!$B45:$ED45)</f>
        <v>0</v>
      </c>
      <c r="J45" s="295">
        <f>SUMIF('Torrance Pro Forma'!$B$8:$ED$8,'Annual Pro Forma'!J$8,'Torrance Pro Forma'!$B45:$ED45)</f>
        <v>0</v>
      </c>
      <c r="K45" s="295">
        <f>SUMIF('Torrance Pro Forma'!$B$8:$ED$8,'Annual Pro Forma'!K$8,'Torrance Pro Forma'!$B45:$ED45)</f>
        <v>0</v>
      </c>
      <c r="L45" s="295">
        <f>SUMIF('Torrance Pro Forma'!$B$8:$ED$8,'Annual Pro Forma'!L$8,'Torrance Pro Forma'!$B45:$ED45)</f>
        <v>0</v>
      </c>
      <c r="M45" s="295">
        <f>SUMIF('Torrance Pro Forma'!$B$8:$ED$8,'Annual Pro Forma'!M$8,'Torrance Pro Forma'!$B45:$ED45)</f>
        <v>0</v>
      </c>
    </row>
    <row r="46" spans="1:13" ht="19.149999999999999" customHeight="1" x14ac:dyDescent="0.45">
      <c r="A46" s="280" t="s">
        <v>82</v>
      </c>
      <c r="B46" s="271">
        <f>SUMIF('Torrance Pro Forma'!$B$8:$ED$8,'Annual Pro Forma'!B$8,'Torrance Pro Forma'!$B46:$ED46)</f>
        <v>1250</v>
      </c>
      <c r="C46" s="294">
        <f>SUMIF('Torrance Pro Forma'!$B$8:$ED$8,'Annual Pro Forma'!C$8,'Torrance Pro Forma'!$B46:$ED46)</f>
        <v>15000</v>
      </c>
      <c r="D46" s="294">
        <f>SUMIF('Torrance Pro Forma'!$B$8:$ED$8,'Annual Pro Forma'!D$8,'Torrance Pro Forma'!$B46:$ED46)</f>
        <v>15450</v>
      </c>
      <c r="E46" s="294">
        <f>SUMIF('Torrance Pro Forma'!$B$8:$ED$8,'Annual Pro Forma'!E$8,'Torrance Pro Forma'!$B46:$ED46)</f>
        <v>15913.5</v>
      </c>
      <c r="F46" s="294">
        <f>SUMIF('Torrance Pro Forma'!$B$8:$ED$8,'Annual Pro Forma'!F$8,'Torrance Pro Forma'!$B46:$ED46)</f>
        <v>16390.905000000002</v>
      </c>
      <c r="G46" s="294">
        <f>SUMIF('Torrance Pro Forma'!$B$8:$ED$8,'Annual Pro Forma'!G$8,'Torrance Pro Forma'!$B46:$ED46)</f>
        <v>0</v>
      </c>
      <c r="H46" s="294">
        <f>SUMIF('Torrance Pro Forma'!$B$8:$ED$8,'Annual Pro Forma'!H$8,'Torrance Pro Forma'!$B46:$ED46)</f>
        <v>17389.1111145</v>
      </c>
      <c r="I46" s="294">
        <f>SUMIF('Torrance Pro Forma'!$B$8:$ED$8,'Annual Pro Forma'!I$8,'Torrance Pro Forma'!$B46:$ED46)</f>
        <v>17910.784447934999</v>
      </c>
      <c r="J46" s="294">
        <f>SUMIF('Torrance Pro Forma'!$B$8:$ED$8,'Annual Pro Forma'!J$8,'Torrance Pro Forma'!$B46:$ED46)</f>
        <v>18448.107981373054</v>
      </c>
      <c r="K46" s="294">
        <f>SUMIF('Torrance Pro Forma'!$B$8:$ED$8,'Annual Pro Forma'!K$8,'Torrance Pro Forma'!$B46:$ED46)</f>
        <v>19001.551220814239</v>
      </c>
      <c r="L46" s="294">
        <f>SUMIF('Torrance Pro Forma'!$B$8:$ED$8,'Annual Pro Forma'!L$8,'Torrance Pro Forma'!$B46:$ED46)</f>
        <v>19571.597757438667</v>
      </c>
      <c r="M46" s="294">
        <f>SUMIF('Torrance Pro Forma'!$B$8:$ED$8,'Annual Pro Forma'!M$8,'Torrance Pro Forma'!$B46:$ED46)</f>
        <v>20158.745690161828</v>
      </c>
    </row>
    <row r="47" spans="1:13" ht="19.149999999999999" customHeight="1" x14ac:dyDescent="0.45">
      <c r="A47" s="280" t="s">
        <v>79</v>
      </c>
      <c r="B47" s="271">
        <f>SUMIF('Torrance Pro Forma'!$B$8:$ED$8,'Annual Pro Forma'!B$8,'Torrance Pro Forma'!$B47:$ED47)</f>
        <v>1250</v>
      </c>
      <c r="C47" s="294">
        <f>SUMIF('Torrance Pro Forma'!$B$8:$ED$8,'Annual Pro Forma'!C$8,'Torrance Pro Forma'!$B47:$ED47)</f>
        <v>15000</v>
      </c>
      <c r="D47" s="294">
        <f>SUMIF('Torrance Pro Forma'!$B$8:$ED$8,'Annual Pro Forma'!D$8,'Torrance Pro Forma'!$B47:$ED47)</f>
        <v>15450</v>
      </c>
      <c r="E47" s="294">
        <f>SUMIF('Torrance Pro Forma'!$B$8:$ED$8,'Annual Pro Forma'!E$8,'Torrance Pro Forma'!$B47:$ED47)</f>
        <v>15913.5</v>
      </c>
      <c r="F47" s="294">
        <f>SUMIF('Torrance Pro Forma'!$B$8:$ED$8,'Annual Pro Forma'!F$8,'Torrance Pro Forma'!$B47:$ED47)</f>
        <v>16390.905000000002</v>
      </c>
      <c r="G47" s="294">
        <f>SUMIF('Torrance Pro Forma'!$B$8:$ED$8,'Annual Pro Forma'!G$8,'Torrance Pro Forma'!$B47:$ED47)</f>
        <v>0</v>
      </c>
      <c r="H47" s="294">
        <f>SUMIF('Torrance Pro Forma'!$B$8:$ED$8,'Annual Pro Forma'!H$8,'Torrance Pro Forma'!$B47:$ED47)</f>
        <v>17389.1111145</v>
      </c>
      <c r="I47" s="294">
        <f>SUMIF('Torrance Pro Forma'!$B$8:$ED$8,'Annual Pro Forma'!I$8,'Torrance Pro Forma'!$B47:$ED47)</f>
        <v>17910.784447934999</v>
      </c>
      <c r="J47" s="294">
        <f>SUMIF('Torrance Pro Forma'!$B$8:$ED$8,'Annual Pro Forma'!J$8,'Torrance Pro Forma'!$B47:$ED47)</f>
        <v>18448.107981373054</v>
      </c>
      <c r="K47" s="294">
        <f>SUMIF('Torrance Pro Forma'!$B$8:$ED$8,'Annual Pro Forma'!K$8,'Torrance Pro Forma'!$B47:$ED47)</f>
        <v>19001.551220814239</v>
      </c>
      <c r="L47" s="294">
        <f>SUMIF('Torrance Pro Forma'!$B$8:$ED$8,'Annual Pro Forma'!L$8,'Torrance Pro Forma'!$B47:$ED47)</f>
        <v>19571.597757438667</v>
      </c>
      <c r="M47" s="294">
        <f>SUMIF('Torrance Pro Forma'!$B$8:$ED$8,'Annual Pro Forma'!M$8,'Torrance Pro Forma'!$B47:$ED47)</f>
        <v>20158.745690161828</v>
      </c>
    </row>
    <row r="48" spans="1:13" ht="19.149999999999999" customHeight="1" x14ac:dyDescent="0.45">
      <c r="A48" s="280" t="s">
        <v>76</v>
      </c>
      <c r="B48" s="271">
        <f>SUMIF('Torrance Pro Forma'!$B$8:$ED$8,'Annual Pro Forma'!B$8,'Torrance Pro Forma'!$B48:$ED48)</f>
        <v>417</v>
      </c>
      <c r="C48" s="294">
        <f>SUMIF('Torrance Pro Forma'!$B$8:$ED$8,'Annual Pro Forma'!C$8,'Torrance Pro Forma'!$B48:$ED48)</f>
        <v>5000</v>
      </c>
      <c r="D48" s="294">
        <f>SUMIF('Torrance Pro Forma'!$B$8:$ED$8,'Annual Pro Forma'!D$8,'Torrance Pro Forma'!$B48:$ED48)</f>
        <v>5150</v>
      </c>
      <c r="E48" s="294">
        <f>SUMIF('Torrance Pro Forma'!$B$8:$ED$8,'Annual Pro Forma'!E$8,'Torrance Pro Forma'!$B48:$ED48)</f>
        <v>5304.5</v>
      </c>
      <c r="F48" s="294">
        <f>SUMIF('Torrance Pro Forma'!$B$8:$ED$8,'Annual Pro Forma'!F$8,'Torrance Pro Forma'!$B48:$ED48)</f>
        <v>5463.6349999999993</v>
      </c>
      <c r="G48" s="294">
        <f>SUMIF('Torrance Pro Forma'!$B$8:$ED$8,'Annual Pro Forma'!G$8,'Torrance Pro Forma'!$B48:$ED48)</f>
        <v>0</v>
      </c>
      <c r="H48" s="294">
        <f>SUMIF('Torrance Pro Forma'!$B$8:$ED$8,'Annual Pro Forma'!H$8,'Torrance Pro Forma'!$B48:$ED48)</f>
        <v>5796.3703714999974</v>
      </c>
      <c r="I48" s="294">
        <f>SUMIF('Torrance Pro Forma'!$B$8:$ED$8,'Annual Pro Forma'!I$8,'Torrance Pro Forma'!$B48:$ED48)</f>
        <v>5970.2614826449999</v>
      </c>
      <c r="J48" s="294">
        <f>SUMIF('Torrance Pro Forma'!$B$8:$ED$8,'Annual Pro Forma'!J$8,'Torrance Pro Forma'!$B48:$ED48)</f>
        <v>6149.3693271243492</v>
      </c>
      <c r="K48" s="294">
        <f>SUMIF('Torrance Pro Forma'!$B$8:$ED$8,'Annual Pro Forma'!K$8,'Torrance Pro Forma'!$B48:$ED48)</f>
        <v>6333.8504069380797</v>
      </c>
      <c r="L48" s="294">
        <f>SUMIF('Torrance Pro Forma'!$B$8:$ED$8,'Annual Pro Forma'!L$8,'Torrance Pro Forma'!$B48:$ED48)</f>
        <v>6523.8659191462248</v>
      </c>
      <c r="M48" s="294">
        <f>SUMIF('Torrance Pro Forma'!$B$8:$ED$8,'Annual Pro Forma'!M$8,'Torrance Pro Forma'!$B48:$ED48)</f>
        <v>6719.5818967206105</v>
      </c>
    </row>
    <row r="49" spans="1:13" ht="19.149999999999999" customHeight="1" x14ac:dyDescent="0.45">
      <c r="A49" s="280" t="s">
        <v>101</v>
      </c>
      <c r="B49" s="271">
        <f>SUMIF('Torrance Pro Forma'!$B$8:$ED$8,'Annual Pro Forma'!B$8,'Torrance Pro Forma'!$B49:$ED49)</f>
        <v>16089.944444444445</v>
      </c>
      <c r="C49" s="294">
        <f>SUMIF('Torrance Pro Forma'!$B$8:$ED$8,'Annual Pro Forma'!C$8,'Torrance Pro Forma'!$B49:$ED49)</f>
        <v>193079.33333333328</v>
      </c>
      <c r="D49" s="294">
        <f>SUMIF('Torrance Pro Forma'!$B$8:$ED$8,'Annual Pro Forma'!D$8,'Torrance Pro Forma'!$B49:$ED49)</f>
        <v>196940.92000000007</v>
      </c>
      <c r="E49" s="294">
        <f>SUMIF('Torrance Pro Forma'!$B$8:$ED$8,'Annual Pro Forma'!E$8,'Torrance Pro Forma'!$B49:$ED49)</f>
        <v>200879.73840000006</v>
      </c>
      <c r="F49" s="294">
        <f>SUMIF('Torrance Pro Forma'!$B$8:$ED$8,'Annual Pro Forma'!F$8,'Torrance Pro Forma'!$B49:$ED49)</f>
        <v>204897.33316799998</v>
      </c>
      <c r="G49" s="294">
        <f>SUMIF('Torrance Pro Forma'!$B$8:$ED$8,'Annual Pro Forma'!G$8,'Torrance Pro Forma'!$B49:$ED49)</f>
        <v>208995.27983136007</v>
      </c>
      <c r="H49" s="294">
        <f>SUMIF('Torrance Pro Forma'!$B$8:$ED$8,'Annual Pro Forma'!H$8,'Torrance Pro Forma'!$B49:$ED49)</f>
        <v>213175.18542798728</v>
      </c>
      <c r="I49" s="294">
        <f>SUMIF('Torrance Pro Forma'!$B$8:$ED$8,'Annual Pro Forma'!I$8,'Torrance Pro Forma'!$B49:$ED49)</f>
        <v>217438.68913654701</v>
      </c>
      <c r="J49" s="294">
        <f>SUMIF('Torrance Pro Forma'!$B$8:$ED$8,'Annual Pro Forma'!J$8,'Torrance Pro Forma'!$B49:$ED49)</f>
        <v>221787.46291927784</v>
      </c>
      <c r="K49" s="294">
        <f>SUMIF('Torrance Pro Forma'!$B$8:$ED$8,'Annual Pro Forma'!K$8,'Torrance Pro Forma'!$B49:$ED49)</f>
        <v>226223.21217766349</v>
      </c>
      <c r="L49" s="294">
        <f>SUMIF('Torrance Pro Forma'!$B$8:$ED$8,'Annual Pro Forma'!L$8,'Torrance Pro Forma'!$B49:$ED49)</f>
        <v>230747.67642121678</v>
      </c>
      <c r="M49" s="294">
        <f>SUMIF('Torrance Pro Forma'!$B$8:$ED$8,'Annual Pro Forma'!M$8,'Torrance Pro Forma'!$B49:$ED49)</f>
        <v>235362.62994964106</v>
      </c>
    </row>
    <row r="50" spans="1:13" ht="19.149999999999999" customHeight="1" x14ac:dyDescent="0.45">
      <c r="A50" s="280" t="s">
        <v>151</v>
      </c>
      <c r="B50" s="271">
        <f>SUMIF('Torrance Pro Forma'!$B$8:$ED$8,'Annual Pro Forma'!B$8,'Torrance Pro Forma'!$B50:$ED50)</f>
        <v>3314.3500000000004</v>
      </c>
      <c r="C50" s="294">
        <f>SUMIF('Torrance Pro Forma'!$B$8:$ED$8,'Annual Pro Forma'!C$8,'Torrance Pro Forma'!$B50:$ED50)</f>
        <v>36457.849999999991</v>
      </c>
      <c r="D50" s="294">
        <f>SUMIF('Torrance Pro Forma'!$B$8:$ED$8,'Annual Pro Forma'!D$8,'Torrance Pro Forma'!$B50:$ED50)</f>
        <v>40564.644</v>
      </c>
      <c r="E50" s="294">
        <f>SUMIF('Torrance Pro Forma'!$B$8:$ED$8,'Annual Pro Forma'!E$8,'Torrance Pro Forma'!$B50:$ED50)</f>
        <v>41373.116880000009</v>
      </c>
      <c r="F50" s="294">
        <f>SUMIF('Torrance Pro Forma'!$B$8:$ED$8,'Annual Pro Forma'!F$8,'Torrance Pro Forma'!$B50:$ED50)</f>
        <v>42197.944617599998</v>
      </c>
      <c r="G50" s="294">
        <f>SUMIF('Torrance Pro Forma'!$B$8:$ED$8,'Annual Pro Forma'!G$8,'Torrance Pro Forma'!$B50:$ED50)</f>
        <v>0</v>
      </c>
      <c r="H50" s="294">
        <f>SUMIF('Torrance Pro Forma'!$B$8:$ED$8,'Annual Pro Forma'!H$8,'Torrance Pro Forma'!$B50:$ED50)</f>
        <v>173584.52546469937</v>
      </c>
      <c r="I50" s="294">
        <f>SUMIF('Torrance Pro Forma'!$B$8:$ED$8,'Annual Pro Forma'!I$8,'Torrance Pro Forma'!$B50:$ED50)</f>
        <v>161661.24033330532</v>
      </c>
      <c r="J50" s="294">
        <f>SUMIF('Torrance Pro Forma'!$B$8:$ED$8,'Annual Pro Forma'!J$8,'Torrance Pro Forma'!$B50:$ED50)</f>
        <v>164927.19816861683</v>
      </c>
      <c r="K50" s="294">
        <f>SUMIF('Torrance Pro Forma'!$B$8:$ED$8,'Annual Pro Forma'!K$8,'Torrance Pro Forma'!$B50:$ED50)</f>
        <v>168258.69009004781</v>
      </c>
      <c r="L50" s="294">
        <f>SUMIF('Torrance Pro Forma'!$B$8:$ED$8,'Annual Pro Forma'!L$8,'Torrance Pro Forma'!$B50:$ED50)</f>
        <v>171657.0332272033</v>
      </c>
      <c r="M50" s="294">
        <f>SUMIF('Torrance Pro Forma'!$B$8:$ED$8,'Annual Pro Forma'!M$8,'Torrance Pro Forma'!$B50:$ED50)</f>
        <v>175123.57124571662</v>
      </c>
    </row>
    <row r="51" spans="1:13" ht="19.149999999999999" customHeight="1" x14ac:dyDescent="0.45">
      <c r="A51" s="282" t="s">
        <v>194</v>
      </c>
      <c r="B51" s="292">
        <f>SUMIF('Torrance Pro Forma'!$B$8:$ED$8,'Annual Pro Forma'!B$8,'Torrance Pro Forma'!$B51:$ED51)</f>
        <v>0</v>
      </c>
      <c r="C51" s="292">
        <f>SUMIF('Torrance Pro Forma'!$B$8:$ED$8,'Annual Pro Forma'!C$8,'Torrance Pro Forma'!$B51:$ED51)</f>
        <v>264537.18333333329</v>
      </c>
      <c r="D51" s="292">
        <f>SUMIF('Torrance Pro Forma'!$B$8:$ED$8,'Annual Pro Forma'!D$8,'Torrance Pro Forma'!$B51:$ED51)</f>
        <v>273555.56399999995</v>
      </c>
      <c r="E51" s="292">
        <f>SUMIF('Torrance Pro Forma'!$B$8:$ED$8,'Annual Pro Forma'!E$8,'Torrance Pro Forma'!$B51:$ED51)</f>
        <v>279384.35528000008</v>
      </c>
      <c r="F51" s="292">
        <f>SUMIF('Torrance Pro Forma'!$B$8:$ED$8,'Annual Pro Forma'!F$8,'Torrance Pro Forma'!$B51:$ED51)</f>
        <v>285340.72278559994</v>
      </c>
      <c r="G51" s="292">
        <f>SUMIF('Torrance Pro Forma'!$B$8:$ED$8,'Annual Pro Forma'!G$8,'Torrance Pro Forma'!$B51:$ED51)</f>
        <v>208995.27983136007</v>
      </c>
      <c r="H51" s="292">
        <f>SUMIF('Torrance Pro Forma'!$B$8:$ED$8,'Annual Pro Forma'!H$8,'Torrance Pro Forma'!$B51:$ED51)</f>
        <v>427334.30349318642</v>
      </c>
      <c r="I51" s="292">
        <f>SUMIF('Torrance Pro Forma'!$B$8:$ED$8,'Annual Pro Forma'!I$8,'Torrance Pro Forma'!$B51:$ED51)</f>
        <v>420891.75984836736</v>
      </c>
      <c r="J51" s="292">
        <f>SUMIF('Torrance Pro Forma'!$B$8:$ED$8,'Annual Pro Forma'!J$8,'Torrance Pro Forma'!$B51:$ED51)</f>
        <v>429760.24637776503</v>
      </c>
      <c r="K51" s="292">
        <f>SUMIF('Torrance Pro Forma'!$B$8:$ED$8,'Annual Pro Forma'!K$8,'Torrance Pro Forma'!$B51:$ED51)</f>
        <v>438818.85511627787</v>
      </c>
      <c r="L51" s="292">
        <f>SUMIF('Torrance Pro Forma'!$B$8:$ED$8,'Annual Pro Forma'!L$8,'Torrance Pro Forma'!$B51:$ED51)</f>
        <v>448071.77108244365</v>
      </c>
      <c r="M51" s="292">
        <f>SUMIF('Torrance Pro Forma'!$B$8:$ED$8,'Annual Pro Forma'!M$8,'Torrance Pro Forma'!$B51:$ED51)</f>
        <v>457523.27447240177</v>
      </c>
    </row>
    <row r="52" spans="1:13" ht="19.149999999999999" customHeight="1" x14ac:dyDescent="0.45">
      <c r="B52" s="295"/>
      <c r="C52" s="295"/>
      <c r="D52" s="295"/>
      <c r="E52" s="295"/>
      <c r="F52" s="295"/>
      <c r="G52" s="295"/>
      <c r="H52" s="295"/>
      <c r="I52" s="295"/>
      <c r="J52" s="295"/>
      <c r="K52" s="295"/>
      <c r="L52" s="295"/>
      <c r="M52" s="295"/>
    </row>
    <row r="53" spans="1:13" ht="19.149999999999999" customHeight="1" x14ac:dyDescent="0.45">
      <c r="A53" s="279" t="s">
        <v>193</v>
      </c>
      <c r="B53" s="292">
        <f>SUMIF('Torrance Pro Forma'!$B$8:$ED$8,'Annual Pro Forma'!B$8,'Torrance Pro Forma'!$B53:$ED53)</f>
        <v>0</v>
      </c>
      <c r="C53" s="292">
        <f>SUMIF('Torrance Pro Forma'!$B$8:$ED$8,'Annual Pro Forma'!C$8,'Torrance Pro Forma'!$B53:$ED53)</f>
        <v>1061202.8166666669</v>
      </c>
      <c r="D53" s="292">
        <f>SUMIF('Torrance Pro Forma'!$B$8:$ED$8,'Annual Pro Forma'!D$8,'Torrance Pro Forma'!$B53:$ED53)</f>
        <v>1078599.2359999998</v>
      </c>
      <c r="E53" s="292">
        <f>SUMIF('Torrance Pro Forma'!$B$8:$ED$8,'Annual Pro Forma'!E$8,'Torrance Pro Forma'!$B53:$ED53)</f>
        <v>1099719.5407200002</v>
      </c>
      <c r="F53" s="292">
        <f>SUMIF('Torrance Pro Forma'!$B$8:$ED$8,'Annual Pro Forma'!F$8,'Torrance Pro Forma'!$B53:$ED53)</f>
        <v>1121257.4311343997</v>
      </c>
      <c r="G53" s="292">
        <f>SUMIF('Torrance Pro Forma'!$B$8:$ED$8,'Annual Pro Forma'!G$8,'Torrance Pro Forma'!$B53:$ED53)</f>
        <v>-208995.27983136007</v>
      </c>
      <c r="H53" s="292">
        <f>SUMIF('Torrance Pro Forma'!$B$8:$ED$8,'Annual Pro Forma'!H$8,'Torrance Pro Forma'!$B53:$ED53)</f>
        <v>5358816.5453301277</v>
      </c>
      <c r="I53" s="292">
        <f>SUMIF('Torrance Pro Forma'!$B$8:$ED$8,'Annual Pro Forma'!I$8,'Torrance Pro Forma'!$B53:$ED53)</f>
        <v>4967816.2512618108</v>
      </c>
      <c r="J53" s="292">
        <f>SUMIF('Torrance Pro Forma'!$B$8:$ED$8,'Annual Pro Forma'!J$8,'Torrance Pro Forma'!$B53:$ED53)</f>
        <v>5067813.0259094611</v>
      </c>
      <c r="K53" s="292">
        <f>SUMIF('Torrance Pro Forma'!$B$8:$ED$8,'Annual Pro Forma'!K$8,'Torrance Pro Forma'!$B53:$ED53)</f>
        <v>5169804.1478853161</v>
      </c>
      <c r="L53" s="292">
        <f>SUMIF('Torrance Pro Forma'!$B$8:$ED$8,'Annual Pro Forma'!L$8,'Torrance Pro Forma'!$B53:$ED53)</f>
        <v>5273829.3364910008</v>
      </c>
      <c r="M53" s="292">
        <f>SUMIF('Torrance Pro Forma'!$B$8:$ED$8,'Annual Pro Forma'!M$8,'Torrance Pro Forma'!$B53:$ED53)</f>
        <v>5379929.1003848175</v>
      </c>
    </row>
    <row r="54" spans="1:13" ht="19.149999999999999" customHeight="1" x14ac:dyDescent="0.45">
      <c r="A54" s="279"/>
      <c r="B54" s="294"/>
      <c r="C54" s="294"/>
      <c r="D54" s="294"/>
      <c r="E54" s="294"/>
      <c r="F54" s="294"/>
      <c r="G54" s="294"/>
      <c r="H54" s="294"/>
      <c r="I54" s="294"/>
      <c r="J54" s="294"/>
      <c r="K54" s="294"/>
      <c r="L54" s="294"/>
      <c r="M54" s="294"/>
    </row>
    <row r="55" spans="1:13" ht="19.149999999999999" customHeight="1" x14ac:dyDescent="0.45">
      <c r="A55" s="279" t="s">
        <v>21</v>
      </c>
      <c r="B55" s="295"/>
      <c r="C55" s="295"/>
      <c r="D55" s="295"/>
      <c r="E55" s="295"/>
      <c r="F55" s="295"/>
      <c r="G55" s="295"/>
      <c r="H55" s="295"/>
      <c r="I55" s="295"/>
      <c r="J55" s="295"/>
      <c r="K55" s="295"/>
      <c r="L55" s="295"/>
      <c r="M55" s="295"/>
    </row>
    <row r="56" spans="1:13" ht="19.149999999999999" customHeight="1" x14ac:dyDescent="0.45">
      <c r="A56" s="293" t="s">
        <v>227</v>
      </c>
      <c r="B56" s="294"/>
      <c r="C56" s="294"/>
      <c r="D56" s="294"/>
      <c r="E56" s="294"/>
      <c r="F56" s="294"/>
      <c r="G56" s="294"/>
      <c r="H56" s="294"/>
      <c r="I56" s="294"/>
      <c r="J56" s="294"/>
      <c r="K56" s="294"/>
      <c r="L56" s="294"/>
      <c r="M56" s="294"/>
    </row>
    <row r="57" spans="1:13" ht="19.149999999999999" customHeight="1" x14ac:dyDescent="0.45">
      <c r="A57" s="293" t="s">
        <v>226</v>
      </c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</row>
    <row r="58" spans="1:13" ht="19.149999999999999" customHeight="1" x14ac:dyDescent="0.45">
      <c r="A58" s="282" t="s">
        <v>225</v>
      </c>
      <c r="B58" s="292"/>
      <c r="C58" s="292"/>
      <c r="D58" s="292"/>
      <c r="E58" s="292"/>
      <c r="F58" s="292"/>
      <c r="G58" s="292"/>
      <c r="H58" s="292"/>
      <c r="I58" s="292"/>
      <c r="J58" s="292"/>
      <c r="K58" s="292"/>
      <c r="L58" s="292"/>
      <c r="M58" s="292"/>
    </row>
    <row r="59" spans="1:13" ht="19.149999999999999" customHeight="1" x14ac:dyDescent="0.45">
      <c r="A59" s="282"/>
      <c r="B59" s="294"/>
      <c r="C59" s="294"/>
      <c r="D59" s="294"/>
      <c r="E59" s="294"/>
      <c r="F59" s="294"/>
      <c r="G59" s="294"/>
      <c r="H59" s="294"/>
      <c r="I59" s="294"/>
      <c r="J59" s="294"/>
      <c r="K59" s="294"/>
      <c r="L59" s="294"/>
      <c r="M59" s="294"/>
    </row>
    <row r="60" spans="1:13" ht="19.149999999999999" customHeight="1" x14ac:dyDescent="0.45">
      <c r="B60" s="295"/>
      <c r="C60" s="295"/>
      <c r="D60" s="295"/>
      <c r="E60" s="295"/>
      <c r="F60" s="295"/>
      <c r="G60" s="295"/>
      <c r="H60" s="295"/>
      <c r="I60" s="295"/>
      <c r="J60" s="295"/>
      <c r="K60" s="295"/>
      <c r="L60" s="295"/>
      <c r="M60" s="295"/>
    </row>
    <row r="61" spans="1:13" ht="19.149999999999999" customHeight="1" x14ac:dyDescent="0.45">
      <c r="A61" s="279" t="s">
        <v>192</v>
      </c>
      <c r="B61" s="295">
        <f>SUMIF('Torrance Pro Forma'!$B$8:$ED$8,'Annual Pro Forma'!B$8,'Torrance Pro Forma'!$B55:$ED55)</f>
        <v>0</v>
      </c>
      <c r="C61" s="295">
        <f>SUMIF('Torrance Pro Forma'!$B$8:$ED$8,'Annual Pro Forma'!C$8,'Torrance Pro Forma'!$B55:$ED55)</f>
        <v>0</v>
      </c>
      <c r="D61" s="295">
        <f>SUMIF('Torrance Pro Forma'!$B$8:$ED$8,'Annual Pro Forma'!D$8,'Torrance Pro Forma'!$B55:$ED55)</f>
        <v>0</v>
      </c>
      <c r="E61" s="295">
        <f>SUMIF('Torrance Pro Forma'!$B$8:$ED$8,'Annual Pro Forma'!E$8,'Torrance Pro Forma'!$B55:$ED55)</f>
        <v>0</v>
      </c>
      <c r="F61" s="295">
        <f>SUMIF('Torrance Pro Forma'!$B$8:$ED$8,'Annual Pro Forma'!F$8,'Torrance Pro Forma'!$B55:$ED55)</f>
        <v>0</v>
      </c>
      <c r="G61" s="295">
        <f>SUMIF('Torrance Pro Forma'!$B$8:$ED$8,'Annual Pro Forma'!G$8,'Torrance Pro Forma'!$B55:$ED55)</f>
        <v>0</v>
      </c>
      <c r="H61" s="295">
        <f>SUMIF('Torrance Pro Forma'!$B$8:$ED$8,'Annual Pro Forma'!H$8,'Torrance Pro Forma'!$B55:$ED55)</f>
        <v>0</v>
      </c>
      <c r="I61" s="295">
        <f>SUMIF('Torrance Pro Forma'!$B$8:$ED$8,'Annual Pro Forma'!I$8,'Torrance Pro Forma'!$B55:$ED55)</f>
        <v>0</v>
      </c>
      <c r="J61" s="295">
        <f>SUMIF('Torrance Pro Forma'!$B$8:$ED$8,'Annual Pro Forma'!J$8,'Torrance Pro Forma'!$B55:$ED55)</f>
        <v>0</v>
      </c>
      <c r="K61" s="295">
        <f>SUMIF('Torrance Pro Forma'!$B$8:$ED$8,'Annual Pro Forma'!K$8,'Torrance Pro Forma'!$B55:$ED55)</f>
        <v>0</v>
      </c>
      <c r="L61" s="295">
        <f>SUMIF('Torrance Pro Forma'!$B$8:$ED$8,'Annual Pro Forma'!L$8,'Torrance Pro Forma'!$B55:$ED55)</f>
        <v>0</v>
      </c>
      <c r="M61" s="295">
        <f>SUMIF('Torrance Pro Forma'!$B$8:$ED$8,'Annual Pro Forma'!M$8,'Torrance Pro Forma'!$B55:$ED55)</f>
        <v>0</v>
      </c>
    </row>
    <row r="62" spans="1:13" ht="19.149999999999999" customHeight="1" x14ac:dyDescent="0.45">
      <c r="A62" s="293" t="s">
        <v>132</v>
      </c>
      <c r="B62" s="294">
        <f>SUMIF('Torrance Pro Forma'!$B$8:$ED$8,'Annual Pro Forma'!B$8,'Torrance Pro Forma'!$B56:$ED56)</f>
        <v>0</v>
      </c>
      <c r="C62" s="294">
        <f>SUMIF('Torrance Pro Forma'!$B$8:$ED$8,'Annual Pro Forma'!C$8,'Torrance Pro Forma'!$B56:$ED56)</f>
        <v>0</v>
      </c>
      <c r="D62" s="294">
        <f>SUMIF('Torrance Pro Forma'!$B$8:$ED$8,'Annual Pro Forma'!D$8,'Torrance Pro Forma'!$B56:$ED56)</f>
        <v>0</v>
      </c>
      <c r="E62" s="294">
        <f>SUMIF('Torrance Pro Forma'!$B$8:$ED$8,'Annual Pro Forma'!E$8,'Torrance Pro Forma'!$B56:$ED56)</f>
        <v>0</v>
      </c>
      <c r="F62" s="294">
        <f>SUMIF('Torrance Pro Forma'!$B$8:$ED$8,'Annual Pro Forma'!F$8,'Torrance Pro Forma'!$B56:$ED56)</f>
        <v>0</v>
      </c>
      <c r="G62" s="294">
        <f>SUMIF('Torrance Pro Forma'!$B$8:$ED$8,'Annual Pro Forma'!G$8,'Torrance Pro Forma'!$B56:$ED56)</f>
        <v>0</v>
      </c>
      <c r="H62" s="294">
        <f>SUMIF('Torrance Pro Forma'!$B$8:$ED$8,'Annual Pro Forma'!H$8,'Torrance Pro Forma'!$B56:$ED56)</f>
        <v>550000</v>
      </c>
      <c r="I62" s="294">
        <f>SUMIF('Torrance Pro Forma'!$B$8:$ED$8,'Annual Pro Forma'!I$8,'Torrance Pro Forma'!$B56:$ED56)</f>
        <v>0</v>
      </c>
      <c r="J62" s="294">
        <f>SUMIF('Torrance Pro Forma'!$B$8:$ED$8,'Annual Pro Forma'!J$8,'Torrance Pro Forma'!$B56:$ED56)</f>
        <v>0</v>
      </c>
      <c r="K62" s="294">
        <f>SUMIF('Torrance Pro Forma'!$B$8:$ED$8,'Annual Pro Forma'!K$8,'Torrance Pro Forma'!$B56:$ED56)</f>
        <v>0</v>
      </c>
      <c r="L62" s="294">
        <f>SUMIF('Torrance Pro Forma'!$B$8:$ED$8,'Annual Pro Forma'!L$8,'Torrance Pro Forma'!$B56:$ED56)</f>
        <v>0</v>
      </c>
      <c r="M62" s="294">
        <f>SUMIF('Torrance Pro Forma'!$B$8:$ED$8,'Annual Pro Forma'!M$8,'Torrance Pro Forma'!$B56:$ED56)</f>
        <v>0</v>
      </c>
    </row>
    <row r="63" spans="1:13" ht="19.149999999999999" customHeight="1" x14ac:dyDescent="0.45">
      <c r="A63" s="293" t="s">
        <v>191</v>
      </c>
      <c r="B63" s="294">
        <f>SUMIF('Torrance Pro Forma'!$B$8:$ED$8,'Annual Pro Forma'!B$8,'Torrance Pro Forma'!$B57:$ED57)</f>
        <v>0</v>
      </c>
      <c r="C63" s="294">
        <f>SUMIF('Torrance Pro Forma'!$B$8:$ED$8,'Annual Pro Forma'!C$8,'Torrance Pro Forma'!$B57:$ED57)</f>
        <v>0</v>
      </c>
      <c r="D63" s="294">
        <f>SUMIF('Torrance Pro Forma'!$B$8:$ED$8,'Annual Pro Forma'!D$8,'Torrance Pro Forma'!$B57:$ED57)</f>
        <v>0</v>
      </c>
      <c r="E63" s="294">
        <f>SUMIF('Torrance Pro Forma'!$B$8:$ED$8,'Annual Pro Forma'!E$8,'Torrance Pro Forma'!$B57:$ED57)</f>
        <v>0</v>
      </c>
      <c r="F63" s="294">
        <f>SUMIF('Torrance Pro Forma'!$B$8:$ED$8,'Annual Pro Forma'!F$8,'Torrance Pro Forma'!$B57:$ED57)</f>
        <v>0</v>
      </c>
      <c r="G63" s="294">
        <f>SUMIF('Torrance Pro Forma'!$B$8:$ED$8,'Annual Pro Forma'!G$8,'Torrance Pro Forma'!$B57:$ED57)</f>
        <v>317625</v>
      </c>
      <c r="H63" s="294">
        <f>SUMIF('Torrance Pro Forma'!$B$8:$ED$8,'Annual Pro Forma'!H$8,'Torrance Pro Forma'!$B57:$ED57)</f>
        <v>635250</v>
      </c>
      <c r="I63" s="294">
        <f>SUMIF('Torrance Pro Forma'!$B$8:$ED$8,'Annual Pro Forma'!I$8,'Torrance Pro Forma'!$B57:$ED57)</f>
        <v>0</v>
      </c>
      <c r="J63" s="294">
        <f>SUMIF('Torrance Pro Forma'!$B$8:$ED$8,'Annual Pro Forma'!J$8,'Torrance Pro Forma'!$B57:$ED57)</f>
        <v>0</v>
      </c>
      <c r="K63" s="294">
        <f>SUMIF('Torrance Pro Forma'!$B$8:$ED$8,'Annual Pro Forma'!K$8,'Torrance Pro Forma'!$B57:$ED57)</f>
        <v>0</v>
      </c>
      <c r="L63" s="294">
        <f>SUMIF('Torrance Pro Forma'!$B$8:$ED$8,'Annual Pro Forma'!L$8,'Torrance Pro Forma'!$B57:$ED57)</f>
        <v>0</v>
      </c>
      <c r="M63" s="294">
        <f>SUMIF('Torrance Pro Forma'!$B$8:$ED$8,'Annual Pro Forma'!M$8,'Torrance Pro Forma'!$B57:$ED57)</f>
        <v>0</v>
      </c>
    </row>
    <row r="64" spans="1:13" ht="19.149999999999999" customHeight="1" x14ac:dyDescent="0.45">
      <c r="A64" s="282" t="s">
        <v>190</v>
      </c>
      <c r="B64" s="292">
        <f>SUMIF('Torrance Pro Forma'!$B$8:$ED$8,'Annual Pro Forma'!B$8,'Torrance Pro Forma'!$B58:$ED58)</f>
        <v>0</v>
      </c>
      <c r="C64" s="292">
        <f>SUMIF('Torrance Pro Forma'!$B$8:$ED$8,'Annual Pro Forma'!C$8,'Torrance Pro Forma'!$B58:$ED58)</f>
        <v>0</v>
      </c>
      <c r="D64" s="292">
        <f>SUMIF('Torrance Pro Forma'!$B$8:$ED$8,'Annual Pro Forma'!D$8,'Torrance Pro Forma'!$B58:$ED58)</f>
        <v>0</v>
      </c>
      <c r="E64" s="292">
        <f>SUMIF('Torrance Pro Forma'!$B$8:$ED$8,'Annual Pro Forma'!E$8,'Torrance Pro Forma'!$B58:$ED58)</f>
        <v>0</v>
      </c>
      <c r="F64" s="292">
        <f>SUMIF('Torrance Pro Forma'!$B$8:$ED$8,'Annual Pro Forma'!F$8,'Torrance Pro Forma'!$B58:$ED58)</f>
        <v>0</v>
      </c>
      <c r="G64" s="292">
        <f>SUMIF('Torrance Pro Forma'!$B$8:$ED$8,'Annual Pro Forma'!G$8,'Torrance Pro Forma'!$B58:$ED58)</f>
        <v>317625</v>
      </c>
      <c r="H64" s="292">
        <f>SUMIF('Torrance Pro Forma'!$B$8:$ED$8,'Annual Pro Forma'!H$8,'Torrance Pro Forma'!$B58:$ED58)</f>
        <v>1185250</v>
      </c>
      <c r="I64" s="292">
        <f>SUMIF('Torrance Pro Forma'!$B$8:$ED$8,'Annual Pro Forma'!I$8,'Torrance Pro Forma'!$B58:$ED58)</f>
        <v>0</v>
      </c>
      <c r="J64" s="292">
        <f>SUMIF('Torrance Pro Forma'!$B$8:$ED$8,'Annual Pro Forma'!J$8,'Torrance Pro Forma'!$B58:$ED58)</f>
        <v>0</v>
      </c>
      <c r="K64" s="292">
        <f>SUMIF('Torrance Pro Forma'!$B$8:$ED$8,'Annual Pro Forma'!K$8,'Torrance Pro Forma'!$B58:$ED58)</f>
        <v>0</v>
      </c>
      <c r="L64" s="292">
        <f>SUMIF('Torrance Pro Forma'!$B$8:$ED$8,'Annual Pro Forma'!L$8,'Torrance Pro Forma'!$B58:$ED58)</f>
        <v>0</v>
      </c>
      <c r="M64" s="292">
        <f>SUMIF('Torrance Pro Forma'!$B$8:$ED$8,'Annual Pro Forma'!M$8,'Torrance Pro Forma'!$B58:$ED58)</f>
        <v>0</v>
      </c>
    </row>
    <row r="65" spans="1:13" ht="19.149999999999999" customHeight="1" x14ac:dyDescent="0.45">
      <c r="A65" s="290" t="s">
        <v>182</v>
      </c>
      <c r="B65" s="295">
        <f>SUMIF('Torrance Pro Forma'!$B$8:$ED$8,'Annual Pro Forma'!B$8,'Torrance Pro Forma'!$B59:$ED59)</f>
        <v>0</v>
      </c>
      <c r="C65" s="295">
        <f>SUMIF('Torrance Pro Forma'!$B$8:$ED$8,'Annual Pro Forma'!C$8,'Torrance Pro Forma'!$B59:$ED59)</f>
        <v>0</v>
      </c>
      <c r="D65" s="295">
        <f>SUMIF('Torrance Pro Forma'!$B$8:$ED$8,'Annual Pro Forma'!D$8,'Torrance Pro Forma'!$B59:$ED59)</f>
        <v>0</v>
      </c>
      <c r="E65" s="295">
        <f>SUMIF('Torrance Pro Forma'!$B$8:$ED$8,'Annual Pro Forma'!E$8,'Torrance Pro Forma'!$B59:$ED59)</f>
        <v>0</v>
      </c>
      <c r="F65" s="295">
        <f>SUMIF('Torrance Pro Forma'!$B$8:$ED$8,'Annual Pro Forma'!F$8,'Torrance Pro Forma'!$B59:$ED59)</f>
        <v>0</v>
      </c>
      <c r="G65" s="295">
        <f>SUMIF('Torrance Pro Forma'!$B$8:$ED$8,'Annual Pro Forma'!G$8,'Torrance Pro Forma'!$B59:$ED59)</f>
        <v>317625</v>
      </c>
      <c r="H65" s="295">
        <f>SUMIF('Torrance Pro Forma'!$B$8:$ED$8,'Annual Pro Forma'!H$8,'Torrance Pro Forma'!$B59:$ED59)</f>
        <v>1185250</v>
      </c>
      <c r="I65" s="295">
        <f>SUMIF('Torrance Pro Forma'!$B$8:$ED$8,'Annual Pro Forma'!I$8,'Torrance Pro Forma'!$B59:$ED59)</f>
        <v>0</v>
      </c>
      <c r="J65" s="295">
        <f>SUMIF('Torrance Pro Forma'!$B$8:$ED$8,'Annual Pro Forma'!J$8,'Torrance Pro Forma'!$B59:$ED59)</f>
        <v>0</v>
      </c>
      <c r="K65" s="295">
        <f>SUMIF('Torrance Pro Forma'!$B$8:$ED$8,'Annual Pro Forma'!K$8,'Torrance Pro Forma'!$B59:$ED59)</f>
        <v>0</v>
      </c>
      <c r="L65" s="295">
        <f>SUMIF('Torrance Pro Forma'!$B$8:$ED$8,'Annual Pro Forma'!L$8,'Torrance Pro Forma'!$B59:$ED59)</f>
        <v>0</v>
      </c>
      <c r="M65" s="295">
        <f>SUMIF('Torrance Pro Forma'!$B$8:$ED$8,'Annual Pro Forma'!M$8,'Torrance Pro Forma'!$B59:$ED59)</f>
        <v>0</v>
      </c>
    </row>
    <row r="66" spans="1:13" ht="19.149999999999999" customHeight="1" x14ac:dyDescent="0.45">
      <c r="A66" s="279" t="s">
        <v>189</v>
      </c>
      <c r="B66" s="295">
        <f>SUMIF('Torrance Pro Forma'!$B$8:$ED$8,'Annual Pro Forma'!B$8,'Torrance Pro Forma'!$B60:$ED60)</f>
        <v>0</v>
      </c>
      <c r="C66" s="295">
        <f>SUMIF('Torrance Pro Forma'!$B$8:$ED$8,'Annual Pro Forma'!C$8,'Torrance Pro Forma'!$B60:$ED60)</f>
        <v>0</v>
      </c>
      <c r="D66" s="295">
        <f>SUMIF('Torrance Pro Forma'!$B$8:$ED$8,'Annual Pro Forma'!D$8,'Torrance Pro Forma'!$B60:$ED60)</f>
        <v>0</v>
      </c>
      <c r="E66" s="295">
        <f>SUMIF('Torrance Pro Forma'!$B$8:$ED$8,'Annual Pro Forma'!E$8,'Torrance Pro Forma'!$B60:$ED60)</f>
        <v>0</v>
      </c>
      <c r="F66" s="295">
        <f>SUMIF('Torrance Pro Forma'!$B$8:$ED$8,'Annual Pro Forma'!F$8,'Torrance Pro Forma'!$B60:$ED60)</f>
        <v>0</v>
      </c>
      <c r="G66" s="295">
        <f>SUMIF('Torrance Pro Forma'!$B$8:$ED$8,'Annual Pro Forma'!G$8,'Torrance Pro Forma'!$B60:$ED60)</f>
        <v>0</v>
      </c>
      <c r="H66" s="295">
        <f>SUMIF('Torrance Pro Forma'!$B$8:$ED$8,'Annual Pro Forma'!H$8,'Torrance Pro Forma'!$B60:$ED60)</f>
        <v>0</v>
      </c>
      <c r="I66" s="295">
        <f>SUMIF('Torrance Pro Forma'!$B$8:$ED$8,'Annual Pro Forma'!I$8,'Torrance Pro Forma'!$B60:$ED60)</f>
        <v>0</v>
      </c>
      <c r="J66" s="295">
        <f>SUMIF('Torrance Pro Forma'!$B$8:$ED$8,'Annual Pro Forma'!J$8,'Torrance Pro Forma'!$B60:$ED60)</f>
        <v>0</v>
      </c>
      <c r="K66" s="295">
        <f>SUMIF('Torrance Pro Forma'!$B$8:$ED$8,'Annual Pro Forma'!K$8,'Torrance Pro Forma'!$B60:$ED60)</f>
        <v>0</v>
      </c>
      <c r="L66" s="295">
        <f>SUMIF('Torrance Pro Forma'!$B$8:$ED$8,'Annual Pro Forma'!L$8,'Torrance Pro Forma'!$B60:$ED60)</f>
        <v>0</v>
      </c>
      <c r="M66" s="295">
        <f>SUMIF('Torrance Pro Forma'!$B$8:$ED$8,'Annual Pro Forma'!M$8,'Torrance Pro Forma'!$B60:$ED60)</f>
        <v>0</v>
      </c>
    </row>
    <row r="67" spans="1:13" ht="19.149999999999999" customHeight="1" x14ac:dyDescent="0.45">
      <c r="A67" s="280" t="s">
        <v>146</v>
      </c>
      <c r="B67" s="294">
        <f>SUMIF('Torrance Pro Forma'!$B$8:$ED$8,'Annual Pro Forma'!B$8,'Torrance Pro Forma'!$B61:$ED61)</f>
        <v>0</v>
      </c>
      <c r="C67" s="294">
        <f>SUMIF('Torrance Pro Forma'!$B$8:$ED$8,'Annual Pro Forma'!C$8,'Torrance Pro Forma'!$B61:$ED61)</f>
        <v>137499.99999999997</v>
      </c>
      <c r="D67" s="294">
        <f>SUMIF('Torrance Pro Forma'!$B$8:$ED$8,'Annual Pro Forma'!D$8,'Torrance Pro Forma'!$B61:$ED61)</f>
        <v>140250</v>
      </c>
      <c r="E67" s="294">
        <f>SUMIF('Torrance Pro Forma'!$B$8:$ED$8,'Annual Pro Forma'!E$8,'Torrance Pro Forma'!$B61:$ED61)</f>
        <v>143055</v>
      </c>
      <c r="F67" s="294">
        <f>SUMIF('Torrance Pro Forma'!$B$8:$ED$8,'Annual Pro Forma'!F$8,'Torrance Pro Forma'!$B61:$ED61)</f>
        <v>145916.1</v>
      </c>
      <c r="G67" s="294">
        <f>SUMIF('Torrance Pro Forma'!$B$8:$ED$8,'Annual Pro Forma'!G$8,'Torrance Pro Forma'!$B61:$ED61)</f>
        <v>148834.42199999999</v>
      </c>
      <c r="H67" s="294">
        <f>SUMIF('Torrance Pro Forma'!$B$8:$ED$8,'Annual Pro Forma'!H$8,'Torrance Pro Forma'!$B61:$ED61)</f>
        <v>151811.11044000005</v>
      </c>
      <c r="I67" s="294">
        <f>SUMIF('Torrance Pro Forma'!$B$8:$ED$8,'Annual Pro Forma'!I$8,'Torrance Pro Forma'!$B61:$ED61)</f>
        <v>154847.33264880002</v>
      </c>
      <c r="J67" s="294">
        <f>SUMIF('Torrance Pro Forma'!$B$8:$ED$8,'Annual Pro Forma'!J$8,'Torrance Pro Forma'!$B61:$ED61)</f>
        <v>157944.27930177597</v>
      </c>
      <c r="K67" s="294">
        <f>SUMIF('Torrance Pro Forma'!$B$8:$ED$8,'Annual Pro Forma'!K$8,'Torrance Pro Forma'!$B61:$ED61)</f>
        <v>161103.16488781152</v>
      </c>
      <c r="L67" s="294">
        <f>SUMIF('Torrance Pro Forma'!$B$8:$ED$8,'Annual Pro Forma'!L$8,'Torrance Pro Forma'!$B61:$ED61)</f>
        <v>164325.22818556768</v>
      </c>
      <c r="M67" s="294">
        <f>SUMIF('Torrance Pro Forma'!$B$8:$ED$8,'Annual Pro Forma'!M$8,'Torrance Pro Forma'!$B61:$ED61)</f>
        <v>167611.73274927912</v>
      </c>
    </row>
    <row r="68" spans="1:13" ht="19.149999999999999" customHeight="1" x14ac:dyDescent="0.45">
      <c r="A68" s="280" t="s">
        <v>188</v>
      </c>
      <c r="B68" s="292">
        <f>SUMIF('Torrance Pro Forma'!$B$8:$ED$8,'Annual Pro Forma'!B$8,'Torrance Pro Forma'!$B62:$ED62)</f>
        <v>0</v>
      </c>
      <c r="C68" s="292">
        <f>SUMIF('Torrance Pro Forma'!$B$8:$ED$8,'Annual Pro Forma'!C$8,'Torrance Pro Forma'!$B62:$ED62)</f>
        <v>0</v>
      </c>
      <c r="D68" s="292">
        <f>SUMIF('Torrance Pro Forma'!$B$8:$ED$8,'Annual Pro Forma'!D$8,'Torrance Pro Forma'!$B62:$ED62)</f>
        <v>0</v>
      </c>
      <c r="E68" s="292">
        <f>SUMIF('Torrance Pro Forma'!$B$8:$ED$8,'Annual Pro Forma'!E$8,'Torrance Pro Forma'!$B62:$ED62)</f>
        <v>0</v>
      </c>
      <c r="F68" s="292">
        <f>SUMIF('Torrance Pro Forma'!$B$8:$ED$8,'Annual Pro Forma'!F$8,'Torrance Pro Forma'!$B62:$ED62)</f>
        <v>1539999.9999999998</v>
      </c>
      <c r="G68" s="292">
        <f>SUMIF('Torrance Pro Forma'!$B$8:$ED$8,'Annual Pro Forma'!G$8,'Torrance Pro Forma'!$B62:$ED62)</f>
        <v>0</v>
      </c>
      <c r="H68" s="292">
        <f>SUMIF('Torrance Pro Forma'!$B$8:$ED$8,'Annual Pro Forma'!H$8,'Torrance Pro Forma'!$B62:$ED62)</f>
        <v>0</v>
      </c>
      <c r="I68" s="292">
        <f>SUMIF('Torrance Pro Forma'!$B$8:$ED$8,'Annual Pro Forma'!I$8,'Torrance Pro Forma'!$B62:$ED62)</f>
        <v>0</v>
      </c>
      <c r="J68" s="292">
        <f>SUMIF('Torrance Pro Forma'!$B$8:$ED$8,'Annual Pro Forma'!J$8,'Torrance Pro Forma'!$B62:$ED62)</f>
        <v>0</v>
      </c>
      <c r="K68" s="292">
        <f>SUMIF('Torrance Pro Forma'!$B$8:$ED$8,'Annual Pro Forma'!K$8,'Torrance Pro Forma'!$B62:$ED62)</f>
        <v>0</v>
      </c>
      <c r="L68" s="292">
        <f>SUMIF('Torrance Pro Forma'!$B$8:$ED$8,'Annual Pro Forma'!L$8,'Torrance Pro Forma'!$B62:$ED62)</f>
        <v>0</v>
      </c>
      <c r="M68" s="292">
        <f>SUMIF('Torrance Pro Forma'!$B$8:$ED$8,'Annual Pro Forma'!M$8,'Torrance Pro Forma'!$B62:$ED62)</f>
        <v>0</v>
      </c>
    </row>
    <row r="69" spans="1:13" ht="19.149999999999999" customHeight="1" x14ac:dyDescent="0.45">
      <c r="A69" s="282" t="s">
        <v>187</v>
      </c>
      <c r="B69" s="292">
        <f>SUMIF('Torrance Pro Forma'!$B$8:$ED$8,'Annual Pro Forma'!B$8,'Torrance Pro Forma'!$B63:$ED63)</f>
        <v>0</v>
      </c>
      <c r="C69" s="292">
        <f>SUMIF('Torrance Pro Forma'!$B$8:$ED$8,'Annual Pro Forma'!C$8,'Torrance Pro Forma'!$B63:$ED63)</f>
        <v>137499.99999999997</v>
      </c>
      <c r="D69" s="292">
        <f>SUMIF('Torrance Pro Forma'!$B$8:$ED$8,'Annual Pro Forma'!D$8,'Torrance Pro Forma'!$B63:$ED63)</f>
        <v>140250</v>
      </c>
      <c r="E69" s="292">
        <f>SUMIF('Torrance Pro Forma'!$B$8:$ED$8,'Annual Pro Forma'!E$8,'Torrance Pro Forma'!$B63:$ED63)</f>
        <v>143055</v>
      </c>
      <c r="F69" s="292">
        <f>SUMIF('Torrance Pro Forma'!$B$8:$ED$8,'Annual Pro Forma'!F$8,'Torrance Pro Forma'!$B63:$ED63)</f>
        <v>1685916.0999999999</v>
      </c>
      <c r="G69" s="292">
        <f>SUMIF('Torrance Pro Forma'!$B$8:$ED$8,'Annual Pro Forma'!G$8,'Torrance Pro Forma'!$B63:$ED63)</f>
        <v>148834.42199999999</v>
      </c>
      <c r="H69" s="292">
        <f>SUMIF('Torrance Pro Forma'!$B$8:$ED$8,'Annual Pro Forma'!H$8,'Torrance Pro Forma'!$B63:$ED63)</f>
        <v>151811.11044000005</v>
      </c>
      <c r="I69" s="292">
        <f>SUMIF('Torrance Pro Forma'!$B$8:$ED$8,'Annual Pro Forma'!I$8,'Torrance Pro Forma'!$B63:$ED63)</f>
        <v>154847.33264880002</v>
      </c>
      <c r="J69" s="292">
        <f>SUMIF('Torrance Pro Forma'!$B$8:$ED$8,'Annual Pro Forma'!J$8,'Torrance Pro Forma'!$B63:$ED63)</f>
        <v>157944.27930177597</v>
      </c>
      <c r="K69" s="292">
        <f>SUMIF('Torrance Pro Forma'!$B$8:$ED$8,'Annual Pro Forma'!K$8,'Torrance Pro Forma'!$B63:$ED63)</f>
        <v>161103.16488781152</v>
      </c>
      <c r="L69" s="292">
        <f>SUMIF('Torrance Pro Forma'!$B$8:$ED$8,'Annual Pro Forma'!L$8,'Torrance Pro Forma'!$B63:$ED63)</f>
        <v>164325.22818556768</v>
      </c>
      <c r="M69" s="292">
        <f>SUMIF('Torrance Pro Forma'!$B$8:$ED$8,'Annual Pro Forma'!M$8,'Torrance Pro Forma'!$B63:$ED63)</f>
        <v>167611.73274927912</v>
      </c>
    </row>
    <row r="70" spans="1:13" ht="19.149999999999999" customHeight="1" x14ac:dyDescent="0.45">
      <c r="B70" s="295"/>
      <c r="C70" s="295"/>
      <c r="D70" s="295"/>
      <c r="E70" s="295"/>
      <c r="F70" s="295"/>
      <c r="G70" s="295"/>
      <c r="H70" s="295"/>
      <c r="I70" s="295"/>
      <c r="J70" s="295"/>
      <c r="K70" s="295"/>
      <c r="L70" s="295"/>
      <c r="M70" s="295"/>
    </row>
    <row r="71" spans="1:13" ht="19.149999999999999" customHeight="1" x14ac:dyDescent="0.45">
      <c r="A71" s="282" t="s">
        <v>186</v>
      </c>
      <c r="B71" s="292">
        <f>SUMIF('Torrance Pro Forma'!$B$8:$ED$8,'Annual Pro Forma'!B$8,'Torrance Pro Forma'!$B65:$ED65)</f>
        <v>0</v>
      </c>
      <c r="C71" s="292">
        <f>SUMIF('Torrance Pro Forma'!$B$8:$ED$8,'Annual Pro Forma'!C$8,'Torrance Pro Forma'!$B65:$ED65)</f>
        <v>137499.99999999997</v>
      </c>
      <c r="D71" s="292">
        <f>SUMIF('Torrance Pro Forma'!$B$8:$ED$8,'Annual Pro Forma'!D$8,'Torrance Pro Forma'!$B65:$ED65)</f>
        <v>140250</v>
      </c>
      <c r="E71" s="292">
        <f>SUMIF('Torrance Pro Forma'!$B$8:$ED$8,'Annual Pro Forma'!E$8,'Torrance Pro Forma'!$B65:$ED65)</f>
        <v>143055</v>
      </c>
      <c r="F71" s="292">
        <f>SUMIF('Torrance Pro Forma'!$B$8:$ED$8,'Annual Pro Forma'!F$8,'Torrance Pro Forma'!$B65:$ED65)</f>
        <v>1685916.0999999999</v>
      </c>
      <c r="G71" s="292">
        <f>SUMIF('Torrance Pro Forma'!$B$8:$ED$8,'Annual Pro Forma'!G$8,'Torrance Pro Forma'!$B65:$ED65)</f>
        <v>466459.42199999996</v>
      </c>
      <c r="H71" s="292">
        <f>SUMIF('Torrance Pro Forma'!$B$8:$ED$8,'Annual Pro Forma'!H$8,'Torrance Pro Forma'!$B65:$ED65)</f>
        <v>1337061.1104399993</v>
      </c>
      <c r="I71" s="292">
        <f>SUMIF('Torrance Pro Forma'!$B$8:$ED$8,'Annual Pro Forma'!I$8,'Torrance Pro Forma'!$B65:$ED65)</f>
        <v>154847.33264880002</v>
      </c>
      <c r="J71" s="292">
        <f>SUMIF('Torrance Pro Forma'!$B$8:$ED$8,'Annual Pro Forma'!J$8,'Torrance Pro Forma'!$B65:$ED65)</f>
        <v>157944.27930177597</v>
      </c>
      <c r="K71" s="292">
        <f>SUMIF('Torrance Pro Forma'!$B$8:$ED$8,'Annual Pro Forma'!K$8,'Torrance Pro Forma'!$B65:$ED65)</f>
        <v>161103.16488781152</v>
      </c>
      <c r="L71" s="292">
        <f>SUMIF('Torrance Pro Forma'!$B$8:$ED$8,'Annual Pro Forma'!L$8,'Torrance Pro Forma'!$B65:$ED65)</f>
        <v>164325.22818556768</v>
      </c>
      <c r="M71" s="292">
        <f>SUMIF('Torrance Pro Forma'!$B$8:$ED$8,'Annual Pro Forma'!M$8,'Torrance Pro Forma'!$B65:$ED65)</f>
        <v>167611.73274927912</v>
      </c>
    </row>
    <row r="72" spans="1:13" ht="19.149999999999999" customHeight="1" x14ac:dyDescent="0.45">
      <c r="A72" s="282"/>
      <c r="B72" s="294">
        <f>SUMIF('Torrance Pro Forma'!$B$8:$ED$8,'Annual Pro Forma'!B$8,'Torrance Pro Forma'!$B66:$ED66)</f>
        <v>0</v>
      </c>
      <c r="C72" s="294">
        <f>SUMIF('Torrance Pro Forma'!$B$8:$ED$8,'Annual Pro Forma'!C$8,'Torrance Pro Forma'!$B66:$ED66)</f>
        <v>0</v>
      </c>
      <c r="D72" s="294">
        <f>SUMIF('Torrance Pro Forma'!$B$8:$ED$8,'Annual Pro Forma'!D$8,'Torrance Pro Forma'!$B66:$ED66)</f>
        <v>0</v>
      </c>
      <c r="E72" s="294">
        <f>SUMIF('Torrance Pro Forma'!$B$8:$ED$8,'Annual Pro Forma'!E$8,'Torrance Pro Forma'!$B66:$ED66)</f>
        <v>0</v>
      </c>
      <c r="F72" s="294">
        <f>SUMIF('Torrance Pro Forma'!$B$8:$ED$8,'Annual Pro Forma'!F$8,'Torrance Pro Forma'!$B66:$ED66)</f>
        <v>0</v>
      </c>
      <c r="G72" s="294">
        <f>SUMIF('Torrance Pro Forma'!$B$8:$ED$8,'Annual Pro Forma'!G$8,'Torrance Pro Forma'!$B66:$ED66)</f>
        <v>0</v>
      </c>
      <c r="H72" s="294">
        <f>SUMIF('Torrance Pro Forma'!$B$8:$ED$8,'Annual Pro Forma'!H$8,'Torrance Pro Forma'!$B66:$ED66)</f>
        <v>0</v>
      </c>
      <c r="I72" s="294">
        <f>SUMIF('Torrance Pro Forma'!$B$8:$ED$8,'Annual Pro Forma'!I$8,'Torrance Pro Forma'!$B66:$ED66)</f>
        <v>0</v>
      </c>
      <c r="J72" s="294">
        <f>SUMIF('Torrance Pro Forma'!$B$8:$ED$8,'Annual Pro Forma'!J$8,'Torrance Pro Forma'!$B66:$ED66)</f>
        <v>0</v>
      </c>
      <c r="K72" s="294">
        <f>SUMIF('Torrance Pro Forma'!$B$8:$ED$8,'Annual Pro Forma'!K$8,'Torrance Pro Forma'!$B66:$ED66)</f>
        <v>0</v>
      </c>
      <c r="L72" s="294">
        <f>SUMIF('Torrance Pro Forma'!$B$8:$ED$8,'Annual Pro Forma'!L$8,'Torrance Pro Forma'!$B66:$ED66)</f>
        <v>0</v>
      </c>
      <c r="M72" s="294">
        <f>SUMIF('Torrance Pro Forma'!$B$8:$ED$8,'Annual Pro Forma'!M$8,'Torrance Pro Forma'!$B66:$ED66)</f>
        <v>0</v>
      </c>
    </row>
    <row r="73" spans="1:13" ht="19.149999999999999" customHeight="1" x14ac:dyDescent="0.45">
      <c r="A73" s="279" t="s">
        <v>185</v>
      </c>
      <c r="B73" s="294">
        <f>SUMIF('Torrance Pro Forma'!$B$8:$ED$8,'Annual Pro Forma'!B$8,'Torrance Pro Forma'!$B67:$ED67)</f>
        <v>0</v>
      </c>
      <c r="C73" s="294">
        <f>SUMIF('Torrance Pro Forma'!$B$8:$ED$8,'Annual Pro Forma'!C$8,'Torrance Pro Forma'!$B67:$ED67)</f>
        <v>0</v>
      </c>
      <c r="D73" s="294">
        <f>SUMIF('Torrance Pro Forma'!$B$8:$ED$8,'Annual Pro Forma'!D$8,'Torrance Pro Forma'!$B67:$ED67)</f>
        <v>0</v>
      </c>
      <c r="E73" s="294">
        <f>SUMIF('Torrance Pro Forma'!$B$8:$ED$8,'Annual Pro Forma'!E$8,'Torrance Pro Forma'!$B67:$ED67)</f>
        <v>0</v>
      </c>
      <c r="F73" s="294">
        <f>SUMIF('Torrance Pro Forma'!$B$8:$ED$8,'Annual Pro Forma'!F$8,'Torrance Pro Forma'!$B67:$ED67)</f>
        <v>0</v>
      </c>
      <c r="G73" s="294">
        <f>SUMIF('Torrance Pro Forma'!$B$8:$ED$8,'Annual Pro Forma'!G$8,'Torrance Pro Forma'!$B67:$ED67)</f>
        <v>0</v>
      </c>
      <c r="H73" s="294">
        <f>SUMIF('Torrance Pro Forma'!$B$8:$ED$8,'Annual Pro Forma'!H$8,'Torrance Pro Forma'!$B67:$ED67)</f>
        <v>0</v>
      </c>
      <c r="I73" s="294">
        <f>SUMIF('Torrance Pro Forma'!$B$8:$ED$8,'Annual Pro Forma'!I$8,'Torrance Pro Forma'!$B67:$ED67)</f>
        <v>0</v>
      </c>
      <c r="J73" s="294">
        <f>SUMIF('Torrance Pro Forma'!$B$8:$ED$8,'Annual Pro Forma'!J$8,'Torrance Pro Forma'!$B67:$ED67)</f>
        <v>0</v>
      </c>
      <c r="K73" s="294">
        <f>SUMIF('Torrance Pro Forma'!$B$8:$ED$8,'Annual Pro Forma'!K$8,'Torrance Pro Forma'!$B67:$ED67)</f>
        <v>0</v>
      </c>
      <c r="L73" s="294">
        <f>SUMIF('Torrance Pro Forma'!$B$8:$ED$8,'Annual Pro Forma'!L$8,'Torrance Pro Forma'!$B67:$ED67)</f>
        <v>0</v>
      </c>
      <c r="M73" s="294">
        <f>SUMIF('Torrance Pro Forma'!$B$8:$ED$8,'Annual Pro Forma'!M$8,'Torrance Pro Forma'!$B67:$ED67)</f>
        <v>0</v>
      </c>
    </row>
    <row r="74" spans="1:13" ht="19.149999999999999" customHeight="1" x14ac:dyDescent="0.45">
      <c r="A74" s="293" t="s">
        <v>63</v>
      </c>
      <c r="B74" s="294">
        <f>SUMIF('Torrance Pro Forma'!$B$8:$ED$8,'Annual Pro Forma'!B$8,'Torrance Pro Forma'!$B68:$ED68)</f>
        <v>0</v>
      </c>
      <c r="C74" s="294">
        <f>SUMIF('Torrance Pro Forma'!$B$8:$ED$8,'Annual Pro Forma'!C$8,'Torrance Pro Forma'!$B68:$ED68)</f>
        <v>0</v>
      </c>
      <c r="D74" s="294">
        <f>SUMIF('Torrance Pro Forma'!$B$8:$ED$8,'Annual Pro Forma'!D$8,'Torrance Pro Forma'!$B68:$ED68)</f>
        <v>0</v>
      </c>
      <c r="E74" s="294">
        <f>SUMIF('Torrance Pro Forma'!$B$8:$ED$8,'Annual Pro Forma'!E$8,'Torrance Pro Forma'!$B68:$ED68)</f>
        <v>0</v>
      </c>
      <c r="F74" s="294">
        <f>SUMIF('Torrance Pro Forma'!$B$8:$ED$8,'Annual Pro Forma'!F$8,'Torrance Pro Forma'!$B68:$ED68)</f>
        <v>0</v>
      </c>
      <c r="G74" s="294">
        <f>SUMIF('Torrance Pro Forma'!$B$8:$ED$8,'Annual Pro Forma'!G$8,'Torrance Pro Forma'!$B68:$ED68)</f>
        <v>1500000</v>
      </c>
      <c r="H74" s="294">
        <f>SUMIF('Torrance Pro Forma'!$B$8:$ED$8,'Annual Pro Forma'!H$8,'Torrance Pro Forma'!$B68:$ED68)</f>
        <v>1500000</v>
      </c>
      <c r="I74" s="294">
        <f>SUMIF('Torrance Pro Forma'!$B$8:$ED$8,'Annual Pro Forma'!I$8,'Torrance Pro Forma'!$B68:$ED68)</f>
        <v>0</v>
      </c>
      <c r="J74" s="294">
        <f>SUMIF('Torrance Pro Forma'!$B$8:$ED$8,'Annual Pro Forma'!J$8,'Torrance Pro Forma'!$B68:$ED68)</f>
        <v>0</v>
      </c>
      <c r="K74" s="294">
        <f>SUMIF('Torrance Pro Forma'!$B$8:$ED$8,'Annual Pro Forma'!K$8,'Torrance Pro Forma'!$B68:$ED68)</f>
        <v>0</v>
      </c>
      <c r="L74" s="294">
        <f>SUMIF('Torrance Pro Forma'!$B$8:$ED$8,'Annual Pro Forma'!L$8,'Torrance Pro Forma'!$B68:$ED68)</f>
        <v>0</v>
      </c>
      <c r="M74" s="294">
        <f>SUMIF('Torrance Pro Forma'!$B$8:$ED$8,'Annual Pro Forma'!M$8,'Torrance Pro Forma'!$B68:$ED68)</f>
        <v>0</v>
      </c>
    </row>
    <row r="75" spans="1:13" ht="19.149999999999999" customHeight="1" x14ac:dyDescent="0.45">
      <c r="A75" s="293" t="s">
        <v>62</v>
      </c>
      <c r="B75" s="294">
        <f>SUMIF('Torrance Pro Forma'!$B$8:$ED$8,'Annual Pro Forma'!B$8,'Torrance Pro Forma'!$B69:$ED69)</f>
        <v>0</v>
      </c>
      <c r="C75" s="294">
        <f>SUMIF('Torrance Pro Forma'!$B$8:$ED$8,'Annual Pro Forma'!C$8,'Torrance Pro Forma'!$B69:$ED69)</f>
        <v>0</v>
      </c>
      <c r="D75" s="294">
        <f>SUMIF('Torrance Pro Forma'!$B$8:$ED$8,'Annual Pro Forma'!D$8,'Torrance Pro Forma'!$B69:$ED69)</f>
        <v>0</v>
      </c>
      <c r="E75" s="294">
        <f>SUMIF('Torrance Pro Forma'!$B$8:$ED$8,'Annual Pro Forma'!E$8,'Torrance Pro Forma'!$B69:$ED69)</f>
        <v>0</v>
      </c>
      <c r="F75" s="294">
        <f>SUMIF('Torrance Pro Forma'!$B$8:$ED$8,'Annual Pro Forma'!F$8,'Torrance Pro Forma'!$B69:$ED69)</f>
        <v>0</v>
      </c>
      <c r="G75" s="294">
        <f>SUMIF('Torrance Pro Forma'!$B$8:$ED$8,'Annual Pro Forma'!G$8,'Torrance Pro Forma'!$B69:$ED69)</f>
        <v>0</v>
      </c>
      <c r="H75" s="294">
        <f>SUMIF('Torrance Pro Forma'!$B$8:$ED$8,'Annual Pro Forma'!H$8,'Torrance Pro Forma'!$B69:$ED69)</f>
        <v>0</v>
      </c>
      <c r="I75" s="294">
        <f>SUMIF('Torrance Pro Forma'!$B$8:$ED$8,'Annual Pro Forma'!I$8,'Torrance Pro Forma'!$B69:$ED69)</f>
        <v>1500000</v>
      </c>
      <c r="J75" s="294">
        <f>SUMIF('Torrance Pro Forma'!$B$8:$ED$8,'Annual Pro Forma'!J$8,'Torrance Pro Forma'!$B69:$ED69)</f>
        <v>0</v>
      </c>
      <c r="K75" s="294">
        <f>SUMIF('Torrance Pro Forma'!$B$8:$ED$8,'Annual Pro Forma'!K$8,'Torrance Pro Forma'!$B69:$ED69)</f>
        <v>0</v>
      </c>
      <c r="L75" s="294">
        <f>SUMIF('Torrance Pro Forma'!$B$8:$ED$8,'Annual Pro Forma'!L$8,'Torrance Pro Forma'!$B69:$ED69)</f>
        <v>0</v>
      </c>
      <c r="M75" s="294">
        <f>SUMIF('Torrance Pro Forma'!$B$8:$ED$8,'Annual Pro Forma'!M$8,'Torrance Pro Forma'!$B69:$ED69)</f>
        <v>0</v>
      </c>
    </row>
    <row r="76" spans="1:13" ht="19.149999999999999" customHeight="1" x14ac:dyDescent="0.45">
      <c r="A76" s="293" t="s">
        <v>61</v>
      </c>
      <c r="B76" s="294">
        <f>SUMIF('Torrance Pro Forma'!$B$8:$ED$8,'Annual Pro Forma'!B$8,'Torrance Pro Forma'!$B70:$ED70)</f>
        <v>0</v>
      </c>
      <c r="C76" s="294">
        <f>SUMIF('Torrance Pro Forma'!$B$8:$ED$8,'Annual Pro Forma'!C$8,'Torrance Pro Forma'!$B70:$ED70)</f>
        <v>0</v>
      </c>
      <c r="D76" s="294">
        <f>SUMIF('Torrance Pro Forma'!$B$8:$ED$8,'Annual Pro Forma'!D$8,'Torrance Pro Forma'!$B70:$ED70)</f>
        <v>0</v>
      </c>
      <c r="E76" s="294">
        <f>SUMIF('Torrance Pro Forma'!$B$8:$ED$8,'Annual Pro Forma'!E$8,'Torrance Pro Forma'!$B70:$ED70)</f>
        <v>0</v>
      </c>
      <c r="F76" s="294">
        <f>SUMIF('Torrance Pro Forma'!$B$8:$ED$8,'Annual Pro Forma'!F$8,'Torrance Pro Forma'!$B70:$ED70)</f>
        <v>0</v>
      </c>
      <c r="G76" s="294">
        <f>SUMIF('Torrance Pro Forma'!$B$8:$ED$8,'Annual Pro Forma'!G$8,'Torrance Pro Forma'!$B70:$ED70)</f>
        <v>0</v>
      </c>
      <c r="H76" s="294">
        <f>SUMIF('Torrance Pro Forma'!$B$8:$ED$8,'Annual Pro Forma'!H$8,'Torrance Pro Forma'!$B70:$ED70)</f>
        <v>0</v>
      </c>
      <c r="I76" s="294">
        <f>SUMIF('Torrance Pro Forma'!$B$8:$ED$8,'Annual Pro Forma'!I$8,'Torrance Pro Forma'!$B70:$ED70)</f>
        <v>12500000</v>
      </c>
      <c r="J76" s="294">
        <f>SUMIF('Torrance Pro Forma'!$B$8:$ED$8,'Annual Pro Forma'!J$8,'Torrance Pro Forma'!$B70:$ED70)</f>
        <v>0</v>
      </c>
      <c r="K76" s="294">
        <f>SUMIF('Torrance Pro Forma'!$B$8:$ED$8,'Annual Pro Forma'!K$8,'Torrance Pro Forma'!$B70:$ED70)</f>
        <v>0</v>
      </c>
      <c r="L76" s="294">
        <f>SUMIF('Torrance Pro Forma'!$B$8:$ED$8,'Annual Pro Forma'!L$8,'Torrance Pro Forma'!$B70:$ED70)</f>
        <v>0</v>
      </c>
      <c r="M76" s="294">
        <f>SUMIF('Torrance Pro Forma'!$B$8:$ED$8,'Annual Pro Forma'!M$8,'Torrance Pro Forma'!$B70:$ED70)</f>
        <v>0</v>
      </c>
    </row>
    <row r="77" spans="1:13" ht="19.149999999999999" customHeight="1" x14ac:dyDescent="0.45">
      <c r="A77" s="293" t="s">
        <v>59</v>
      </c>
      <c r="B77" s="294">
        <f>SUMIF('Torrance Pro Forma'!$B$8:$ED$8,'Annual Pro Forma'!B$8,'Torrance Pro Forma'!$B71:$ED71)</f>
        <v>0</v>
      </c>
      <c r="C77" s="294">
        <f>SUMIF('Torrance Pro Forma'!$B$8:$ED$8,'Annual Pro Forma'!C$8,'Torrance Pro Forma'!$B71:$ED71)</f>
        <v>0</v>
      </c>
      <c r="D77" s="294">
        <f>SUMIF('Torrance Pro Forma'!$B$8:$ED$8,'Annual Pro Forma'!D$8,'Torrance Pro Forma'!$B71:$ED71)</f>
        <v>0</v>
      </c>
      <c r="E77" s="294">
        <f>SUMIF('Torrance Pro Forma'!$B$8:$ED$8,'Annual Pro Forma'!E$8,'Torrance Pro Forma'!$B71:$ED71)</f>
        <v>0</v>
      </c>
      <c r="F77" s="294">
        <f>SUMIF('Torrance Pro Forma'!$B$8:$ED$8,'Annual Pro Forma'!F$8,'Torrance Pro Forma'!$B71:$ED71)</f>
        <v>0</v>
      </c>
      <c r="G77" s="294">
        <f>SUMIF('Torrance Pro Forma'!$B$8:$ED$8,'Annual Pro Forma'!G$8,'Torrance Pro Forma'!$B71:$ED71)</f>
        <v>0</v>
      </c>
      <c r="H77" s="294">
        <f>SUMIF('Torrance Pro Forma'!$B$8:$ED$8,'Annual Pro Forma'!H$8,'Torrance Pro Forma'!$B71:$ED71)</f>
        <v>0</v>
      </c>
      <c r="I77" s="294">
        <f>SUMIF('Torrance Pro Forma'!$B$8:$ED$8,'Annual Pro Forma'!I$8,'Torrance Pro Forma'!$B71:$ED71)</f>
        <v>400000</v>
      </c>
      <c r="J77" s="294">
        <f>SUMIF('Torrance Pro Forma'!$B$8:$ED$8,'Annual Pro Forma'!J$8,'Torrance Pro Forma'!$B71:$ED71)</f>
        <v>0</v>
      </c>
      <c r="K77" s="294">
        <f>SUMIF('Torrance Pro Forma'!$B$8:$ED$8,'Annual Pro Forma'!K$8,'Torrance Pro Forma'!$B71:$ED71)</f>
        <v>0</v>
      </c>
      <c r="L77" s="294">
        <f>SUMIF('Torrance Pro Forma'!$B$8:$ED$8,'Annual Pro Forma'!L$8,'Torrance Pro Forma'!$B71:$ED71)</f>
        <v>0</v>
      </c>
      <c r="M77" s="294">
        <f>SUMIF('Torrance Pro Forma'!$B$8:$ED$8,'Annual Pro Forma'!M$8,'Torrance Pro Forma'!$B71:$ED71)</f>
        <v>0</v>
      </c>
    </row>
    <row r="78" spans="1:13" ht="19.149999999999999" customHeight="1" x14ac:dyDescent="0.45">
      <c r="A78" s="293" t="s">
        <v>58</v>
      </c>
      <c r="B78" s="294">
        <f>SUMIF('Torrance Pro Forma'!$B$8:$ED$8,'Annual Pro Forma'!B$8,'Torrance Pro Forma'!$B72:$ED72)</f>
        <v>0</v>
      </c>
      <c r="C78" s="294">
        <f>SUMIF('Torrance Pro Forma'!$B$8:$ED$8,'Annual Pro Forma'!C$8,'Torrance Pro Forma'!$B72:$ED72)</f>
        <v>0</v>
      </c>
      <c r="D78" s="294">
        <f>SUMIF('Torrance Pro Forma'!$B$8:$ED$8,'Annual Pro Forma'!D$8,'Torrance Pro Forma'!$B72:$ED72)</f>
        <v>0</v>
      </c>
      <c r="E78" s="294">
        <f>SUMIF('Torrance Pro Forma'!$B$8:$ED$8,'Annual Pro Forma'!E$8,'Torrance Pro Forma'!$B72:$ED72)</f>
        <v>0</v>
      </c>
      <c r="F78" s="294">
        <f>SUMIF('Torrance Pro Forma'!$B$8:$ED$8,'Annual Pro Forma'!F$8,'Torrance Pro Forma'!$B72:$ED72)</f>
        <v>0</v>
      </c>
      <c r="G78" s="294">
        <f>SUMIF('Torrance Pro Forma'!$B$8:$ED$8,'Annual Pro Forma'!G$8,'Torrance Pro Forma'!$B72:$ED72)</f>
        <v>0</v>
      </c>
      <c r="H78" s="294">
        <f>SUMIF('Torrance Pro Forma'!$B$8:$ED$8,'Annual Pro Forma'!H$8,'Torrance Pro Forma'!$B72:$ED72)</f>
        <v>0</v>
      </c>
      <c r="I78" s="294">
        <f>SUMIF('Torrance Pro Forma'!$B$8:$ED$8,'Annual Pro Forma'!I$8,'Torrance Pro Forma'!$B72:$ED72)</f>
        <v>100000</v>
      </c>
      <c r="J78" s="294">
        <f>SUMIF('Torrance Pro Forma'!$B$8:$ED$8,'Annual Pro Forma'!J$8,'Torrance Pro Forma'!$B72:$ED72)</f>
        <v>0</v>
      </c>
      <c r="K78" s="294">
        <f>SUMIF('Torrance Pro Forma'!$B$8:$ED$8,'Annual Pro Forma'!K$8,'Torrance Pro Forma'!$B72:$ED72)</f>
        <v>0</v>
      </c>
      <c r="L78" s="294">
        <f>SUMIF('Torrance Pro Forma'!$B$8:$ED$8,'Annual Pro Forma'!L$8,'Torrance Pro Forma'!$B72:$ED72)</f>
        <v>0</v>
      </c>
      <c r="M78" s="294">
        <f>SUMIF('Torrance Pro Forma'!$B$8:$ED$8,'Annual Pro Forma'!M$8,'Torrance Pro Forma'!$B72:$ED72)</f>
        <v>0</v>
      </c>
    </row>
    <row r="79" spans="1:13" ht="19.149999999999999" customHeight="1" x14ac:dyDescent="0.45">
      <c r="A79" s="282" t="s">
        <v>184</v>
      </c>
      <c r="B79" s="296">
        <f>SUMIF('Torrance Pro Forma'!$B$8:$ED$8,'Annual Pro Forma'!B$8,'Torrance Pro Forma'!$B73:$ED73)</f>
        <v>0</v>
      </c>
      <c r="C79" s="296">
        <f>SUMIF('Torrance Pro Forma'!$B$8:$ED$8,'Annual Pro Forma'!C$8,'Torrance Pro Forma'!$B73:$ED73)</f>
        <v>0</v>
      </c>
      <c r="D79" s="296">
        <f>SUMIF('Torrance Pro Forma'!$B$8:$ED$8,'Annual Pro Forma'!D$8,'Torrance Pro Forma'!$B73:$ED73)</f>
        <v>0</v>
      </c>
      <c r="E79" s="296">
        <f>SUMIF('Torrance Pro Forma'!$B$8:$ED$8,'Annual Pro Forma'!E$8,'Torrance Pro Forma'!$B73:$ED73)</f>
        <v>0</v>
      </c>
      <c r="F79" s="296">
        <f>SUMIF('Torrance Pro Forma'!$B$8:$ED$8,'Annual Pro Forma'!F$8,'Torrance Pro Forma'!$B73:$ED73)</f>
        <v>0</v>
      </c>
      <c r="G79" s="296">
        <f>SUMIF('Torrance Pro Forma'!$B$8:$ED$8,'Annual Pro Forma'!G$8,'Torrance Pro Forma'!$B73:$ED73)</f>
        <v>1500000</v>
      </c>
      <c r="H79" s="296">
        <f>SUMIF('Torrance Pro Forma'!$B$8:$ED$8,'Annual Pro Forma'!H$8,'Torrance Pro Forma'!$B73:$ED73)</f>
        <v>1500000</v>
      </c>
      <c r="I79" s="296">
        <f>SUMIF('Torrance Pro Forma'!$B$8:$ED$8,'Annual Pro Forma'!I$8,'Torrance Pro Forma'!$B73:$ED73)</f>
        <v>14500000.000000002</v>
      </c>
      <c r="J79" s="296">
        <f>SUMIF('Torrance Pro Forma'!$B$8:$ED$8,'Annual Pro Forma'!J$8,'Torrance Pro Forma'!$B73:$ED73)</f>
        <v>0</v>
      </c>
      <c r="K79" s="296">
        <f>SUMIF('Torrance Pro Forma'!$B$8:$ED$8,'Annual Pro Forma'!K$8,'Torrance Pro Forma'!$B73:$ED73)</f>
        <v>0</v>
      </c>
      <c r="L79" s="296">
        <f>SUMIF('Torrance Pro Forma'!$B$8:$ED$8,'Annual Pro Forma'!L$8,'Torrance Pro Forma'!$B73:$ED73)</f>
        <v>0</v>
      </c>
      <c r="M79" s="296">
        <f>SUMIF('Torrance Pro Forma'!$B$8:$ED$8,'Annual Pro Forma'!M$8,'Torrance Pro Forma'!$B73:$ED73)</f>
        <v>0</v>
      </c>
    </row>
    <row r="80" spans="1:13" ht="19.149999999999999" customHeight="1" x14ac:dyDescent="0.45">
      <c r="B80" s="295"/>
      <c r="C80" s="295"/>
      <c r="D80" s="295"/>
      <c r="E80" s="295"/>
      <c r="F80" s="295"/>
      <c r="G80" s="295"/>
      <c r="H80" s="295"/>
      <c r="I80" s="295"/>
      <c r="J80" s="295"/>
      <c r="K80" s="295"/>
      <c r="L80" s="295"/>
      <c r="M80" s="295"/>
    </row>
    <row r="81" spans="1:13" ht="19.149999999999999" customHeight="1" x14ac:dyDescent="0.45">
      <c r="A81" s="282" t="s">
        <v>183</v>
      </c>
      <c r="B81" s="292">
        <f>SUMIF('Torrance Pro Forma'!$B$8:$ED$8,'Annual Pro Forma'!B$8,'Torrance Pro Forma'!$B75:$ED75)</f>
        <v>0</v>
      </c>
      <c r="C81" s="292">
        <f>SUMIF('Torrance Pro Forma'!$B$8:$ED$8,'Annual Pro Forma'!C$8,'Torrance Pro Forma'!$B75:$ED75)</f>
        <v>923702.81666666677</v>
      </c>
      <c r="D81" s="292">
        <f>SUMIF('Torrance Pro Forma'!$B$8:$ED$8,'Annual Pro Forma'!D$8,'Torrance Pro Forma'!$B75:$ED75)</f>
        <v>938349.23599999968</v>
      </c>
      <c r="E81" s="292">
        <f>SUMIF('Torrance Pro Forma'!$B$8:$ED$8,'Annual Pro Forma'!E$8,'Torrance Pro Forma'!$B75:$ED75)</f>
        <v>956664.54072000028</v>
      </c>
      <c r="F81" s="292">
        <f>SUMIF('Torrance Pro Forma'!$B$8:$ED$8,'Annual Pro Forma'!F$8,'Torrance Pro Forma'!$B75:$ED75)</f>
        <v>-564658.66886560014</v>
      </c>
      <c r="G81" s="292">
        <f>SUMIF('Torrance Pro Forma'!$B$8:$ED$8,'Annual Pro Forma'!G$8,'Torrance Pro Forma'!$B75:$ED75)</f>
        <v>-2175454.7018313603</v>
      </c>
      <c r="H81" s="292">
        <f>SUMIF('Torrance Pro Forma'!$B$8:$ED$8,'Annual Pro Forma'!H$8,'Torrance Pro Forma'!$B75:$ED75)</f>
        <v>2521755.4348901268</v>
      </c>
      <c r="I81" s="292">
        <f>SUMIF('Torrance Pro Forma'!$B$8:$ED$8,'Annual Pro Forma'!I$8,'Torrance Pro Forma'!$B75:$ED75)</f>
        <v>-9687031.081386989</v>
      </c>
      <c r="J81" s="292">
        <f>SUMIF('Torrance Pro Forma'!$B$8:$ED$8,'Annual Pro Forma'!J$8,'Torrance Pro Forma'!$B75:$ED75)</f>
        <v>4909868.7466076845</v>
      </c>
      <c r="K81" s="292">
        <f>SUMIF('Torrance Pro Forma'!$B$8:$ED$8,'Annual Pro Forma'!K$8,'Torrance Pro Forma'!$B75:$ED75)</f>
        <v>5008700.9829975059</v>
      </c>
      <c r="L81" s="292">
        <f>SUMIF('Torrance Pro Forma'!$B$8:$ED$8,'Annual Pro Forma'!L$8,'Torrance Pro Forma'!$B75:$ED75)</f>
        <v>5109504.1083054328</v>
      </c>
      <c r="M81" s="292">
        <f>SUMIF('Torrance Pro Forma'!$B$8:$ED$8,'Annual Pro Forma'!M$8,'Torrance Pro Forma'!$B75:$ED75)</f>
        <v>5212317.3676355379</v>
      </c>
    </row>
    <row r="82" spans="1:13" ht="19.149999999999999" customHeight="1" x14ac:dyDescent="0.45">
      <c r="A82" s="290" t="s">
        <v>182</v>
      </c>
      <c r="B82" s="295">
        <f>SUMIF('Torrance Pro Forma'!$B$8:$ED$8,'Annual Pro Forma'!B$8,'Torrance Pro Forma'!$B76:$ED76)</f>
        <v>0</v>
      </c>
      <c r="C82" s="295">
        <f>SUMIF('Torrance Pro Forma'!$B$8:$ED$8,'Annual Pro Forma'!C$8,'Torrance Pro Forma'!$B76:$ED76)</f>
        <v>0</v>
      </c>
      <c r="D82" s="295">
        <f>SUMIF('Torrance Pro Forma'!$B$8:$ED$8,'Annual Pro Forma'!D$8,'Torrance Pro Forma'!$B76:$ED76)</f>
        <v>0</v>
      </c>
      <c r="E82" s="295">
        <f>SUMIF('Torrance Pro Forma'!$B$8:$ED$8,'Annual Pro Forma'!E$8,'Torrance Pro Forma'!$B76:$ED76)</f>
        <v>0</v>
      </c>
      <c r="F82" s="295">
        <f>SUMIF('Torrance Pro Forma'!$B$8:$ED$8,'Annual Pro Forma'!F$8,'Torrance Pro Forma'!$B76:$ED76)</f>
        <v>0</v>
      </c>
      <c r="G82" s="295">
        <f>SUMIF('Torrance Pro Forma'!$B$8:$ED$8,'Annual Pro Forma'!G$8,'Torrance Pro Forma'!$B76:$ED76)</f>
        <v>0</v>
      </c>
      <c r="H82" s="295">
        <f>SUMIF('Torrance Pro Forma'!$B$8:$ED$8,'Annual Pro Forma'!H$8,'Torrance Pro Forma'!$B76:$ED76)</f>
        <v>0</v>
      </c>
      <c r="I82" s="295">
        <f>SUMIF('Torrance Pro Forma'!$B$8:$ED$8,'Annual Pro Forma'!I$8,'Torrance Pro Forma'!$B76:$ED76)</f>
        <v>0</v>
      </c>
      <c r="J82" s="295">
        <f>SUMIF('Torrance Pro Forma'!$B$8:$ED$8,'Annual Pro Forma'!J$8,'Torrance Pro Forma'!$B76:$ED76)</f>
        <v>0</v>
      </c>
      <c r="K82" s="295">
        <f>SUMIF('Torrance Pro Forma'!$B$8:$ED$8,'Annual Pro Forma'!K$8,'Torrance Pro Forma'!$B76:$ED76)</f>
        <v>0</v>
      </c>
      <c r="L82" s="295">
        <f>SUMIF('Torrance Pro Forma'!$B$8:$ED$8,'Annual Pro Forma'!L$8,'Torrance Pro Forma'!$B76:$ED76)</f>
        <v>0</v>
      </c>
      <c r="M82" s="295">
        <f>SUMIF('Torrance Pro Forma'!$B$8:$ED$8,'Annual Pro Forma'!M$8,'Torrance Pro Forma'!$B76:$ED76)</f>
        <v>0</v>
      </c>
    </row>
    <row r="83" spans="1:13" ht="19.149999999999999" customHeight="1" x14ac:dyDescent="0.45">
      <c r="A83" s="279" t="s">
        <v>181</v>
      </c>
      <c r="B83" s="295">
        <f>SUMIF('Torrance Pro Forma'!$B$8:$ED$8,'Annual Pro Forma'!B$8,'Torrance Pro Forma'!$B77:$ED77)</f>
        <v>0</v>
      </c>
      <c r="C83" s="295">
        <f>SUMIF('Torrance Pro Forma'!$B$8:$ED$8,'Annual Pro Forma'!C$8,'Torrance Pro Forma'!$B77:$ED77)</f>
        <v>0</v>
      </c>
      <c r="D83" s="295">
        <f>SUMIF('Torrance Pro Forma'!$B$8:$ED$8,'Annual Pro Forma'!D$8,'Torrance Pro Forma'!$B77:$ED77)</f>
        <v>0</v>
      </c>
      <c r="E83" s="295">
        <f>SUMIF('Torrance Pro Forma'!$B$8:$ED$8,'Annual Pro Forma'!E$8,'Torrance Pro Forma'!$B77:$ED77)</f>
        <v>0</v>
      </c>
      <c r="F83" s="295">
        <f>SUMIF('Torrance Pro Forma'!$B$8:$ED$8,'Annual Pro Forma'!F$8,'Torrance Pro Forma'!$B77:$ED77)</f>
        <v>0</v>
      </c>
      <c r="G83" s="295">
        <f>SUMIF('Torrance Pro Forma'!$B$8:$ED$8,'Annual Pro Forma'!G$8,'Torrance Pro Forma'!$B77:$ED77)</f>
        <v>0</v>
      </c>
      <c r="H83" s="295">
        <f>SUMIF('Torrance Pro Forma'!$B$8:$ED$8,'Annual Pro Forma'!H$8,'Torrance Pro Forma'!$B77:$ED77)</f>
        <v>0</v>
      </c>
      <c r="I83" s="295">
        <f>SUMIF('Torrance Pro Forma'!$B$8:$ED$8,'Annual Pro Forma'!I$8,'Torrance Pro Forma'!$B77:$ED77)</f>
        <v>0</v>
      </c>
      <c r="J83" s="295">
        <f>SUMIF('Torrance Pro Forma'!$B$8:$ED$8,'Annual Pro Forma'!J$8,'Torrance Pro Forma'!$B77:$ED77)</f>
        <v>0</v>
      </c>
      <c r="K83" s="295">
        <f>SUMIF('Torrance Pro Forma'!$B$8:$ED$8,'Annual Pro Forma'!K$8,'Torrance Pro Forma'!$B77:$ED77)</f>
        <v>0</v>
      </c>
      <c r="L83" s="295">
        <f>SUMIF('Torrance Pro Forma'!$B$8:$ED$8,'Annual Pro Forma'!L$8,'Torrance Pro Forma'!$B77:$ED77)</f>
        <v>0</v>
      </c>
      <c r="M83" s="295">
        <f>SUMIF('Torrance Pro Forma'!$B$8:$ED$8,'Annual Pro Forma'!M$8,'Torrance Pro Forma'!$B77:$ED77)</f>
        <v>0</v>
      </c>
    </row>
    <row r="84" spans="1:13" ht="19.149999999999999" customHeight="1" x14ac:dyDescent="0.45">
      <c r="A84" s="293" t="s">
        <v>38</v>
      </c>
      <c r="B84" s="294">
        <f>SUMIF('Torrance Pro Forma'!$B$8:$ED$8,'Annual Pro Forma'!B$8,'Torrance Pro Forma'!$B78:$ED78)</f>
        <v>-17552666.666666668</v>
      </c>
      <c r="C84" s="294">
        <f>SUMIF('Torrance Pro Forma'!$B$8:$ED$8,'Annual Pro Forma'!C$8,'Torrance Pro Forma'!$B78:$ED78)</f>
        <v>0</v>
      </c>
      <c r="D84" s="294">
        <f>SUMIF('Torrance Pro Forma'!$B$8:$ED$8,'Annual Pro Forma'!D$8,'Torrance Pro Forma'!$B78:$ED78)</f>
        <v>0</v>
      </c>
      <c r="E84" s="294">
        <f>SUMIF('Torrance Pro Forma'!$B$8:$ED$8,'Annual Pro Forma'!E$8,'Torrance Pro Forma'!$B78:$ED78)</f>
        <v>0</v>
      </c>
      <c r="F84" s="294">
        <f>SUMIF('Torrance Pro Forma'!$B$8:$ED$8,'Annual Pro Forma'!F$8,'Torrance Pro Forma'!$B78:$ED78)</f>
        <v>0</v>
      </c>
      <c r="G84" s="294">
        <f>SUMIF('Torrance Pro Forma'!$B$8:$ED$8,'Annual Pro Forma'!G$8,'Torrance Pro Forma'!$B78:$ED78)</f>
        <v>0</v>
      </c>
      <c r="H84" s="294">
        <f>SUMIF('Torrance Pro Forma'!$B$8:$ED$8,'Annual Pro Forma'!H$8,'Torrance Pro Forma'!$B78:$ED78)</f>
        <v>0</v>
      </c>
      <c r="I84" s="294">
        <f>SUMIF('Torrance Pro Forma'!$B$8:$ED$8,'Annual Pro Forma'!I$8,'Torrance Pro Forma'!$B78:$ED78)</f>
        <v>0</v>
      </c>
      <c r="J84" s="294">
        <f>SUMIF('Torrance Pro Forma'!$B$8:$ED$8,'Annual Pro Forma'!J$8,'Torrance Pro Forma'!$B78:$ED78)</f>
        <v>0</v>
      </c>
      <c r="K84" s="294">
        <f>SUMIF('Torrance Pro Forma'!$B$8:$ED$8,'Annual Pro Forma'!K$8,'Torrance Pro Forma'!$B78:$ED78)</f>
        <v>0</v>
      </c>
      <c r="L84" s="294">
        <f>SUMIF('Torrance Pro Forma'!$B$8:$ED$8,'Annual Pro Forma'!L$8,'Torrance Pro Forma'!$B78:$ED78)</f>
        <v>0</v>
      </c>
      <c r="M84" s="294">
        <f>SUMIF('Torrance Pro Forma'!$B$8:$ED$8,'Annual Pro Forma'!M$8,'Torrance Pro Forma'!$B78:$ED78)</f>
        <v>0</v>
      </c>
    </row>
    <row r="85" spans="1:13" ht="19.149999999999999" customHeight="1" x14ac:dyDescent="0.45">
      <c r="A85" s="293" t="s">
        <v>133</v>
      </c>
      <c r="B85" s="292">
        <f>SUMIF('Torrance Pro Forma'!$B$8:$ED$8,'Annual Pro Forma'!B$8,'Torrance Pro Forma'!$B79:$ED79)</f>
        <v>351053.33333333337</v>
      </c>
      <c r="C85" s="292">
        <f>SUMIF('Torrance Pro Forma'!$B$8:$ED$8,'Annual Pro Forma'!C$8,'Torrance Pro Forma'!$B79:$ED79)</f>
        <v>0</v>
      </c>
      <c r="D85" s="292">
        <f>SUMIF('Torrance Pro Forma'!$B$8:$ED$8,'Annual Pro Forma'!D$8,'Torrance Pro Forma'!$B79:$ED79)</f>
        <v>0</v>
      </c>
      <c r="E85" s="292">
        <f>SUMIF('Torrance Pro Forma'!$B$8:$ED$8,'Annual Pro Forma'!E$8,'Torrance Pro Forma'!$B79:$ED79)</f>
        <v>0</v>
      </c>
      <c r="F85" s="292">
        <f>SUMIF('Torrance Pro Forma'!$B$8:$ED$8,'Annual Pro Forma'!F$8,'Torrance Pro Forma'!$B79:$ED79)</f>
        <v>0</v>
      </c>
      <c r="G85" s="292">
        <f>SUMIF('Torrance Pro Forma'!$B$8:$ED$8,'Annual Pro Forma'!G$8,'Torrance Pro Forma'!$B79:$ED79)</f>
        <v>0</v>
      </c>
      <c r="H85" s="292">
        <f>SUMIF('Torrance Pro Forma'!$B$8:$ED$8,'Annual Pro Forma'!H$8,'Torrance Pro Forma'!$B79:$ED79)</f>
        <v>0</v>
      </c>
      <c r="I85" s="292">
        <f>SUMIF('Torrance Pro Forma'!$B$8:$ED$8,'Annual Pro Forma'!I$8,'Torrance Pro Forma'!$B79:$ED79)</f>
        <v>0</v>
      </c>
      <c r="J85" s="292">
        <f>SUMIF('Torrance Pro Forma'!$B$8:$ED$8,'Annual Pro Forma'!J$8,'Torrance Pro Forma'!$B79:$ED79)</f>
        <v>0</v>
      </c>
      <c r="K85" s="292">
        <f>SUMIF('Torrance Pro Forma'!$B$8:$ED$8,'Annual Pro Forma'!K$8,'Torrance Pro Forma'!$B79:$ED79)</f>
        <v>0</v>
      </c>
      <c r="L85" s="292">
        <f>SUMIF('Torrance Pro Forma'!$B$8:$ED$8,'Annual Pro Forma'!L$8,'Torrance Pro Forma'!$B79:$ED79)</f>
        <v>0</v>
      </c>
      <c r="M85" s="292">
        <f>SUMIF('Torrance Pro Forma'!$B$8:$ED$8,'Annual Pro Forma'!M$8,'Torrance Pro Forma'!$B79:$ED79)</f>
        <v>0</v>
      </c>
    </row>
    <row r="86" spans="1:13" ht="19.149999999999999" customHeight="1" x14ac:dyDescent="0.45">
      <c r="A86" s="282" t="s">
        <v>180</v>
      </c>
      <c r="B86" s="292">
        <f>SUMIF('Torrance Pro Forma'!$B$8:$ED$8,'Annual Pro Forma'!B$8,'Torrance Pro Forma'!$B80:$ED80)</f>
        <v>-17201613.333333336</v>
      </c>
      <c r="C86" s="292">
        <f>SUMIF('Torrance Pro Forma'!$B$8:$ED$8,'Annual Pro Forma'!C$8,'Torrance Pro Forma'!$B80:$ED80)</f>
        <v>0</v>
      </c>
      <c r="D86" s="292">
        <f>SUMIF('Torrance Pro Forma'!$B$8:$ED$8,'Annual Pro Forma'!D$8,'Torrance Pro Forma'!$B80:$ED80)</f>
        <v>0</v>
      </c>
      <c r="E86" s="292">
        <f>SUMIF('Torrance Pro Forma'!$B$8:$ED$8,'Annual Pro Forma'!E$8,'Torrance Pro Forma'!$B80:$ED80)</f>
        <v>0</v>
      </c>
      <c r="F86" s="292">
        <f>SUMIF('Torrance Pro Forma'!$B$8:$ED$8,'Annual Pro Forma'!F$8,'Torrance Pro Forma'!$B80:$ED80)</f>
        <v>0</v>
      </c>
      <c r="G86" s="292">
        <f>SUMIF('Torrance Pro Forma'!$B$8:$ED$8,'Annual Pro Forma'!G$8,'Torrance Pro Forma'!$B80:$ED80)</f>
        <v>0</v>
      </c>
      <c r="H86" s="292">
        <f>SUMIF('Torrance Pro Forma'!$B$8:$ED$8,'Annual Pro Forma'!H$8,'Torrance Pro Forma'!$B80:$ED80)</f>
        <v>0</v>
      </c>
      <c r="I86" s="292">
        <f>SUMIF('Torrance Pro Forma'!$B$8:$ED$8,'Annual Pro Forma'!I$8,'Torrance Pro Forma'!$B80:$ED80)</f>
        <v>0</v>
      </c>
      <c r="J86" s="292">
        <f>SUMIF('Torrance Pro Forma'!$B$8:$ED$8,'Annual Pro Forma'!J$8,'Torrance Pro Forma'!$B80:$ED80)</f>
        <v>0</v>
      </c>
      <c r="K86" s="292">
        <f>SUMIF('Torrance Pro Forma'!$B$8:$ED$8,'Annual Pro Forma'!K$8,'Torrance Pro Forma'!$B80:$ED80)</f>
        <v>0</v>
      </c>
      <c r="L86" s="292">
        <f>SUMIF('Torrance Pro Forma'!$B$8:$ED$8,'Annual Pro Forma'!L$8,'Torrance Pro Forma'!$B80:$ED80)</f>
        <v>0</v>
      </c>
      <c r="M86" s="292">
        <f>SUMIF('Torrance Pro Forma'!$B$8:$ED$8,'Annual Pro Forma'!M$8,'Torrance Pro Forma'!$B80:$ED80)</f>
        <v>0</v>
      </c>
    </row>
    <row r="87" spans="1:13" ht="19.149999999999999" customHeight="1" x14ac:dyDescent="0.45">
      <c r="B87" s="295"/>
      <c r="C87" s="295"/>
      <c r="D87" s="295"/>
      <c r="E87" s="295"/>
      <c r="F87" s="295"/>
      <c r="G87" s="295"/>
      <c r="H87" s="295"/>
      <c r="I87" s="295"/>
      <c r="J87" s="295"/>
      <c r="K87" s="295"/>
      <c r="L87" s="295"/>
      <c r="M87" s="295"/>
    </row>
    <row r="88" spans="1:13" ht="19.149999999999999" customHeight="1" x14ac:dyDescent="0.45">
      <c r="A88" s="279" t="s">
        <v>179</v>
      </c>
      <c r="B88" s="295">
        <f>SUMIF('Torrance Pro Forma'!$B$8:$ED$8,'Annual Pro Forma'!B$8,'Torrance Pro Forma'!$B82:$ED82)</f>
        <v>0</v>
      </c>
      <c r="C88" s="295">
        <f>SUMIF('Torrance Pro Forma'!$B$8:$ED$8,'Annual Pro Forma'!C$8,'Torrance Pro Forma'!$B82:$ED82)</f>
        <v>0</v>
      </c>
      <c r="D88" s="295">
        <f>SUMIF('Torrance Pro Forma'!$B$8:$ED$8,'Annual Pro Forma'!D$8,'Torrance Pro Forma'!$B82:$ED82)</f>
        <v>0</v>
      </c>
      <c r="E88" s="295">
        <f>SUMIF('Torrance Pro Forma'!$B$8:$ED$8,'Annual Pro Forma'!E$8,'Torrance Pro Forma'!$B82:$ED82)</f>
        <v>0</v>
      </c>
      <c r="F88" s="295">
        <f>SUMIF('Torrance Pro Forma'!$B$8:$ED$8,'Annual Pro Forma'!F$8,'Torrance Pro Forma'!$B82:$ED82)</f>
        <v>0</v>
      </c>
      <c r="G88" s="295">
        <f>SUMIF('Torrance Pro Forma'!$B$8:$ED$8,'Annual Pro Forma'!G$8,'Torrance Pro Forma'!$B82:$ED82)</f>
        <v>0</v>
      </c>
      <c r="H88" s="295">
        <f>SUMIF('Torrance Pro Forma'!$B$8:$ED$8,'Annual Pro Forma'!H$8,'Torrance Pro Forma'!$B82:$ED82)</f>
        <v>0</v>
      </c>
      <c r="I88" s="295">
        <f>SUMIF('Torrance Pro Forma'!$B$8:$ED$8,'Annual Pro Forma'!I$8,'Torrance Pro Forma'!$B82:$ED82)</f>
        <v>0</v>
      </c>
      <c r="J88" s="295">
        <f>SUMIF('Torrance Pro Forma'!$B$8:$ED$8,'Annual Pro Forma'!J$8,'Torrance Pro Forma'!$B82:$ED82)</f>
        <v>0</v>
      </c>
      <c r="K88" s="295">
        <f>SUMIF('Torrance Pro Forma'!$B$8:$ED$8,'Annual Pro Forma'!K$8,'Torrance Pro Forma'!$B82:$ED82)</f>
        <v>0</v>
      </c>
      <c r="L88" s="295">
        <f>SUMIF('Torrance Pro Forma'!$B$8:$ED$8,'Annual Pro Forma'!L$8,'Torrance Pro Forma'!$B82:$ED82)</f>
        <v>0</v>
      </c>
      <c r="M88" s="295">
        <f>SUMIF('Torrance Pro Forma'!$B$8:$ED$8,'Annual Pro Forma'!M$8,'Torrance Pro Forma'!$B82:$ED82)</f>
        <v>0</v>
      </c>
    </row>
    <row r="89" spans="1:13" ht="19.149999999999999" customHeight="1" x14ac:dyDescent="0.45">
      <c r="A89" s="293" t="s">
        <v>178</v>
      </c>
      <c r="B89" s="294">
        <f>SUMIF('Torrance Pro Forma'!$B$8:$ED$8,'Annual Pro Forma'!B$8,'Torrance Pro Forma'!$B83:$ED83)</f>
        <v>0</v>
      </c>
      <c r="C89" s="294">
        <f>SUMIF('Torrance Pro Forma'!$B$8:$ED$8,'Annual Pro Forma'!C$8,'Torrance Pro Forma'!$B83:$ED83)</f>
        <v>0</v>
      </c>
      <c r="D89" s="294">
        <f>SUMIF('Torrance Pro Forma'!$B$8:$ED$8,'Annual Pro Forma'!D$8,'Torrance Pro Forma'!$B83:$ED83)</f>
        <v>0</v>
      </c>
      <c r="E89" s="294">
        <f>SUMIF('Torrance Pro Forma'!$B$8:$ED$8,'Annual Pro Forma'!E$8,'Torrance Pro Forma'!$B83:$ED83)</f>
        <v>0</v>
      </c>
      <c r="F89" s="294">
        <f>SUMIF('Torrance Pro Forma'!$B$8:$ED$8,'Annual Pro Forma'!F$8,'Torrance Pro Forma'!$B83:$ED83)</f>
        <v>0</v>
      </c>
      <c r="G89" s="294">
        <f>SUMIF('Torrance Pro Forma'!$B$8:$ED$8,'Annual Pro Forma'!G$8,'Torrance Pro Forma'!$B83:$ED83)</f>
        <v>0</v>
      </c>
      <c r="H89" s="294">
        <f>SUMIF('Torrance Pro Forma'!$B$8:$ED$8,'Annual Pro Forma'!H$8,'Torrance Pro Forma'!$B83:$ED83)</f>
        <v>0</v>
      </c>
      <c r="I89" s="294">
        <f>SUMIF('Torrance Pro Forma'!$B$8:$ED$8,'Annual Pro Forma'!I$8,'Torrance Pro Forma'!$B83:$ED83)</f>
        <v>0</v>
      </c>
      <c r="J89" s="294">
        <f>SUMIF('Torrance Pro Forma'!$B$8:$ED$8,'Annual Pro Forma'!J$8,'Torrance Pro Forma'!$B83:$ED83)</f>
        <v>0</v>
      </c>
      <c r="K89" s="294">
        <f>SUMIF('Torrance Pro Forma'!$B$8:$ED$8,'Annual Pro Forma'!K$8,'Torrance Pro Forma'!$B83:$ED83)</f>
        <v>0</v>
      </c>
      <c r="L89" s="294">
        <f>SUMIF('Torrance Pro Forma'!$B$8:$ED$8,'Annual Pro Forma'!L$8,'Torrance Pro Forma'!$B83:$ED83)</f>
        <v>89665485.006413624</v>
      </c>
      <c r="M89" s="294">
        <f>SUMIF('Torrance Pro Forma'!$B$8:$ED$8,'Annual Pro Forma'!M$8,'Torrance Pro Forma'!$B83:$ED83)</f>
        <v>0</v>
      </c>
    </row>
    <row r="90" spans="1:13" ht="19.149999999999999" customHeight="1" x14ac:dyDescent="0.45">
      <c r="A90" s="293" t="s">
        <v>133</v>
      </c>
      <c r="B90" s="292">
        <f>SUMIF('Torrance Pro Forma'!$B$8:$ED$8,'Annual Pro Forma'!B$8,'Torrance Pro Forma'!$B84:$ED84)</f>
        <v>0</v>
      </c>
      <c r="C90" s="292">
        <f>SUMIF('Torrance Pro Forma'!$B$8:$ED$8,'Annual Pro Forma'!C$8,'Torrance Pro Forma'!$B84:$ED84)</f>
        <v>0</v>
      </c>
      <c r="D90" s="292">
        <f>SUMIF('Torrance Pro Forma'!$B$8:$ED$8,'Annual Pro Forma'!D$8,'Torrance Pro Forma'!$B84:$ED84)</f>
        <v>0</v>
      </c>
      <c r="E90" s="292">
        <f>SUMIF('Torrance Pro Forma'!$B$8:$ED$8,'Annual Pro Forma'!E$8,'Torrance Pro Forma'!$B84:$ED84)</f>
        <v>0</v>
      </c>
      <c r="F90" s="292">
        <f>SUMIF('Torrance Pro Forma'!$B$8:$ED$8,'Annual Pro Forma'!F$8,'Torrance Pro Forma'!$B84:$ED84)</f>
        <v>0</v>
      </c>
      <c r="G90" s="292">
        <f>SUMIF('Torrance Pro Forma'!$B$8:$ED$8,'Annual Pro Forma'!G$8,'Torrance Pro Forma'!$B84:$ED84)</f>
        <v>0</v>
      </c>
      <c r="H90" s="292">
        <f>SUMIF('Torrance Pro Forma'!$B$8:$ED$8,'Annual Pro Forma'!H$8,'Torrance Pro Forma'!$B84:$ED84)</f>
        <v>0</v>
      </c>
      <c r="I90" s="292">
        <f>SUMIF('Torrance Pro Forma'!$B$8:$ED$8,'Annual Pro Forma'!I$8,'Torrance Pro Forma'!$B84:$ED84)</f>
        <v>0</v>
      </c>
      <c r="J90" s="292">
        <f>SUMIF('Torrance Pro Forma'!$B$8:$ED$8,'Annual Pro Forma'!J$8,'Torrance Pro Forma'!$B84:$ED84)</f>
        <v>0</v>
      </c>
      <c r="K90" s="292">
        <f>SUMIF('Torrance Pro Forma'!$B$8:$ED$8,'Annual Pro Forma'!K$8,'Torrance Pro Forma'!$B84:$ED84)</f>
        <v>0</v>
      </c>
      <c r="L90" s="292">
        <f>SUMIF('Torrance Pro Forma'!$B$8:$ED$8,'Annual Pro Forma'!L$8,'Torrance Pro Forma'!$B84:$ED84)</f>
        <v>-1793309.7001282724</v>
      </c>
      <c r="M90" s="292">
        <f>SUMIF('Torrance Pro Forma'!$B$8:$ED$8,'Annual Pro Forma'!M$8,'Torrance Pro Forma'!$B84:$ED84)</f>
        <v>0</v>
      </c>
    </row>
    <row r="91" spans="1:13" ht="19.149999999999999" customHeight="1" x14ac:dyDescent="0.45">
      <c r="A91" s="282" t="s">
        <v>177</v>
      </c>
      <c r="B91" s="292">
        <f>SUMIF('Torrance Pro Forma'!$B$8:$ED$8,'Annual Pro Forma'!B$8,'Torrance Pro Forma'!$B85:$ED85)</f>
        <v>0</v>
      </c>
      <c r="C91" s="292">
        <f>SUMIF('Torrance Pro Forma'!$B$8:$ED$8,'Annual Pro Forma'!C$8,'Torrance Pro Forma'!$B85:$ED85)</f>
        <v>0</v>
      </c>
      <c r="D91" s="292">
        <f>SUMIF('Torrance Pro Forma'!$B$8:$ED$8,'Annual Pro Forma'!D$8,'Torrance Pro Forma'!$B85:$ED85)</f>
        <v>0</v>
      </c>
      <c r="E91" s="292">
        <f>SUMIF('Torrance Pro Forma'!$B$8:$ED$8,'Annual Pro Forma'!E$8,'Torrance Pro Forma'!$B85:$ED85)</f>
        <v>0</v>
      </c>
      <c r="F91" s="292">
        <f>SUMIF('Torrance Pro Forma'!$B$8:$ED$8,'Annual Pro Forma'!F$8,'Torrance Pro Forma'!$B85:$ED85)</f>
        <v>0</v>
      </c>
      <c r="G91" s="292">
        <f>SUMIF('Torrance Pro Forma'!$B$8:$ED$8,'Annual Pro Forma'!G$8,'Torrance Pro Forma'!$B85:$ED85)</f>
        <v>0</v>
      </c>
      <c r="H91" s="292">
        <f>SUMIF('Torrance Pro Forma'!$B$8:$ED$8,'Annual Pro Forma'!H$8,'Torrance Pro Forma'!$B85:$ED85)</f>
        <v>0</v>
      </c>
      <c r="I91" s="292">
        <f>SUMIF('Torrance Pro Forma'!$B$8:$ED$8,'Annual Pro Forma'!I$8,'Torrance Pro Forma'!$B85:$ED85)</f>
        <v>0</v>
      </c>
      <c r="J91" s="292">
        <f>SUMIF('Torrance Pro Forma'!$B$8:$ED$8,'Annual Pro Forma'!J$8,'Torrance Pro Forma'!$B85:$ED85)</f>
        <v>0</v>
      </c>
      <c r="K91" s="292">
        <f>SUMIF('Torrance Pro Forma'!$B$8:$ED$8,'Annual Pro Forma'!K$8,'Torrance Pro Forma'!$B85:$ED85)</f>
        <v>0</v>
      </c>
      <c r="L91" s="292">
        <f>SUMIF('Torrance Pro Forma'!$B$8:$ED$8,'Annual Pro Forma'!L$8,'Torrance Pro Forma'!$B85:$ED85)</f>
        <v>87872175.306285352</v>
      </c>
      <c r="M91" s="292">
        <f>SUMIF('Torrance Pro Forma'!$B$8:$ED$8,'Annual Pro Forma'!M$8,'Torrance Pro Forma'!$B85:$ED85)</f>
        <v>0</v>
      </c>
    </row>
    <row r="92" spans="1:13" ht="19.149999999999999" customHeight="1" x14ac:dyDescent="0.45">
      <c r="B92" s="290"/>
    </row>
    <row r="93" spans="1:13" ht="19.149999999999999" customHeight="1" x14ac:dyDescent="0.45">
      <c r="A93" s="282" t="s">
        <v>176</v>
      </c>
      <c r="B93" s="292">
        <f>SUMIF('Torrance Pro Forma'!$B$8:$ED$8,'Annual Pro Forma'!B$8,'Torrance Pro Forma'!$B87:$ED87)</f>
        <v>-17201613.333333336</v>
      </c>
      <c r="C93" s="292">
        <f>SUMIF('Torrance Pro Forma'!$B$8:$ED$8,'Annual Pro Forma'!C$8,'Torrance Pro Forma'!$B87:$ED87)</f>
        <v>923702.81666666677</v>
      </c>
      <c r="D93" s="292">
        <f>SUMIF('Torrance Pro Forma'!$B$8:$ED$8,'Annual Pro Forma'!D$8,'Torrance Pro Forma'!$B87:$ED87)</f>
        <v>938349.23599999968</v>
      </c>
      <c r="E93" s="292">
        <f>SUMIF('Torrance Pro Forma'!$B$8:$ED$8,'Annual Pro Forma'!E$8,'Torrance Pro Forma'!$B87:$ED87)</f>
        <v>956664.54072000028</v>
      </c>
      <c r="F93" s="292">
        <f>SUMIF('Torrance Pro Forma'!$B$8:$ED$8,'Annual Pro Forma'!F$8,'Torrance Pro Forma'!$B87:$ED87)</f>
        <v>-564658.66886560014</v>
      </c>
      <c r="G93" s="292">
        <f>SUMIF('Torrance Pro Forma'!$B$8:$ED$8,'Annual Pro Forma'!G$8,'Torrance Pro Forma'!$B87:$ED87)</f>
        <v>-2175454.7018313603</v>
      </c>
      <c r="H93" s="292">
        <f>SUMIF('Torrance Pro Forma'!$B$8:$ED$8,'Annual Pro Forma'!H$8,'Torrance Pro Forma'!$B87:$ED87)</f>
        <v>2521755.4348901268</v>
      </c>
      <c r="I93" s="292">
        <f>SUMIF('Torrance Pro Forma'!$B$8:$ED$8,'Annual Pro Forma'!I$8,'Torrance Pro Forma'!$B87:$ED87)</f>
        <v>-9687031.081386989</v>
      </c>
      <c r="J93" s="292">
        <f>SUMIF('Torrance Pro Forma'!$B$8:$ED$8,'Annual Pro Forma'!J$8,'Torrance Pro Forma'!$B87:$ED87)</f>
        <v>4909868.7466076845</v>
      </c>
      <c r="K93" s="292">
        <f>SUMIF('Torrance Pro Forma'!$B$8:$ED$8,'Annual Pro Forma'!K$8,'Torrance Pro Forma'!$B87:$ED87)</f>
        <v>5008700.9829975059</v>
      </c>
      <c r="L93" s="292">
        <f>SUMIF('Torrance Pro Forma'!$B$8:$ED$8,'Annual Pro Forma'!L$8,'Torrance Pro Forma'!$B87:$ED87)</f>
        <v>92981679.414590791</v>
      </c>
      <c r="M93" s="292">
        <f>SUMIF('Torrance Pro Forma'!$B$8:$ED$8,'Annual Pro Forma'!M$8,'Torrance Pro Forma'!$B87:$ED87)</f>
        <v>0</v>
      </c>
    </row>
    <row r="94" spans="1:13" ht="19.149999999999999" customHeight="1" x14ac:dyDescent="0.45"/>
    <row r="95" spans="1:13" ht="19.149999999999999" customHeight="1" x14ac:dyDescent="0.45"/>
    <row r="96" spans="1:13" ht="19.149999999999999" customHeight="1" x14ac:dyDescent="0.45">
      <c r="A96" s="290" t="s">
        <v>175</v>
      </c>
      <c r="B96" s="262">
        <f>XIRR(B93:M93,B9:M9)</f>
        <v>0.19156040549278255</v>
      </c>
      <c r="C96" s="291"/>
      <c r="D96" s="291"/>
      <c r="E96" s="291"/>
      <c r="F96" s="291"/>
      <c r="G96" s="291"/>
      <c r="H96" s="291"/>
      <c r="I96" s="291"/>
      <c r="J96" s="291"/>
      <c r="K96" s="291"/>
      <c r="L96" s="291"/>
      <c r="M96" s="291"/>
    </row>
    <row r="97" spans="1:2" ht="19.149999999999999" customHeight="1" x14ac:dyDescent="0.45">
      <c r="A97" s="290" t="s">
        <v>174</v>
      </c>
      <c r="B97" s="260">
        <f>SUMIF(B93:M93,"&gt;0")/-SUMIF(B93:M93,"&lt;0")</f>
        <v>3.6532318349757755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024D0-51C9-4810-92A8-A89726156C03}">
  <sheetPr>
    <tabColor theme="7" tint="-0.249977111117893"/>
    <outlinePr summaryBelow="0"/>
  </sheetPr>
  <dimension ref="A1:ED90"/>
  <sheetViews>
    <sheetView tabSelected="1" zoomScale="44" workbookViewId="0">
      <selection activeCell="A68" sqref="A68"/>
    </sheetView>
    <sheetView zoomScale="64" workbookViewId="1">
      <selection activeCell="C12" sqref="C12"/>
    </sheetView>
  </sheetViews>
  <sheetFormatPr defaultColWidth="19.6640625" defaultRowHeight="19.149999999999999" customHeight="1" outlineLevelRow="1" outlineLevelCol="1" x14ac:dyDescent="0.4"/>
  <cols>
    <col min="1" max="1" width="28.9296875" style="259" bestFit="1" customWidth="1"/>
    <col min="2" max="16" width="15.59765625" style="259" customWidth="1"/>
    <col min="17" max="49" width="15.59765625" style="259" customWidth="1" outlineLevel="1"/>
    <col min="50" max="121" width="15.59765625" style="259" customWidth="1"/>
    <col min="122" max="122" width="15.59765625" style="259" customWidth="1" collapsed="1"/>
    <col min="123" max="134" width="15.59765625" style="259" customWidth="1"/>
    <col min="135" max="16384" width="19.6640625" style="259"/>
  </cols>
  <sheetData>
    <row r="1" spans="1:134" ht="19.149999999999999" customHeight="1" outlineLevel="1" x14ac:dyDescent="0.4">
      <c r="C1" s="289" t="s">
        <v>224</v>
      </c>
      <c r="D1" s="289" t="s">
        <v>223</v>
      </c>
    </row>
    <row r="2" spans="1:134" ht="19.149999999999999" customHeight="1" outlineLevel="1" x14ac:dyDescent="0.4">
      <c r="A2" s="259" t="s">
        <v>222</v>
      </c>
      <c r="C2" s="288">
        <v>0.03</v>
      </c>
      <c r="D2" s="288">
        <v>2.1999999999999999E-2</v>
      </c>
      <c r="E2" s="288"/>
      <c r="F2" s="288"/>
      <c r="G2" s="288"/>
      <c r="H2" s="288"/>
      <c r="I2" s="288"/>
      <c r="J2" s="288"/>
      <c r="K2" s="288"/>
      <c r="L2" s="288"/>
      <c r="M2" s="288"/>
      <c r="N2" s="288"/>
      <c r="O2" s="288"/>
      <c r="P2" s="288"/>
      <c r="Q2" s="288"/>
      <c r="R2" s="288"/>
      <c r="S2" s="288"/>
      <c r="T2" s="288"/>
      <c r="U2" s="288"/>
      <c r="V2" s="288"/>
      <c r="W2" s="288"/>
      <c r="X2" s="288"/>
      <c r="Y2" s="288"/>
      <c r="Z2" s="288"/>
      <c r="AA2" s="288"/>
      <c r="AB2" s="288"/>
      <c r="AC2" s="288"/>
      <c r="AD2" s="288"/>
      <c r="AE2" s="288"/>
      <c r="AF2" s="288"/>
      <c r="AG2" s="288"/>
      <c r="AH2" s="288"/>
      <c r="AI2" s="288"/>
      <c r="AJ2" s="288"/>
      <c r="AK2" s="288"/>
      <c r="AL2" s="288"/>
      <c r="AM2" s="288"/>
      <c r="AN2" s="288"/>
      <c r="AO2" s="288"/>
      <c r="AP2" s="288"/>
      <c r="AQ2" s="288"/>
      <c r="AR2" s="288"/>
      <c r="AS2" s="288"/>
      <c r="AT2" s="288"/>
      <c r="AU2" s="288"/>
      <c r="AV2" s="288"/>
      <c r="AW2" s="288"/>
      <c r="AX2" s="288"/>
      <c r="AY2" s="288"/>
      <c r="AZ2" s="288"/>
      <c r="BA2" s="288"/>
      <c r="BB2" s="288"/>
      <c r="BC2" s="288"/>
      <c r="BD2" s="288"/>
      <c r="BE2" s="288"/>
      <c r="BF2" s="288"/>
      <c r="BG2" s="288"/>
      <c r="BH2" s="288"/>
      <c r="BI2" s="288"/>
      <c r="BJ2" s="288"/>
      <c r="BK2" s="288"/>
      <c r="BL2" s="288"/>
      <c r="BM2" s="288"/>
      <c r="BN2" s="288"/>
      <c r="BO2" s="288"/>
      <c r="BP2" s="288"/>
      <c r="BQ2" s="288"/>
      <c r="BR2" s="288"/>
      <c r="BS2" s="288"/>
      <c r="BT2" s="288"/>
      <c r="BU2" s="288"/>
      <c r="BV2" s="288"/>
      <c r="BW2" s="288"/>
      <c r="BX2" s="288"/>
      <c r="BY2" s="288"/>
      <c r="BZ2" s="288"/>
      <c r="CA2" s="288"/>
      <c r="CB2" s="288"/>
      <c r="CC2" s="288"/>
      <c r="CD2" s="288"/>
      <c r="CE2" s="288"/>
      <c r="CF2" s="288"/>
      <c r="CG2" s="288"/>
      <c r="CH2" s="288"/>
      <c r="CI2" s="288"/>
      <c r="CJ2" s="288"/>
      <c r="CK2" s="288"/>
      <c r="CL2" s="288"/>
      <c r="CM2" s="288"/>
      <c r="CN2" s="288"/>
      <c r="CO2" s="288"/>
      <c r="CP2" s="288"/>
      <c r="CQ2" s="288"/>
      <c r="CR2" s="288"/>
      <c r="CS2" s="288"/>
      <c r="CT2" s="288"/>
      <c r="CU2" s="288"/>
      <c r="CV2" s="288"/>
      <c r="CW2" s="288"/>
      <c r="CX2" s="288"/>
      <c r="CY2" s="288"/>
      <c r="CZ2" s="288"/>
      <c r="DA2" s="288"/>
      <c r="DB2" s="288"/>
      <c r="DC2" s="288"/>
      <c r="DD2" s="288"/>
      <c r="DE2" s="288"/>
      <c r="DF2" s="288"/>
      <c r="DG2" s="288"/>
      <c r="DH2" s="288"/>
      <c r="DI2" s="288"/>
      <c r="DJ2" s="288"/>
      <c r="DK2" s="288"/>
      <c r="DL2" s="288"/>
      <c r="DM2" s="288"/>
      <c r="DN2" s="288"/>
      <c r="DO2" s="288"/>
      <c r="DP2" s="288"/>
      <c r="DQ2" s="288"/>
      <c r="DR2" s="288"/>
      <c r="DS2" s="288"/>
      <c r="DT2" s="288"/>
      <c r="DU2" s="288"/>
      <c r="DV2" s="288"/>
      <c r="DW2" s="288"/>
      <c r="DX2" s="288"/>
      <c r="DY2" s="288"/>
      <c r="DZ2" s="288"/>
      <c r="EA2" s="288"/>
      <c r="EB2" s="288"/>
      <c r="EC2" s="288"/>
      <c r="ED2" s="288"/>
    </row>
    <row r="3" spans="1:134" ht="19.149999999999999" customHeight="1" outlineLevel="1" x14ac:dyDescent="0.4">
      <c r="A3" s="259" t="s">
        <v>221</v>
      </c>
      <c r="C3" s="288">
        <v>0.03</v>
      </c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  <c r="T3" s="288"/>
      <c r="U3" s="288"/>
      <c r="V3" s="288"/>
      <c r="W3" s="288"/>
      <c r="X3" s="288"/>
      <c r="Y3" s="288"/>
      <c r="Z3" s="288"/>
      <c r="AA3" s="288"/>
      <c r="AB3" s="288"/>
      <c r="AC3" s="288"/>
      <c r="AD3" s="288"/>
      <c r="AE3" s="288"/>
      <c r="AF3" s="288"/>
      <c r="AG3" s="288"/>
      <c r="AH3" s="288"/>
      <c r="AI3" s="288"/>
      <c r="AJ3" s="288"/>
      <c r="AK3" s="288"/>
      <c r="AL3" s="288"/>
      <c r="AM3" s="288"/>
      <c r="AN3" s="288"/>
      <c r="AO3" s="288"/>
      <c r="AP3" s="288"/>
      <c r="AQ3" s="288"/>
      <c r="AR3" s="288"/>
      <c r="AS3" s="288"/>
      <c r="AT3" s="288"/>
      <c r="AU3" s="288"/>
      <c r="AV3" s="288"/>
      <c r="AW3" s="288"/>
      <c r="AX3" s="288"/>
      <c r="AY3" s="288"/>
      <c r="AZ3" s="288"/>
      <c r="BA3" s="288"/>
      <c r="BB3" s="288"/>
      <c r="BC3" s="288"/>
      <c r="BD3" s="288"/>
      <c r="BE3" s="288"/>
      <c r="BF3" s="288"/>
      <c r="BG3" s="288"/>
      <c r="BH3" s="288"/>
      <c r="BI3" s="288"/>
      <c r="BJ3" s="288"/>
      <c r="BK3" s="288"/>
      <c r="BL3" s="288"/>
      <c r="BM3" s="288"/>
      <c r="BN3" s="288"/>
      <c r="BO3" s="288"/>
      <c r="BP3" s="288"/>
      <c r="BQ3" s="288"/>
      <c r="BR3" s="288"/>
      <c r="BS3" s="288"/>
      <c r="BT3" s="288"/>
      <c r="BU3" s="288"/>
      <c r="BV3" s="288"/>
      <c r="BW3" s="288"/>
      <c r="BX3" s="288"/>
      <c r="BY3" s="288"/>
      <c r="BZ3" s="288"/>
      <c r="CA3" s="288"/>
      <c r="CB3" s="288"/>
      <c r="CC3" s="288"/>
      <c r="CD3" s="288"/>
      <c r="CE3" s="288"/>
      <c r="CF3" s="288"/>
      <c r="CG3" s="288"/>
      <c r="CH3" s="288"/>
      <c r="CI3" s="288"/>
      <c r="CJ3" s="288"/>
      <c r="CK3" s="288"/>
      <c r="CL3" s="288"/>
      <c r="CM3" s="288"/>
      <c r="CN3" s="288"/>
      <c r="CO3" s="288"/>
      <c r="CP3" s="288"/>
      <c r="CQ3" s="288"/>
      <c r="CR3" s="288"/>
      <c r="CS3" s="288"/>
      <c r="CT3" s="288"/>
      <c r="CU3" s="288"/>
      <c r="CV3" s="288"/>
      <c r="CW3" s="288"/>
      <c r="CX3" s="288"/>
      <c r="CY3" s="288"/>
      <c r="CZ3" s="288"/>
      <c r="DA3" s="288"/>
      <c r="DB3" s="288"/>
      <c r="DC3" s="288"/>
      <c r="DD3" s="288"/>
      <c r="DE3" s="288"/>
      <c r="DF3" s="288"/>
      <c r="DG3" s="288"/>
      <c r="DH3" s="288"/>
      <c r="DI3" s="288"/>
      <c r="DJ3" s="288"/>
      <c r="DK3" s="288"/>
      <c r="DL3" s="288"/>
      <c r="DM3" s="288"/>
      <c r="DN3" s="288"/>
      <c r="DO3" s="288"/>
      <c r="DP3" s="288"/>
      <c r="DQ3" s="288"/>
      <c r="DR3" s="288"/>
      <c r="DS3" s="288"/>
      <c r="DT3" s="288"/>
      <c r="DU3" s="288"/>
      <c r="DV3" s="288"/>
      <c r="DW3" s="288"/>
      <c r="DX3" s="288"/>
      <c r="DY3" s="288"/>
      <c r="DZ3" s="288"/>
      <c r="EA3" s="288"/>
      <c r="EB3" s="288"/>
      <c r="EC3" s="288"/>
      <c r="ED3" s="288"/>
    </row>
    <row r="4" spans="1:134" ht="19.149999999999999" customHeight="1" x14ac:dyDescent="0.4">
      <c r="A4" s="268" t="s">
        <v>220</v>
      </c>
    </row>
    <row r="5" spans="1:134" ht="19.149999999999999" customHeight="1" x14ac:dyDescent="0.4">
      <c r="A5" s="264" t="s">
        <v>219</v>
      </c>
      <c r="B5" s="268"/>
      <c r="C5" s="268"/>
      <c r="D5" s="268"/>
      <c r="E5" s="268"/>
      <c r="F5" s="268"/>
      <c r="G5" s="268"/>
      <c r="H5" s="268"/>
      <c r="I5" s="268"/>
      <c r="J5" s="268"/>
      <c r="K5" s="268"/>
      <c r="L5" s="268"/>
    </row>
    <row r="6" spans="1:134" ht="12.75" customHeight="1" x14ac:dyDescent="0.4"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</row>
    <row r="7" spans="1:134" ht="15.4" customHeight="1" x14ac:dyDescent="0.4">
      <c r="B7" s="287" t="s">
        <v>218</v>
      </c>
      <c r="C7" s="287" t="s">
        <v>217</v>
      </c>
      <c r="D7" s="287" t="s">
        <v>217</v>
      </c>
      <c r="E7" s="287" t="s">
        <v>217</v>
      </c>
      <c r="F7" s="287" t="s">
        <v>217</v>
      </c>
      <c r="G7" s="287" t="s">
        <v>217</v>
      </c>
      <c r="H7" s="287" t="s">
        <v>217</v>
      </c>
      <c r="I7" s="287" t="s">
        <v>217</v>
      </c>
      <c r="J7" s="287" t="s">
        <v>217</v>
      </c>
      <c r="K7" s="287" t="s">
        <v>217</v>
      </c>
      <c r="L7" s="287" t="s">
        <v>217</v>
      </c>
      <c r="M7" s="287" t="s">
        <v>217</v>
      </c>
      <c r="N7" s="287" t="s">
        <v>217</v>
      </c>
      <c r="O7" s="287" t="s">
        <v>217</v>
      </c>
      <c r="P7" s="287" t="s">
        <v>217</v>
      </c>
      <c r="Q7" s="287" t="s">
        <v>217</v>
      </c>
      <c r="R7" s="287" t="s">
        <v>217</v>
      </c>
      <c r="S7" s="287" t="s">
        <v>217</v>
      </c>
      <c r="T7" s="287" t="s">
        <v>217</v>
      </c>
      <c r="U7" s="287" t="s">
        <v>217</v>
      </c>
      <c r="V7" s="287" t="s">
        <v>217</v>
      </c>
      <c r="W7" s="287" t="s">
        <v>217</v>
      </c>
      <c r="X7" s="287" t="s">
        <v>217</v>
      </c>
      <c r="Y7" s="287" t="s">
        <v>217</v>
      </c>
      <c r="Z7" s="287" t="s">
        <v>217</v>
      </c>
      <c r="AA7" s="287" t="s">
        <v>217</v>
      </c>
      <c r="AB7" s="287" t="s">
        <v>217</v>
      </c>
      <c r="AC7" s="287" t="s">
        <v>217</v>
      </c>
      <c r="AD7" s="287" t="s">
        <v>217</v>
      </c>
      <c r="AE7" s="287" t="s">
        <v>217</v>
      </c>
      <c r="AF7" s="287" t="s">
        <v>217</v>
      </c>
      <c r="AG7" s="287" t="s">
        <v>217</v>
      </c>
      <c r="AH7" s="287" t="s">
        <v>217</v>
      </c>
      <c r="AI7" s="287" t="s">
        <v>217</v>
      </c>
      <c r="AJ7" s="287" t="s">
        <v>217</v>
      </c>
      <c r="AK7" s="287" t="s">
        <v>217</v>
      </c>
      <c r="AL7" s="287" t="s">
        <v>217</v>
      </c>
      <c r="AM7" s="287" t="s">
        <v>217</v>
      </c>
      <c r="AN7" s="287" t="s">
        <v>217</v>
      </c>
      <c r="AO7" s="287" t="s">
        <v>217</v>
      </c>
      <c r="AP7" s="287" t="s">
        <v>217</v>
      </c>
      <c r="AQ7" s="287" t="s">
        <v>217</v>
      </c>
      <c r="AR7" s="287" t="s">
        <v>217</v>
      </c>
      <c r="AS7" s="287" t="s">
        <v>217</v>
      </c>
      <c r="AT7" s="287" t="s">
        <v>217</v>
      </c>
      <c r="AU7" s="287" t="s">
        <v>217</v>
      </c>
      <c r="AV7" s="287" t="s">
        <v>217</v>
      </c>
      <c r="AW7" s="287" t="s">
        <v>217</v>
      </c>
      <c r="AX7" s="287" t="s">
        <v>217</v>
      </c>
      <c r="AY7" s="287" t="s">
        <v>217</v>
      </c>
      <c r="AZ7" s="287" t="s">
        <v>217</v>
      </c>
      <c r="BA7" s="287" t="s">
        <v>217</v>
      </c>
      <c r="BB7" s="287" t="s">
        <v>217</v>
      </c>
      <c r="BC7" s="287" t="s">
        <v>217</v>
      </c>
      <c r="BD7" s="287" t="s">
        <v>217</v>
      </c>
      <c r="BE7" s="287" t="s">
        <v>217</v>
      </c>
      <c r="BF7" s="287" t="s">
        <v>217</v>
      </c>
      <c r="BG7" s="287" t="s">
        <v>217</v>
      </c>
      <c r="BH7" s="287" t="s">
        <v>217</v>
      </c>
      <c r="BI7" s="287" t="s">
        <v>217</v>
      </c>
      <c r="BJ7" s="287" t="s">
        <v>217</v>
      </c>
      <c r="BK7" s="287" t="s">
        <v>217</v>
      </c>
      <c r="BL7" s="287" t="s">
        <v>217</v>
      </c>
      <c r="BM7" s="287" t="s">
        <v>217</v>
      </c>
      <c r="BN7" s="287" t="s">
        <v>217</v>
      </c>
      <c r="BO7" s="287" t="s">
        <v>217</v>
      </c>
      <c r="BP7" s="287" t="s">
        <v>217</v>
      </c>
      <c r="BQ7" s="287" t="s">
        <v>217</v>
      </c>
      <c r="BR7" s="287" t="s">
        <v>217</v>
      </c>
      <c r="BS7" s="287" t="s">
        <v>217</v>
      </c>
      <c r="BT7" s="287" t="s">
        <v>217</v>
      </c>
      <c r="BU7" s="287" t="s">
        <v>217</v>
      </c>
      <c r="BV7" s="287" t="s">
        <v>217</v>
      </c>
      <c r="BW7" s="287" t="s">
        <v>217</v>
      </c>
      <c r="BX7" s="287" t="s">
        <v>217</v>
      </c>
      <c r="BY7" s="287" t="s">
        <v>217</v>
      </c>
      <c r="BZ7" s="287" t="s">
        <v>217</v>
      </c>
      <c r="CA7" s="287" t="s">
        <v>217</v>
      </c>
      <c r="CB7" s="287" t="s">
        <v>217</v>
      </c>
      <c r="CC7" s="287" t="s">
        <v>217</v>
      </c>
      <c r="CD7" s="287" t="s">
        <v>217</v>
      </c>
      <c r="CE7" s="287" t="s">
        <v>217</v>
      </c>
      <c r="CF7" s="287" t="s">
        <v>217</v>
      </c>
      <c r="CG7" s="287" t="s">
        <v>217</v>
      </c>
      <c r="CH7" s="287" t="s">
        <v>217</v>
      </c>
      <c r="CI7" s="287" t="s">
        <v>217</v>
      </c>
      <c r="CJ7" s="287" t="s">
        <v>217</v>
      </c>
      <c r="CK7" s="287" t="s">
        <v>217</v>
      </c>
      <c r="CL7" s="287" t="s">
        <v>217</v>
      </c>
      <c r="CM7" s="287" t="s">
        <v>217</v>
      </c>
      <c r="CN7" s="287" t="s">
        <v>217</v>
      </c>
      <c r="CO7" s="287" t="s">
        <v>217</v>
      </c>
      <c r="CP7" s="287" t="s">
        <v>217</v>
      </c>
      <c r="CQ7" s="287" t="s">
        <v>217</v>
      </c>
      <c r="CR7" s="287" t="s">
        <v>217</v>
      </c>
      <c r="CS7" s="287" t="s">
        <v>217</v>
      </c>
      <c r="CT7" s="287" t="s">
        <v>217</v>
      </c>
      <c r="CU7" s="287" t="s">
        <v>217</v>
      </c>
      <c r="CV7" s="287" t="s">
        <v>217</v>
      </c>
      <c r="CW7" s="287" t="s">
        <v>217</v>
      </c>
      <c r="CX7" s="287" t="s">
        <v>217</v>
      </c>
      <c r="CY7" s="287" t="s">
        <v>217</v>
      </c>
      <c r="CZ7" s="287" t="s">
        <v>217</v>
      </c>
      <c r="DA7" s="287" t="s">
        <v>217</v>
      </c>
      <c r="DB7" s="287" t="s">
        <v>217</v>
      </c>
      <c r="DC7" s="287" t="s">
        <v>217</v>
      </c>
      <c r="DD7" s="287" t="s">
        <v>217</v>
      </c>
      <c r="DE7" s="287" t="s">
        <v>217</v>
      </c>
      <c r="DF7" s="287" t="s">
        <v>217</v>
      </c>
      <c r="DG7" s="287" t="s">
        <v>217</v>
      </c>
      <c r="DH7" s="287" t="s">
        <v>217</v>
      </c>
      <c r="DI7" s="287" t="s">
        <v>217</v>
      </c>
      <c r="DJ7" s="287" t="s">
        <v>217</v>
      </c>
      <c r="DK7" s="287" t="s">
        <v>217</v>
      </c>
      <c r="DL7" s="287" t="s">
        <v>217</v>
      </c>
      <c r="DM7" s="287" t="s">
        <v>217</v>
      </c>
      <c r="DN7" s="287" t="s">
        <v>217</v>
      </c>
      <c r="DO7" s="287" t="s">
        <v>217</v>
      </c>
      <c r="DP7" s="287" t="s">
        <v>217</v>
      </c>
      <c r="DQ7" s="287" t="s">
        <v>217</v>
      </c>
      <c r="DR7" s="287" t="s">
        <v>217</v>
      </c>
      <c r="DS7" s="287" t="s">
        <v>217</v>
      </c>
      <c r="DT7" s="287" t="s">
        <v>217</v>
      </c>
      <c r="DU7" s="287" t="s">
        <v>217</v>
      </c>
      <c r="DV7" s="287" t="s">
        <v>217</v>
      </c>
      <c r="DW7" s="287" t="s">
        <v>217</v>
      </c>
      <c r="DX7" s="287" t="s">
        <v>217</v>
      </c>
      <c r="DY7" s="287" t="s">
        <v>217</v>
      </c>
      <c r="DZ7" s="287" t="s">
        <v>217</v>
      </c>
      <c r="EA7" s="287" t="s">
        <v>217</v>
      </c>
      <c r="EB7" s="287" t="s">
        <v>217</v>
      </c>
      <c r="EC7" s="287" t="s">
        <v>217</v>
      </c>
      <c r="ED7" s="287" t="s">
        <v>217</v>
      </c>
    </row>
    <row r="8" spans="1:134" ht="19.149999999999999" customHeight="1" x14ac:dyDescent="0.4">
      <c r="B8" s="286">
        <f t="shared" ref="B8:AG8" si="0">ROUNDUP(B$9/12,0)</f>
        <v>0</v>
      </c>
      <c r="C8" s="286">
        <f t="shared" si="0"/>
        <v>1</v>
      </c>
      <c r="D8" s="286">
        <f t="shared" si="0"/>
        <v>1</v>
      </c>
      <c r="E8" s="286">
        <f t="shared" si="0"/>
        <v>1</v>
      </c>
      <c r="F8" s="286">
        <f t="shared" si="0"/>
        <v>1</v>
      </c>
      <c r="G8" s="286">
        <f t="shared" si="0"/>
        <v>1</v>
      </c>
      <c r="H8" s="286">
        <f t="shared" si="0"/>
        <v>1</v>
      </c>
      <c r="I8" s="286">
        <f t="shared" si="0"/>
        <v>1</v>
      </c>
      <c r="J8" s="286">
        <f t="shared" si="0"/>
        <v>1</v>
      </c>
      <c r="K8" s="286">
        <f t="shared" si="0"/>
        <v>1</v>
      </c>
      <c r="L8" s="286">
        <f t="shared" si="0"/>
        <v>1</v>
      </c>
      <c r="M8" s="286">
        <f t="shared" si="0"/>
        <v>1</v>
      </c>
      <c r="N8" s="286">
        <f t="shared" si="0"/>
        <v>1</v>
      </c>
      <c r="O8" s="286">
        <f t="shared" si="0"/>
        <v>2</v>
      </c>
      <c r="P8" s="286">
        <f t="shared" si="0"/>
        <v>2</v>
      </c>
      <c r="Q8" s="286">
        <f t="shared" si="0"/>
        <v>2</v>
      </c>
      <c r="R8" s="286">
        <f t="shared" si="0"/>
        <v>2</v>
      </c>
      <c r="S8" s="286">
        <f t="shared" si="0"/>
        <v>2</v>
      </c>
      <c r="T8" s="286">
        <f t="shared" si="0"/>
        <v>2</v>
      </c>
      <c r="U8" s="286">
        <f t="shared" si="0"/>
        <v>2</v>
      </c>
      <c r="V8" s="286">
        <f t="shared" si="0"/>
        <v>2</v>
      </c>
      <c r="W8" s="286">
        <f t="shared" si="0"/>
        <v>2</v>
      </c>
      <c r="X8" s="286">
        <f t="shared" si="0"/>
        <v>2</v>
      </c>
      <c r="Y8" s="286">
        <f t="shared" si="0"/>
        <v>2</v>
      </c>
      <c r="Z8" s="286">
        <f t="shared" si="0"/>
        <v>2</v>
      </c>
      <c r="AA8" s="286">
        <f t="shared" si="0"/>
        <v>3</v>
      </c>
      <c r="AB8" s="286">
        <f t="shared" si="0"/>
        <v>3</v>
      </c>
      <c r="AC8" s="286">
        <f t="shared" si="0"/>
        <v>3</v>
      </c>
      <c r="AD8" s="286">
        <f t="shared" si="0"/>
        <v>3</v>
      </c>
      <c r="AE8" s="286">
        <f t="shared" si="0"/>
        <v>3</v>
      </c>
      <c r="AF8" s="286">
        <f t="shared" si="0"/>
        <v>3</v>
      </c>
      <c r="AG8" s="286">
        <f t="shared" si="0"/>
        <v>3</v>
      </c>
      <c r="AH8" s="286">
        <f t="shared" ref="AH8:BM8" si="1">ROUNDUP(AH$9/12,0)</f>
        <v>3</v>
      </c>
      <c r="AI8" s="286">
        <f t="shared" si="1"/>
        <v>3</v>
      </c>
      <c r="AJ8" s="286">
        <f t="shared" si="1"/>
        <v>3</v>
      </c>
      <c r="AK8" s="286">
        <f t="shared" si="1"/>
        <v>3</v>
      </c>
      <c r="AL8" s="286">
        <f t="shared" si="1"/>
        <v>3</v>
      </c>
      <c r="AM8" s="286">
        <f t="shared" si="1"/>
        <v>4</v>
      </c>
      <c r="AN8" s="286">
        <f t="shared" si="1"/>
        <v>4</v>
      </c>
      <c r="AO8" s="286">
        <f t="shared" si="1"/>
        <v>4</v>
      </c>
      <c r="AP8" s="286">
        <f t="shared" si="1"/>
        <v>4</v>
      </c>
      <c r="AQ8" s="286">
        <f t="shared" si="1"/>
        <v>4</v>
      </c>
      <c r="AR8" s="286">
        <f t="shared" si="1"/>
        <v>4</v>
      </c>
      <c r="AS8" s="286">
        <f t="shared" si="1"/>
        <v>4</v>
      </c>
      <c r="AT8" s="286">
        <f t="shared" si="1"/>
        <v>4</v>
      </c>
      <c r="AU8" s="286">
        <f t="shared" si="1"/>
        <v>4</v>
      </c>
      <c r="AV8" s="286">
        <f t="shared" si="1"/>
        <v>4</v>
      </c>
      <c r="AW8" s="286">
        <f t="shared" si="1"/>
        <v>4</v>
      </c>
      <c r="AX8" s="286">
        <f t="shared" si="1"/>
        <v>4</v>
      </c>
      <c r="AY8" s="286">
        <f t="shared" si="1"/>
        <v>5</v>
      </c>
      <c r="AZ8" s="286">
        <f t="shared" si="1"/>
        <v>5</v>
      </c>
      <c r="BA8" s="286">
        <f t="shared" si="1"/>
        <v>5</v>
      </c>
      <c r="BB8" s="286">
        <f t="shared" si="1"/>
        <v>5</v>
      </c>
      <c r="BC8" s="286">
        <f t="shared" si="1"/>
        <v>5</v>
      </c>
      <c r="BD8" s="286">
        <f t="shared" si="1"/>
        <v>5</v>
      </c>
      <c r="BE8" s="286">
        <f t="shared" si="1"/>
        <v>5</v>
      </c>
      <c r="BF8" s="286">
        <f t="shared" si="1"/>
        <v>5</v>
      </c>
      <c r="BG8" s="286">
        <f t="shared" si="1"/>
        <v>5</v>
      </c>
      <c r="BH8" s="286">
        <f t="shared" si="1"/>
        <v>5</v>
      </c>
      <c r="BI8" s="286">
        <f t="shared" si="1"/>
        <v>5</v>
      </c>
      <c r="BJ8" s="286">
        <f t="shared" si="1"/>
        <v>5</v>
      </c>
      <c r="BK8" s="286">
        <f t="shared" si="1"/>
        <v>6</v>
      </c>
      <c r="BL8" s="286">
        <f t="shared" si="1"/>
        <v>6</v>
      </c>
      <c r="BM8" s="286">
        <f t="shared" si="1"/>
        <v>6</v>
      </c>
      <c r="BN8" s="286">
        <f t="shared" ref="BN8:CS8" si="2">ROUNDUP(BN$9/12,0)</f>
        <v>6</v>
      </c>
      <c r="BO8" s="286">
        <f t="shared" si="2"/>
        <v>6</v>
      </c>
      <c r="BP8" s="286">
        <f t="shared" si="2"/>
        <v>6</v>
      </c>
      <c r="BQ8" s="286">
        <f t="shared" si="2"/>
        <v>6</v>
      </c>
      <c r="BR8" s="286">
        <f t="shared" si="2"/>
        <v>6</v>
      </c>
      <c r="BS8" s="286">
        <f t="shared" si="2"/>
        <v>6</v>
      </c>
      <c r="BT8" s="286">
        <f t="shared" si="2"/>
        <v>6</v>
      </c>
      <c r="BU8" s="286">
        <f t="shared" si="2"/>
        <v>6</v>
      </c>
      <c r="BV8" s="286">
        <f t="shared" si="2"/>
        <v>6</v>
      </c>
      <c r="BW8" s="286">
        <f t="shared" si="2"/>
        <v>7</v>
      </c>
      <c r="BX8" s="286">
        <f t="shared" si="2"/>
        <v>7</v>
      </c>
      <c r="BY8" s="286">
        <f t="shared" si="2"/>
        <v>7</v>
      </c>
      <c r="BZ8" s="286">
        <f t="shared" si="2"/>
        <v>7</v>
      </c>
      <c r="CA8" s="286">
        <f t="shared" si="2"/>
        <v>7</v>
      </c>
      <c r="CB8" s="286">
        <f t="shared" si="2"/>
        <v>7</v>
      </c>
      <c r="CC8" s="286">
        <f t="shared" si="2"/>
        <v>7</v>
      </c>
      <c r="CD8" s="286">
        <f t="shared" si="2"/>
        <v>7</v>
      </c>
      <c r="CE8" s="286">
        <f t="shared" si="2"/>
        <v>7</v>
      </c>
      <c r="CF8" s="286">
        <f t="shared" si="2"/>
        <v>7</v>
      </c>
      <c r="CG8" s="286">
        <f t="shared" si="2"/>
        <v>7</v>
      </c>
      <c r="CH8" s="286">
        <f t="shared" si="2"/>
        <v>7</v>
      </c>
      <c r="CI8" s="286">
        <f t="shared" si="2"/>
        <v>8</v>
      </c>
      <c r="CJ8" s="286">
        <f t="shared" si="2"/>
        <v>8</v>
      </c>
      <c r="CK8" s="286">
        <f t="shared" si="2"/>
        <v>8</v>
      </c>
      <c r="CL8" s="286">
        <f t="shared" si="2"/>
        <v>8</v>
      </c>
      <c r="CM8" s="286">
        <f t="shared" si="2"/>
        <v>8</v>
      </c>
      <c r="CN8" s="286">
        <f t="shared" si="2"/>
        <v>8</v>
      </c>
      <c r="CO8" s="286">
        <f t="shared" si="2"/>
        <v>8</v>
      </c>
      <c r="CP8" s="286">
        <f t="shared" si="2"/>
        <v>8</v>
      </c>
      <c r="CQ8" s="286">
        <f t="shared" si="2"/>
        <v>8</v>
      </c>
      <c r="CR8" s="286">
        <f t="shared" si="2"/>
        <v>8</v>
      </c>
      <c r="CS8" s="286">
        <f t="shared" si="2"/>
        <v>8</v>
      </c>
      <c r="CT8" s="286">
        <f t="shared" ref="CT8:ED8" si="3">ROUNDUP(CT$9/12,0)</f>
        <v>8</v>
      </c>
      <c r="CU8" s="286">
        <f t="shared" si="3"/>
        <v>9</v>
      </c>
      <c r="CV8" s="286">
        <f t="shared" si="3"/>
        <v>9</v>
      </c>
      <c r="CW8" s="286">
        <f t="shared" si="3"/>
        <v>9</v>
      </c>
      <c r="CX8" s="286">
        <f t="shared" si="3"/>
        <v>9</v>
      </c>
      <c r="CY8" s="286">
        <f t="shared" si="3"/>
        <v>9</v>
      </c>
      <c r="CZ8" s="286">
        <f t="shared" si="3"/>
        <v>9</v>
      </c>
      <c r="DA8" s="286">
        <f t="shared" si="3"/>
        <v>9</v>
      </c>
      <c r="DB8" s="286">
        <f t="shared" si="3"/>
        <v>9</v>
      </c>
      <c r="DC8" s="286">
        <f t="shared" si="3"/>
        <v>9</v>
      </c>
      <c r="DD8" s="286">
        <f t="shared" si="3"/>
        <v>9</v>
      </c>
      <c r="DE8" s="286">
        <f t="shared" si="3"/>
        <v>9</v>
      </c>
      <c r="DF8" s="286">
        <f t="shared" si="3"/>
        <v>9</v>
      </c>
      <c r="DG8" s="286">
        <f t="shared" si="3"/>
        <v>10</v>
      </c>
      <c r="DH8" s="286">
        <f t="shared" si="3"/>
        <v>10</v>
      </c>
      <c r="DI8" s="286">
        <f t="shared" si="3"/>
        <v>10</v>
      </c>
      <c r="DJ8" s="286">
        <f t="shared" si="3"/>
        <v>10</v>
      </c>
      <c r="DK8" s="286">
        <f t="shared" si="3"/>
        <v>10</v>
      </c>
      <c r="DL8" s="286">
        <f t="shared" si="3"/>
        <v>10</v>
      </c>
      <c r="DM8" s="286">
        <f t="shared" si="3"/>
        <v>10</v>
      </c>
      <c r="DN8" s="286">
        <f t="shared" si="3"/>
        <v>10</v>
      </c>
      <c r="DO8" s="286">
        <f t="shared" si="3"/>
        <v>10</v>
      </c>
      <c r="DP8" s="286">
        <f t="shared" si="3"/>
        <v>10</v>
      </c>
      <c r="DQ8" s="286">
        <f t="shared" si="3"/>
        <v>10</v>
      </c>
      <c r="DR8" s="286">
        <f t="shared" si="3"/>
        <v>10</v>
      </c>
      <c r="DS8" s="286">
        <f t="shared" si="3"/>
        <v>11</v>
      </c>
      <c r="DT8" s="286">
        <f t="shared" si="3"/>
        <v>11</v>
      </c>
      <c r="DU8" s="286">
        <f t="shared" si="3"/>
        <v>11</v>
      </c>
      <c r="DV8" s="286">
        <f t="shared" si="3"/>
        <v>11</v>
      </c>
      <c r="DW8" s="286">
        <f t="shared" si="3"/>
        <v>11</v>
      </c>
      <c r="DX8" s="286">
        <f t="shared" si="3"/>
        <v>11</v>
      </c>
      <c r="DY8" s="286">
        <f t="shared" si="3"/>
        <v>11</v>
      </c>
      <c r="DZ8" s="286">
        <f t="shared" si="3"/>
        <v>11</v>
      </c>
      <c r="EA8" s="286">
        <f t="shared" si="3"/>
        <v>11</v>
      </c>
      <c r="EB8" s="286">
        <f t="shared" si="3"/>
        <v>11</v>
      </c>
      <c r="EC8" s="286">
        <f t="shared" si="3"/>
        <v>11</v>
      </c>
      <c r="ED8" s="286">
        <f t="shared" si="3"/>
        <v>11</v>
      </c>
    </row>
    <row r="9" spans="1:134" ht="19.149999999999999" customHeight="1" x14ac:dyDescent="0.4">
      <c r="B9" s="285"/>
      <c r="C9" s="285" cm="1">
        <f t="array" ref="C9:ED9">_xlfn.SEQUENCE(1,('Torrance Inputs'!$D$20+1)*12,1,1)</f>
        <v>1</v>
      </c>
      <c r="D9" s="285">
        <v>2</v>
      </c>
      <c r="E9" s="285">
        <v>3</v>
      </c>
      <c r="F9" s="285">
        <v>4</v>
      </c>
      <c r="G9" s="285">
        <v>5</v>
      </c>
      <c r="H9" s="285">
        <v>6</v>
      </c>
      <c r="I9" s="285">
        <v>7</v>
      </c>
      <c r="J9" s="285">
        <v>8</v>
      </c>
      <c r="K9" s="285">
        <v>9</v>
      </c>
      <c r="L9" s="285">
        <v>10</v>
      </c>
      <c r="M9" s="285">
        <v>11</v>
      </c>
      <c r="N9" s="285">
        <v>12</v>
      </c>
      <c r="O9" s="285">
        <v>13</v>
      </c>
      <c r="P9" s="285">
        <v>14</v>
      </c>
      <c r="Q9" s="285">
        <v>15</v>
      </c>
      <c r="R9" s="285">
        <v>16</v>
      </c>
      <c r="S9" s="285">
        <v>17</v>
      </c>
      <c r="T9" s="285">
        <v>18</v>
      </c>
      <c r="U9" s="285">
        <v>19</v>
      </c>
      <c r="V9" s="285">
        <v>20</v>
      </c>
      <c r="W9" s="285">
        <v>21</v>
      </c>
      <c r="X9" s="285">
        <v>22</v>
      </c>
      <c r="Y9" s="285">
        <v>23</v>
      </c>
      <c r="Z9" s="285">
        <v>24</v>
      </c>
      <c r="AA9" s="285">
        <v>25</v>
      </c>
      <c r="AB9" s="285">
        <v>26</v>
      </c>
      <c r="AC9" s="285">
        <v>27</v>
      </c>
      <c r="AD9" s="285">
        <v>28</v>
      </c>
      <c r="AE9" s="285">
        <v>29</v>
      </c>
      <c r="AF9" s="285">
        <v>30</v>
      </c>
      <c r="AG9" s="285">
        <v>31</v>
      </c>
      <c r="AH9" s="285">
        <v>32</v>
      </c>
      <c r="AI9" s="285">
        <v>33</v>
      </c>
      <c r="AJ9" s="285">
        <v>34</v>
      </c>
      <c r="AK9" s="285">
        <v>35</v>
      </c>
      <c r="AL9" s="285">
        <v>36</v>
      </c>
      <c r="AM9" s="285">
        <v>37</v>
      </c>
      <c r="AN9" s="285">
        <v>38</v>
      </c>
      <c r="AO9" s="285">
        <v>39</v>
      </c>
      <c r="AP9" s="285">
        <v>40</v>
      </c>
      <c r="AQ9" s="285">
        <v>41</v>
      </c>
      <c r="AR9" s="285">
        <v>42</v>
      </c>
      <c r="AS9" s="285">
        <v>43</v>
      </c>
      <c r="AT9" s="285">
        <v>44</v>
      </c>
      <c r="AU9" s="285">
        <v>45</v>
      </c>
      <c r="AV9" s="285">
        <v>46</v>
      </c>
      <c r="AW9" s="285">
        <v>47</v>
      </c>
      <c r="AX9" s="285">
        <v>48</v>
      </c>
      <c r="AY9" s="285">
        <v>49</v>
      </c>
      <c r="AZ9" s="285">
        <v>50</v>
      </c>
      <c r="BA9" s="285">
        <v>51</v>
      </c>
      <c r="BB9" s="285">
        <v>52</v>
      </c>
      <c r="BC9" s="285">
        <v>53</v>
      </c>
      <c r="BD9" s="285">
        <v>54</v>
      </c>
      <c r="BE9" s="285">
        <v>55</v>
      </c>
      <c r="BF9" s="285">
        <v>56</v>
      </c>
      <c r="BG9" s="285">
        <v>57</v>
      </c>
      <c r="BH9" s="285">
        <v>58</v>
      </c>
      <c r="BI9" s="285">
        <v>59</v>
      </c>
      <c r="BJ9" s="285">
        <v>60</v>
      </c>
      <c r="BK9" s="285">
        <v>61</v>
      </c>
      <c r="BL9" s="285">
        <v>62</v>
      </c>
      <c r="BM9" s="285">
        <v>63</v>
      </c>
      <c r="BN9" s="285">
        <v>64</v>
      </c>
      <c r="BO9" s="285">
        <v>65</v>
      </c>
      <c r="BP9" s="285">
        <v>66</v>
      </c>
      <c r="BQ9" s="285">
        <v>67</v>
      </c>
      <c r="BR9" s="285">
        <v>68</v>
      </c>
      <c r="BS9" s="285">
        <v>69</v>
      </c>
      <c r="BT9" s="285">
        <v>70</v>
      </c>
      <c r="BU9" s="285">
        <v>71</v>
      </c>
      <c r="BV9" s="285">
        <v>72</v>
      </c>
      <c r="BW9" s="285">
        <v>73</v>
      </c>
      <c r="BX9" s="285">
        <v>74</v>
      </c>
      <c r="BY9" s="285">
        <v>75</v>
      </c>
      <c r="BZ9" s="285">
        <v>76</v>
      </c>
      <c r="CA9" s="285">
        <v>77</v>
      </c>
      <c r="CB9" s="285">
        <v>78</v>
      </c>
      <c r="CC9" s="285">
        <v>79</v>
      </c>
      <c r="CD9" s="285">
        <v>80</v>
      </c>
      <c r="CE9" s="285">
        <v>81</v>
      </c>
      <c r="CF9" s="285">
        <v>82</v>
      </c>
      <c r="CG9" s="285">
        <v>83</v>
      </c>
      <c r="CH9" s="285">
        <v>84</v>
      </c>
      <c r="CI9" s="285">
        <v>85</v>
      </c>
      <c r="CJ9" s="285">
        <v>86</v>
      </c>
      <c r="CK9" s="285">
        <v>87</v>
      </c>
      <c r="CL9" s="285">
        <v>88</v>
      </c>
      <c r="CM9" s="285">
        <v>89</v>
      </c>
      <c r="CN9" s="285">
        <v>90</v>
      </c>
      <c r="CO9" s="285">
        <v>91</v>
      </c>
      <c r="CP9" s="285">
        <v>92</v>
      </c>
      <c r="CQ9" s="285">
        <v>93</v>
      </c>
      <c r="CR9" s="285">
        <v>94</v>
      </c>
      <c r="CS9" s="285">
        <v>95</v>
      </c>
      <c r="CT9" s="285">
        <v>96</v>
      </c>
      <c r="CU9" s="285">
        <v>97</v>
      </c>
      <c r="CV9" s="285">
        <v>98</v>
      </c>
      <c r="CW9" s="285">
        <v>99</v>
      </c>
      <c r="CX9" s="285">
        <v>100</v>
      </c>
      <c r="CY9" s="285">
        <v>101</v>
      </c>
      <c r="CZ9" s="285">
        <v>102</v>
      </c>
      <c r="DA9" s="285">
        <v>103</v>
      </c>
      <c r="DB9" s="285">
        <v>104</v>
      </c>
      <c r="DC9" s="285">
        <v>105</v>
      </c>
      <c r="DD9" s="285">
        <v>106</v>
      </c>
      <c r="DE9" s="285">
        <v>107</v>
      </c>
      <c r="DF9" s="285">
        <v>108</v>
      </c>
      <c r="DG9" s="285">
        <v>109</v>
      </c>
      <c r="DH9" s="285">
        <v>110</v>
      </c>
      <c r="DI9" s="285">
        <v>111</v>
      </c>
      <c r="DJ9" s="285">
        <v>112</v>
      </c>
      <c r="DK9" s="285">
        <v>113</v>
      </c>
      <c r="DL9" s="285">
        <v>114</v>
      </c>
      <c r="DM9" s="285">
        <v>115</v>
      </c>
      <c r="DN9" s="285">
        <v>116</v>
      </c>
      <c r="DO9" s="285">
        <v>117</v>
      </c>
      <c r="DP9" s="285">
        <v>118</v>
      </c>
      <c r="DQ9" s="285">
        <v>119</v>
      </c>
      <c r="DR9" s="285">
        <v>120</v>
      </c>
      <c r="DS9" s="285">
        <v>121</v>
      </c>
      <c r="DT9" s="285">
        <v>122</v>
      </c>
      <c r="DU9" s="285">
        <v>123</v>
      </c>
      <c r="DV9" s="285">
        <v>124</v>
      </c>
      <c r="DW9" s="285">
        <v>125</v>
      </c>
      <c r="DX9" s="285">
        <v>126</v>
      </c>
      <c r="DY9" s="285">
        <v>127</v>
      </c>
      <c r="DZ9" s="285">
        <v>128</v>
      </c>
      <c r="EA9" s="285">
        <v>129</v>
      </c>
      <c r="EB9" s="285">
        <v>130</v>
      </c>
      <c r="EC9" s="285">
        <v>131</v>
      </c>
      <c r="ED9" s="285">
        <v>132</v>
      </c>
    </row>
    <row r="10" spans="1:134" ht="19.149999999999999" customHeight="1" x14ac:dyDescent="0.4">
      <c r="A10" s="264" t="s">
        <v>216</v>
      </c>
      <c r="B10" s="284">
        <f>EDATE(C10,-12)</f>
        <v>45292</v>
      </c>
      <c r="C10" s="284">
        <f>EDATE('Torrance Inputs'!analysis_start,0)</f>
        <v>45658</v>
      </c>
      <c r="D10" s="284">
        <f t="shared" ref="D10:AI10" si="4">EOMONTH(C10,1)</f>
        <v>45716</v>
      </c>
      <c r="E10" s="284">
        <f t="shared" si="4"/>
        <v>45747</v>
      </c>
      <c r="F10" s="284">
        <f t="shared" si="4"/>
        <v>45777</v>
      </c>
      <c r="G10" s="284">
        <f t="shared" si="4"/>
        <v>45808</v>
      </c>
      <c r="H10" s="284">
        <f t="shared" si="4"/>
        <v>45838</v>
      </c>
      <c r="I10" s="284">
        <f t="shared" si="4"/>
        <v>45869</v>
      </c>
      <c r="J10" s="284">
        <f t="shared" si="4"/>
        <v>45900</v>
      </c>
      <c r="K10" s="284">
        <f t="shared" si="4"/>
        <v>45930</v>
      </c>
      <c r="L10" s="284">
        <f t="shared" si="4"/>
        <v>45961</v>
      </c>
      <c r="M10" s="284">
        <f t="shared" si="4"/>
        <v>45991</v>
      </c>
      <c r="N10" s="284">
        <f t="shared" si="4"/>
        <v>46022</v>
      </c>
      <c r="O10" s="284">
        <f t="shared" si="4"/>
        <v>46053</v>
      </c>
      <c r="P10" s="284">
        <f t="shared" si="4"/>
        <v>46081</v>
      </c>
      <c r="Q10" s="284">
        <f t="shared" si="4"/>
        <v>46112</v>
      </c>
      <c r="R10" s="284">
        <f t="shared" si="4"/>
        <v>46142</v>
      </c>
      <c r="S10" s="284">
        <f t="shared" si="4"/>
        <v>46173</v>
      </c>
      <c r="T10" s="284">
        <f t="shared" si="4"/>
        <v>46203</v>
      </c>
      <c r="U10" s="284">
        <f t="shared" si="4"/>
        <v>46234</v>
      </c>
      <c r="V10" s="284">
        <f t="shared" si="4"/>
        <v>46265</v>
      </c>
      <c r="W10" s="284">
        <f t="shared" si="4"/>
        <v>46295</v>
      </c>
      <c r="X10" s="284">
        <f t="shared" si="4"/>
        <v>46326</v>
      </c>
      <c r="Y10" s="284">
        <f t="shared" si="4"/>
        <v>46356</v>
      </c>
      <c r="Z10" s="284">
        <f t="shared" si="4"/>
        <v>46387</v>
      </c>
      <c r="AA10" s="284">
        <f t="shared" si="4"/>
        <v>46418</v>
      </c>
      <c r="AB10" s="284">
        <f t="shared" si="4"/>
        <v>46446</v>
      </c>
      <c r="AC10" s="284">
        <f t="shared" si="4"/>
        <v>46477</v>
      </c>
      <c r="AD10" s="284">
        <f t="shared" si="4"/>
        <v>46507</v>
      </c>
      <c r="AE10" s="284">
        <f t="shared" si="4"/>
        <v>46538</v>
      </c>
      <c r="AF10" s="284">
        <f t="shared" si="4"/>
        <v>46568</v>
      </c>
      <c r="AG10" s="284">
        <f t="shared" si="4"/>
        <v>46599</v>
      </c>
      <c r="AH10" s="284">
        <f t="shared" si="4"/>
        <v>46630</v>
      </c>
      <c r="AI10" s="284">
        <f t="shared" si="4"/>
        <v>46660</v>
      </c>
      <c r="AJ10" s="284">
        <f t="shared" ref="AJ10:BO10" si="5">EOMONTH(AI10,1)</f>
        <v>46691</v>
      </c>
      <c r="AK10" s="284">
        <f t="shared" si="5"/>
        <v>46721</v>
      </c>
      <c r="AL10" s="284">
        <f t="shared" si="5"/>
        <v>46752</v>
      </c>
      <c r="AM10" s="284">
        <f t="shared" si="5"/>
        <v>46783</v>
      </c>
      <c r="AN10" s="284">
        <f t="shared" si="5"/>
        <v>46812</v>
      </c>
      <c r="AO10" s="284">
        <f t="shared" si="5"/>
        <v>46843</v>
      </c>
      <c r="AP10" s="284">
        <f t="shared" si="5"/>
        <v>46873</v>
      </c>
      <c r="AQ10" s="284">
        <f t="shared" si="5"/>
        <v>46904</v>
      </c>
      <c r="AR10" s="284">
        <f t="shared" si="5"/>
        <v>46934</v>
      </c>
      <c r="AS10" s="284">
        <f t="shared" si="5"/>
        <v>46965</v>
      </c>
      <c r="AT10" s="284">
        <f t="shared" si="5"/>
        <v>46996</v>
      </c>
      <c r="AU10" s="284">
        <f t="shared" si="5"/>
        <v>47026</v>
      </c>
      <c r="AV10" s="284">
        <f t="shared" si="5"/>
        <v>47057</v>
      </c>
      <c r="AW10" s="284">
        <f t="shared" si="5"/>
        <v>47087</v>
      </c>
      <c r="AX10" s="284">
        <f t="shared" si="5"/>
        <v>47118</v>
      </c>
      <c r="AY10" s="284">
        <f t="shared" si="5"/>
        <v>47149</v>
      </c>
      <c r="AZ10" s="284">
        <f t="shared" si="5"/>
        <v>47177</v>
      </c>
      <c r="BA10" s="284">
        <f t="shared" si="5"/>
        <v>47208</v>
      </c>
      <c r="BB10" s="284">
        <f t="shared" si="5"/>
        <v>47238</v>
      </c>
      <c r="BC10" s="284">
        <f t="shared" si="5"/>
        <v>47269</v>
      </c>
      <c r="BD10" s="284">
        <f t="shared" si="5"/>
        <v>47299</v>
      </c>
      <c r="BE10" s="284">
        <f t="shared" si="5"/>
        <v>47330</v>
      </c>
      <c r="BF10" s="284">
        <f t="shared" si="5"/>
        <v>47361</v>
      </c>
      <c r="BG10" s="284">
        <f t="shared" si="5"/>
        <v>47391</v>
      </c>
      <c r="BH10" s="284">
        <f t="shared" si="5"/>
        <v>47422</v>
      </c>
      <c r="BI10" s="284">
        <f t="shared" si="5"/>
        <v>47452</v>
      </c>
      <c r="BJ10" s="284">
        <f t="shared" si="5"/>
        <v>47483</v>
      </c>
      <c r="BK10" s="284">
        <f t="shared" si="5"/>
        <v>47514</v>
      </c>
      <c r="BL10" s="284">
        <f t="shared" si="5"/>
        <v>47542</v>
      </c>
      <c r="BM10" s="284">
        <f t="shared" si="5"/>
        <v>47573</v>
      </c>
      <c r="BN10" s="284">
        <f t="shared" si="5"/>
        <v>47603</v>
      </c>
      <c r="BO10" s="284">
        <f t="shared" si="5"/>
        <v>47634</v>
      </c>
      <c r="BP10" s="284">
        <f t="shared" ref="BP10:CU10" si="6">EOMONTH(BO10,1)</f>
        <v>47664</v>
      </c>
      <c r="BQ10" s="284">
        <f t="shared" si="6"/>
        <v>47695</v>
      </c>
      <c r="BR10" s="284">
        <f t="shared" si="6"/>
        <v>47726</v>
      </c>
      <c r="BS10" s="284">
        <f t="shared" si="6"/>
        <v>47756</v>
      </c>
      <c r="BT10" s="284">
        <f t="shared" si="6"/>
        <v>47787</v>
      </c>
      <c r="BU10" s="284">
        <f t="shared" si="6"/>
        <v>47817</v>
      </c>
      <c r="BV10" s="284">
        <f t="shared" si="6"/>
        <v>47848</v>
      </c>
      <c r="BW10" s="284">
        <f t="shared" si="6"/>
        <v>47879</v>
      </c>
      <c r="BX10" s="284">
        <f t="shared" si="6"/>
        <v>47907</v>
      </c>
      <c r="BY10" s="284">
        <f t="shared" si="6"/>
        <v>47938</v>
      </c>
      <c r="BZ10" s="284">
        <f t="shared" si="6"/>
        <v>47968</v>
      </c>
      <c r="CA10" s="284">
        <f t="shared" si="6"/>
        <v>47999</v>
      </c>
      <c r="CB10" s="284">
        <f t="shared" si="6"/>
        <v>48029</v>
      </c>
      <c r="CC10" s="284">
        <f t="shared" si="6"/>
        <v>48060</v>
      </c>
      <c r="CD10" s="284">
        <f t="shared" si="6"/>
        <v>48091</v>
      </c>
      <c r="CE10" s="284">
        <f t="shared" si="6"/>
        <v>48121</v>
      </c>
      <c r="CF10" s="284">
        <f t="shared" si="6"/>
        <v>48152</v>
      </c>
      <c r="CG10" s="284">
        <f t="shared" si="6"/>
        <v>48182</v>
      </c>
      <c r="CH10" s="284">
        <f t="shared" si="6"/>
        <v>48213</v>
      </c>
      <c r="CI10" s="284">
        <f t="shared" si="6"/>
        <v>48244</v>
      </c>
      <c r="CJ10" s="284">
        <f t="shared" si="6"/>
        <v>48273</v>
      </c>
      <c r="CK10" s="284">
        <f t="shared" si="6"/>
        <v>48304</v>
      </c>
      <c r="CL10" s="284">
        <f t="shared" si="6"/>
        <v>48334</v>
      </c>
      <c r="CM10" s="284">
        <f t="shared" si="6"/>
        <v>48365</v>
      </c>
      <c r="CN10" s="284">
        <f t="shared" si="6"/>
        <v>48395</v>
      </c>
      <c r="CO10" s="284">
        <f t="shared" si="6"/>
        <v>48426</v>
      </c>
      <c r="CP10" s="284">
        <f t="shared" si="6"/>
        <v>48457</v>
      </c>
      <c r="CQ10" s="284">
        <f t="shared" si="6"/>
        <v>48487</v>
      </c>
      <c r="CR10" s="284">
        <f t="shared" si="6"/>
        <v>48518</v>
      </c>
      <c r="CS10" s="284">
        <f t="shared" si="6"/>
        <v>48548</v>
      </c>
      <c r="CT10" s="284">
        <f t="shared" si="6"/>
        <v>48579</v>
      </c>
      <c r="CU10" s="284">
        <f t="shared" si="6"/>
        <v>48610</v>
      </c>
      <c r="CV10" s="284">
        <f t="shared" ref="CV10:ED10" si="7">EOMONTH(CU10,1)</f>
        <v>48638</v>
      </c>
      <c r="CW10" s="284">
        <f t="shared" si="7"/>
        <v>48669</v>
      </c>
      <c r="CX10" s="284">
        <f t="shared" si="7"/>
        <v>48699</v>
      </c>
      <c r="CY10" s="284">
        <f t="shared" si="7"/>
        <v>48730</v>
      </c>
      <c r="CZ10" s="284">
        <f t="shared" si="7"/>
        <v>48760</v>
      </c>
      <c r="DA10" s="284">
        <f t="shared" si="7"/>
        <v>48791</v>
      </c>
      <c r="DB10" s="284">
        <f t="shared" si="7"/>
        <v>48822</v>
      </c>
      <c r="DC10" s="284">
        <f t="shared" si="7"/>
        <v>48852</v>
      </c>
      <c r="DD10" s="284">
        <f t="shared" si="7"/>
        <v>48883</v>
      </c>
      <c r="DE10" s="284">
        <f t="shared" si="7"/>
        <v>48913</v>
      </c>
      <c r="DF10" s="284">
        <f t="shared" si="7"/>
        <v>48944</v>
      </c>
      <c r="DG10" s="284">
        <f t="shared" si="7"/>
        <v>48975</v>
      </c>
      <c r="DH10" s="284">
        <f t="shared" si="7"/>
        <v>49003</v>
      </c>
      <c r="DI10" s="284">
        <f t="shared" si="7"/>
        <v>49034</v>
      </c>
      <c r="DJ10" s="284">
        <f t="shared" si="7"/>
        <v>49064</v>
      </c>
      <c r="DK10" s="284">
        <f t="shared" si="7"/>
        <v>49095</v>
      </c>
      <c r="DL10" s="284">
        <f t="shared" si="7"/>
        <v>49125</v>
      </c>
      <c r="DM10" s="284">
        <f t="shared" si="7"/>
        <v>49156</v>
      </c>
      <c r="DN10" s="284">
        <f t="shared" si="7"/>
        <v>49187</v>
      </c>
      <c r="DO10" s="284">
        <f t="shared" si="7"/>
        <v>49217</v>
      </c>
      <c r="DP10" s="284">
        <f t="shared" si="7"/>
        <v>49248</v>
      </c>
      <c r="DQ10" s="284">
        <f t="shared" si="7"/>
        <v>49278</v>
      </c>
      <c r="DR10" s="284">
        <f t="shared" si="7"/>
        <v>49309</v>
      </c>
      <c r="DS10" s="284">
        <f t="shared" si="7"/>
        <v>49340</v>
      </c>
      <c r="DT10" s="284">
        <f t="shared" si="7"/>
        <v>49368</v>
      </c>
      <c r="DU10" s="284">
        <f t="shared" si="7"/>
        <v>49399</v>
      </c>
      <c r="DV10" s="284">
        <f t="shared" si="7"/>
        <v>49429</v>
      </c>
      <c r="DW10" s="284">
        <f t="shared" si="7"/>
        <v>49460</v>
      </c>
      <c r="DX10" s="284">
        <f t="shared" si="7"/>
        <v>49490</v>
      </c>
      <c r="DY10" s="284">
        <f t="shared" si="7"/>
        <v>49521</v>
      </c>
      <c r="DZ10" s="284">
        <f t="shared" si="7"/>
        <v>49552</v>
      </c>
      <c r="EA10" s="284">
        <f t="shared" si="7"/>
        <v>49582</v>
      </c>
      <c r="EB10" s="284">
        <f t="shared" si="7"/>
        <v>49613</v>
      </c>
      <c r="EC10" s="284">
        <f t="shared" si="7"/>
        <v>49643</v>
      </c>
      <c r="ED10" s="284">
        <f t="shared" si="7"/>
        <v>49674</v>
      </c>
    </row>
    <row r="12" spans="1:134" ht="19.149999999999999" customHeight="1" x14ac:dyDescent="0.55000000000000004">
      <c r="A12" s="283" t="s">
        <v>215</v>
      </c>
      <c r="B12" s="283"/>
      <c r="C12" s="1" t="s">
        <v>60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</row>
    <row r="13" spans="1:134" s="277" customFormat="1" ht="19.149999999999999" customHeight="1" x14ac:dyDescent="0.45">
      <c r="A13" s="282" t="s">
        <v>214</v>
      </c>
      <c r="B13" s="279"/>
      <c r="C13" s="281">
        <f>(C$16/'Torrance Inputs'!$D$10)*12</f>
        <v>4</v>
      </c>
      <c r="D13" s="281">
        <f>(D$16/'Torrance Inputs'!$D$10)*12</f>
        <v>4</v>
      </c>
      <c r="E13" s="281">
        <f>(E$16/'Torrance Inputs'!$D$10)*12</f>
        <v>4</v>
      </c>
      <c r="F13" s="281">
        <f>(F$16/'Torrance Inputs'!$D$10)*12</f>
        <v>4</v>
      </c>
      <c r="G13" s="281">
        <f>(G$16/'Torrance Inputs'!$D$10)*12</f>
        <v>4</v>
      </c>
      <c r="H13" s="281">
        <f>(H$16/'Torrance Inputs'!$D$10)*12</f>
        <v>4</v>
      </c>
      <c r="I13" s="281">
        <f>(I$16/'Torrance Inputs'!$D$10)*12</f>
        <v>4</v>
      </c>
      <c r="J13" s="281">
        <f>(J$16/'Torrance Inputs'!$D$10)*12</f>
        <v>4</v>
      </c>
      <c r="K13" s="281">
        <f>(K$16/'Torrance Inputs'!$D$10)*12</f>
        <v>4</v>
      </c>
      <c r="L13" s="281">
        <f>(L$16/'Torrance Inputs'!$D$10)*12</f>
        <v>4</v>
      </c>
      <c r="M13" s="281">
        <f>(M$16/'Torrance Inputs'!$D$10)*12</f>
        <v>4</v>
      </c>
      <c r="N13" s="281">
        <f>(N$16/'Torrance Inputs'!$D$10)*12</f>
        <v>4</v>
      </c>
      <c r="O13" s="281">
        <f>(O$16/'Torrance Inputs'!$D$10)*12</f>
        <v>4.08</v>
      </c>
      <c r="P13" s="281">
        <f>(P$16/'Torrance Inputs'!$D$10)*12</f>
        <v>4.08</v>
      </c>
      <c r="Q13" s="281">
        <f>(Q$16/'Torrance Inputs'!$D$10)*12</f>
        <v>4.08</v>
      </c>
      <c r="R13" s="281">
        <f>(R$16/'Torrance Inputs'!$D$10)*12</f>
        <v>4.08</v>
      </c>
      <c r="S13" s="281">
        <f>(S$16/'Torrance Inputs'!$D$10)*12</f>
        <v>4.08</v>
      </c>
      <c r="T13" s="281">
        <f>(T$16/'Torrance Inputs'!$D$10)*12</f>
        <v>4.08</v>
      </c>
      <c r="U13" s="281">
        <f>(U$16/'Torrance Inputs'!$D$10)*12</f>
        <v>4.08</v>
      </c>
      <c r="V13" s="281">
        <f>(V$16/'Torrance Inputs'!$D$10)*12</f>
        <v>4.08</v>
      </c>
      <c r="W13" s="281">
        <f>(W$16/'Torrance Inputs'!$D$10)*12</f>
        <v>4.08</v>
      </c>
      <c r="X13" s="281">
        <f>(X$16/'Torrance Inputs'!$D$10)*12</f>
        <v>4.08</v>
      </c>
      <c r="Y13" s="281">
        <f>(Y$16/'Torrance Inputs'!$D$10)*12</f>
        <v>4.08</v>
      </c>
      <c r="Z13" s="281">
        <f>(Z$16/'Torrance Inputs'!$D$10)*12</f>
        <v>4.08</v>
      </c>
      <c r="AA13" s="281">
        <f>(AA$16/'Torrance Inputs'!$D$10)*12</f>
        <v>4.1616</v>
      </c>
      <c r="AB13" s="281">
        <f>(AB$16/'Torrance Inputs'!$D$10)*12</f>
        <v>4.1616</v>
      </c>
      <c r="AC13" s="281">
        <f>(AC$16/'Torrance Inputs'!$D$10)*12</f>
        <v>4.1616</v>
      </c>
      <c r="AD13" s="281">
        <f>(AD$16/'Torrance Inputs'!$D$10)*12</f>
        <v>4.1616</v>
      </c>
      <c r="AE13" s="281">
        <f>(AE$16/'Torrance Inputs'!$D$10)*12</f>
        <v>4.1616</v>
      </c>
      <c r="AF13" s="281">
        <f>(AF$16/'Torrance Inputs'!$D$10)*12</f>
        <v>4.1616</v>
      </c>
      <c r="AG13" s="281">
        <f>(AG$16/'Torrance Inputs'!$D$10)*12</f>
        <v>4.1616</v>
      </c>
      <c r="AH13" s="281">
        <f>(AH$16/'Torrance Inputs'!$D$10)*12</f>
        <v>4.1616</v>
      </c>
      <c r="AI13" s="281">
        <f>(AI$16/'Torrance Inputs'!$D$10)*12</f>
        <v>4.1616</v>
      </c>
      <c r="AJ13" s="281">
        <f>(AJ$16/'Torrance Inputs'!$D$10)*12</f>
        <v>4.1616</v>
      </c>
      <c r="AK13" s="281">
        <f>(AK$16/'Torrance Inputs'!$D$10)*12</f>
        <v>4.1616</v>
      </c>
      <c r="AL13" s="281">
        <f>(AL$16/'Torrance Inputs'!$D$10)*12</f>
        <v>4.1616</v>
      </c>
      <c r="AM13" s="281">
        <f>(AM$16/'Torrance Inputs'!$D$10)*12</f>
        <v>4.2448319999999997</v>
      </c>
      <c r="AN13" s="281">
        <f>(AN$16/'Torrance Inputs'!$D$10)*12</f>
        <v>4.2448319999999997</v>
      </c>
      <c r="AO13" s="281">
        <f>(AO$16/'Torrance Inputs'!$D$10)*12</f>
        <v>4.2448319999999997</v>
      </c>
      <c r="AP13" s="281">
        <f>(AP$16/'Torrance Inputs'!$D$10)*12</f>
        <v>4.2448319999999997</v>
      </c>
      <c r="AQ13" s="281">
        <f>(AQ$16/'Torrance Inputs'!$D$10)*12</f>
        <v>4.2448319999999997</v>
      </c>
      <c r="AR13" s="281">
        <f>(AR$16/'Torrance Inputs'!$D$10)*12</f>
        <v>4.2448319999999997</v>
      </c>
      <c r="AS13" s="281">
        <f>(AS$16/'Torrance Inputs'!$D$10)*12</f>
        <v>4.2448319999999997</v>
      </c>
      <c r="AT13" s="281">
        <f>(AT$16/'Torrance Inputs'!$D$10)*12</f>
        <v>4.2448319999999997</v>
      </c>
      <c r="AU13" s="281">
        <f>(AU$16/'Torrance Inputs'!$D$10)*12</f>
        <v>4.2448319999999997</v>
      </c>
      <c r="AV13" s="281">
        <f>(AV$16/'Torrance Inputs'!$D$10)*12</f>
        <v>4.2448319999999997</v>
      </c>
      <c r="AW13" s="281">
        <f>(AW$16/'Torrance Inputs'!$D$10)*12</f>
        <v>4.2448319999999997</v>
      </c>
      <c r="AX13" s="281">
        <f>(AX$16/'Torrance Inputs'!$D$10)*12</f>
        <v>4.2448319999999997</v>
      </c>
      <c r="AY13" s="281">
        <f>(AY$16/'Torrance Inputs'!$D$10)*12</f>
        <v>0</v>
      </c>
      <c r="AZ13" s="281">
        <f>(AZ$16/'Torrance Inputs'!$D$10)*12</f>
        <v>0</v>
      </c>
      <c r="BA13" s="281">
        <f>(BA$16/'Torrance Inputs'!$D$10)*12</f>
        <v>0</v>
      </c>
      <c r="BB13" s="281">
        <f>(BB$16/'Torrance Inputs'!$D$10)*12</f>
        <v>0</v>
      </c>
      <c r="BC13" s="281">
        <f>(BC$16/'Torrance Inputs'!$D$10)*12</f>
        <v>0</v>
      </c>
      <c r="BD13" s="281">
        <f>(BD$16/'Torrance Inputs'!$D$10)*12</f>
        <v>0</v>
      </c>
      <c r="BE13" s="281">
        <f>(BE$16/'Torrance Inputs'!$D$10)*12</f>
        <v>0</v>
      </c>
      <c r="BF13" s="281">
        <f>(BF$16/'Torrance Inputs'!$D$10)*12</f>
        <v>0</v>
      </c>
      <c r="BG13" s="281">
        <f>(BG$16/'Torrance Inputs'!$D$10)*12</f>
        <v>0</v>
      </c>
      <c r="BH13" s="281">
        <f>(BH$16/'Torrance Inputs'!$D$10)*12</f>
        <v>0</v>
      </c>
      <c r="BI13" s="281">
        <f>(BI$16/'Torrance Inputs'!$D$10)*12</f>
        <v>0</v>
      </c>
      <c r="BJ13" s="281">
        <f>(BJ$16/'Torrance Inputs'!$D$10)*12</f>
        <v>0</v>
      </c>
      <c r="BK13" s="281">
        <f>(BK$16/'Torrance Inputs'!$D$10)*12</f>
        <v>17.736893336789997</v>
      </c>
      <c r="BL13" s="281">
        <f>(BL$16/'Torrance Inputs'!$D$10)*12</f>
        <v>17.736893336789997</v>
      </c>
      <c r="BM13" s="281">
        <f>(BM$16/'Torrance Inputs'!$D$10)*12</f>
        <v>17.736893336789997</v>
      </c>
      <c r="BN13" s="281">
        <f>(BN$16/'Torrance Inputs'!$D$10)*12</f>
        <v>17.736893336789997</v>
      </c>
      <c r="BO13" s="281">
        <f>(BO$16/'Torrance Inputs'!$D$10)*12</f>
        <v>17.736893336789997</v>
      </c>
      <c r="BP13" s="281">
        <f>(BP$16/'Torrance Inputs'!$D$10)*12</f>
        <v>17.736893336789997</v>
      </c>
      <c r="BQ13" s="281">
        <f>(BQ$16/'Torrance Inputs'!$D$10)*12</f>
        <v>17.736893336789997</v>
      </c>
      <c r="BR13" s="281">
        <f>(BR$16/'Torrance Inputs'!$D$10)*12</f>
        <v>17.736893336789997</v>
      </c>
      <c r="BS13" s="281">
        <f>(BS$16/'Torrance Inputs'!$D$10)*12</f>
        <v>17.736893336789997</v>
      </c>
      <c r="BT13" s="281">
        <f>(BT$16/'Torrance Inputs'!$D$10)*12</f>
        <v>17.736893336789997</v>
      </c>
      <c r="BU13" s="281">
        <f>(BU$16/'Torrance Inputs'!$D$10)*12</f>
        <v>17.736893336789997</v>
      </c>
      <c r="BV13" s="281">
        <f>(BV$16/'Torrance Inputs'!$D$10)*12</f>
        <v>17.736893336789997</v>
      </c>
      <c r="BW13" s="281">
        <f>(BW$16/'Torrance Inputs'!$D$10)*12</f>
        <v>18.091631203525797</v>
      </c>
      <c r="BX13" s="281">
        <f>(BX$16/'Torrance Inputs'!$D$10)*12</f>
        <v>18.091631203525797</v>
      </c>
      <c r="BY13" s="281">
        <f>(BY$16/'Torrance Inputs'!$D$10)*12</f>
        <v>18.091631203525797</v>
      </c>
      <c r="BZ13" s="281">
        <f>(BZ$16/'Torrance Inputs'!$D$10)*12</f>
        <v>18.091631203525797</v>
      </c>
      <c r="CA13" s="281">
        <f>(CA$16/'Torrance Inputs'!$D$10)*12</f>
        <v>18.091631203525797</v>
      </c>
      <c r="CB13" s="281">
        <f>(CB$16/'Torrance Inputs'!$D$10)*12</f>
        <v>18.091631203525797</v>
      </c>
      <c r="CC13" s="281">
        <f>(CC$16/'Torrance Inputs'!$D$10)*12</f>
        <v>18.091631203525797</v>
      </c>
      <c r="CD13" s="281">
        <f>(CD$16/'Torrance Inputs'!$D$10)*12</f>
        <v>18.091631203525797</v>
      </c>
      <c r="CE13" s="281">
        <f>(CE$16/'Torrance Inputs'!$D$10)*12</f>
        <v>18.091631203525797</v>
      </c>
      <c r="CF13" s="281">
        <f>(CF$16/'Torrance Inputs'!$D$10)*12</f>
        <v>18.091631203525797</v>
      </c>
      <c r="CG13" s="281">
        <f>(CG$16/'Torrance Inputs'!$D$10)*12</f>
        <v>18.091631203525797</v>
      </c>
      <c r="CH13" s="281">
        <f>(CH$16/'Torrance Inputs'!$D$10)*12</f>
        <v>18.091631203525797</v>
      </c>
      <c r="CI13" s="281">
        <f>(CI$16/'Torrance Inputs'!$D$10)*12</f>
        <v>18.453463827596309</v>
      </c>
      <c r="CJ13" s="281">
        <f>(CJ$16/'Torrance Inputs'!$D$10)*12</f>
        <v>18.453463827596309</v>
      </c>
      <c r="CK13" s="281">
        <f>(CK$16/'Torrance Inputs'!$D$10)*12</f>
        <v>18.453463827596309</v>
      </c>
      <c r="CL13" s="281">
        <f>(CL$16/'Torrance Inputs'!$D$10)*12</f>
        <v>18.453463827596309</v>
      </c>
      <c r="CM13" s="281">
        <f>(CM$16/'Torrance Inputs'!$D$10)*12</f>
        <v>18.453463827596309</v>
      </c>
      <c r="CN13" s="281">
        <f>(CN$16/'Torrance Inputs'!$D$10)*12</f>
        <v>18.453463827596309</v>
      </c>
      <c r="CO13" s="281">
        <f>(CO$16/'Torrance Inputs'!$D$10)*12</f>
        <v>18.453463827596309</v>
      </c>
      <c r="CP13" s="281">
        <f>(CP$16/'Torrance Inputs'!$D$10)*12</f>
        <v>18.453463827596309</v>
      </c>
      <c r="CQ13" s="281">
        <f>(CQ$16/'Torrance Inputs'!$D$10)*12</f>
        <v>18.453463827596309</v>
      </c>
      <c r="CR13" s="281">
        <f>(CR$16/'Torrance Inputs'!$D$10)*12</f>
        <v>18.453463827596309</v>
      </c>
      <c r="CS13" s="281">
        <f>(CS$16/'Torrance Inputs'!$D$10)*12</f>
        <v>18.453463827596309</v>
      </c>
      <c r="CT13" s="281">
        <f>(CT$16/'Torrance Inputs'!$D$10)*12</f>
        <v>18.453463827596309</v>
      </c>
      <c r="CU13" s="281">
        <f>(CU$16/'Torrance Inputs'!$D$10)*12</f>
        <v>18.822533104148238</v>
      </c>
      <c r="CV13" s="281">
        <f>(CV$16/'Torrance Inputs'!$D$10)*12</f>
        <v>18.822533104148238</v>
      </c>
      <c r="CW13" s="281">
        <f>(CW$16/'Torrance Inputs'!$D$10)*12</f>
        <v>18.822533104148238</v>
      </c>
      <c r="CX13" s="281">
        <f>(CX$16/'Torrance Inputs'!$D$10)*12</f>
        <v>18.822533104148238</v>
      </c>
      <c r="CY13" s="281">
        <f>(CY$16/'Torrance Inputs'!$D$10)*12</f>
        <v>18.822533104148238</v>
      </c>
      <c r="CZ13" s="281">
        <f>(CZ$16/'Torrance Inputs'!$D$10)*12</f>
        <v>18.822533104148238</v>
      </c>
      <c r="DA13" s="281">
        <f>(DA$16/'Torrance Inputs'!$D$10)*12</f>
        <v>18.822533104148238</v>
      </c>
      <c r="DB13" s="281">
        <f>(DB$16/'Torrance Inputs'!$D$10)*12</f>
        <v>18.822533104148238</v>
      </c>
      <c r="DC13" s="281">
        <f>(DC$16/'Torrance Inputs'!$D$10)*12</f>
        <v>18.822533104148238</v>
      </c>
      <c r="DD13" s="281">
        <f>(DD$16/'Torrance Inputs'!$D$10)*12</f>
        <v>18.822533104148238</v>
      </c>
      <c r="DE13" s="281">
        <f>(DE$16/'Torrance Inputs'!$D$10)*12</f>
        <v>18.822533104148238</v>
      </c>
      <c r="DF13" s="281">
        <f>(DF$16/'Torrance Inputs'!$D$10)*12</f>
        <v>18.822533104148238</v>
      </c>
      <c r="DG13" s="281">
        <f>(DG$16/'Torrance Inputs'!$D$10)*12</f>
        <v>19.198983766231201</v>
      </c>
      <c r="DH13" s="281">
        <f>(DH$16/'Torrance Inputs'!$D$10)*12</f>
        <v>19.198983766231201</v>
      </c>
      <c r="DI13" s="281">
        <f>(DI$16/'Torrance Inputs'!$D$10)*12</f>
        <v>19.198983766231201</v>
      </c>
      <c r="DJ13" s="281">
        <f>(DJ$16/'Torrance Inputs'!$D$10)*12</f>
        <v>19.198983766231201</v>
      </c>
      <c r="DK13" s="281">
        <f>(DK$16/'Torrance Inputs'!$D$10)*12</f>
        <v>19.198983766231201</v>
      </c>
      <c r="DL13" s="281">
        <f>(DL$16/'Torrance Inputs'!$D$10)*12</f>
        <v>19.198983766231201</v>
      </c>
      <c r="DM13" s="281">
        <f>(DM$16/'Torrance Inputs'!$D$10)*12</f>
        <v>19.198983766231201</v>
      </c>
      <c r="DN13" s="281">
        <f>(DN$16/'Torrance Inputs'!$D$10)*12</f>
        <v>19.198983766231201</v>
      </c>
      <c r="DO13" s="281">
        <f>(DO$16/'Torrance Inputs'!$D$10)*12</f>
        <v>19.198983766231201</v>
      </c>
      <c r="DP13" s="281">
        <f>(DP$16/'Torrance Inputs'!$D$10)*12</f>
        <v>19.198983766231201</v>
      </c>
      <c r="DQ13" s="281">
        <f>(DQ$16/'Torrance Inputs'!$D$10)*12</f>
        <v>19.198983766231201</v>
      </c>
      <c r="DR13" s="281">
        <f>(DR$16/'Torrance Inputs'!$D$10)*12</f>
        <v>19.198983766231201</v>
      </c>
      <c r="DS13" s="281">
        <f>(DS$16/'Torrance Inputs'!$D$10)*12</f>
        <v>19.58296344155583</v>
      </c>
      <c r="DT13" s="281">
        <f>(DT$16/'Torrance Inputs'!$D$10)*12</f>
        <v>19.58296344155583</v>
      </c>
      <c r="DU13" s="281">
        <f>(DU$16/'Torrance Inputs'!$D$10)*12</f>
        <v>19.58296344155583</v>
      </c>
      <c r="DV13" s="281">
        <f>(DV$16/'Torrance Inputs'!$D$10)*12</f>
        <v>19.58296344155583</v>
      </c>
      <c r="DW13" s="281">
        <f>(DW$16/'Torrance Inputs'!$D$10)*12</f>
        <v>19.58296344155583</v>
      </c>
      <c r="DX13" s="281">
        <f>(DX$16/'Torrance Inputs'!$D$10)*12</f>
        <v>19.58296344155583</v>
      </c>
      <c r="DY13" s="281">
        <f>(DY$16/'Torrance Inputs'!$D$10)*12</f>
        <v>19.58296344155583</v>
      </c>
      <c r="DZ13" s="281">
        <f>(DZ$16/'Torrance Inputs'!$D$10)*12</f>
        <v>19.58296344155583</v>
      </c>
      <c r="EA13" s="281">
        <f>(EA$16/'Torrance Inputs'!$D$10)*12</f>
        <v>19.58296344155583</v>
      </c>
      <c r="EB13" s="281">
        <f>(EB$16/'Torrance Inputs'!$D$10)*12</f>
        <v>19.58296344155583</v>
      </c>
      <c r="EC13" s="281">
        <f>(EC$16/'Torrance Inputs'!$D$10)*12</f>
        <v>19.58296344155583</v>
      </c>
      <c r="ED13" s="281">
        <f>(ED$16/'Torrance Inputs'!$D$10)*12</f>
        <v>19.58296344155583</v>
      </c>
    </row>
    <row r="14" spans="1:134" s="277" customFormat="1" ht="19.149999999999999" customHeight="1" x14ac:dyDescent="0.45">
      <c r="A14" s="280" t="s">
        <v>213</v>
      </c>
      <c r="B14" s="279"/>
      <c r="C14" s="278">
        <f>IF(AND(C$10&gt;='Torrance Inputs'!$N$38,C$10&lt;'Torrance Inputs'!$N$40),'Torrance Inputs'!$M$41*(1+'Torrance Inputs'!$S$39)^('Torrance Pro Forma'!C$8-1),IF(C$10&gt;='Torrance Inputs'!$I$18,'Torrance Inputs'!$H$22*(1+'Torrance Inputs'!$I$23)^(C$8-'Torrance Inputs'!$H$18),IF(C$10&gt;=EDATE('Torrance Inputs'!$D$31,'Torrance Inputs'!$D$30),'Torrance Inputs'!$C$27*(1+'Torrance Inputs'!$D$35)^(ROUNDDOWN((C$9-1)/12,0)),0)))</f>
        <v>91666.666666666672</v>
      </c>
      <c r="D14" s="278">
        <f>IF(AND(D$10&gt;='Torrance Inputs'!$N$38,D$10&lt;'Torrance Inputs'!$N$40),'Torrance Inputs'!$M$41*(1+'Torrance Inputs'!$S$39)^('Torrance Pro Forma'!D$8-1),IF(D$10&gt;='Torrance Inputs'!$I$18,'Torrance Inputs'!$H$22*(1+'Torrance Inputs'!$I$23)^(D$8-'Torrance Inputs'!$H$18),IF(D$10&gt;=EDATE('Torrance Inputs'!$D$31,'Torrance Inputs'!$D$30),'Torrance Inputs'!$C$27*(1+'Torrance Inputs'!$D$35)^(ROUNDDOWN((D$9-1)/12,0)),0)))</f>
        <v>91666.666666666672</v>
      </c>
      <c r="E14" s="278">
        <f>IF(AND(E$10&gt;='Torrance Inputs'!$N$38,E$10&lt;'Torrance Inputs'!$N$40),'Torrance Inputs'!$M$41*(1+'Torrance Inputs'!$S$39)^('Torrance Pro Forma'!E$8-1),IF(E$10&gt;='Torrance Inputs'!$I$18,'Torrance Inputs'!$H$22*(1+'Torrance Inputs'!$I$23)^(E$8-'Torrance Inputs'!$H$18),IF(E$10&gt;=EDATE('Torrance Inputs'!$D$31,'Torrance Inputs'!$D$30),'Torrance Inputs'!$C$27*(1+'Torrance Inputs'!$D$35)^(ROUNDDOWN((E$9-1)/12,0)),0)))</f>
        <v>91666.666666666672</v>
      </c>
      <c r="F14" s="278">
        <f>IF(AND(F$10&gt;='Torrance Inputs'!$N$38,F$10&lt;'Torrance Inputs'!$N$40),'Torrance Inputs'!$M$41*(1+'Torrance Inputs'!$S$39)^('Torrance Pro Forma'!F$8-1),IF(F$10&gt;='Torrance Inputs'!$I$18,'Torrance Inputs'!$H$22*(1+'Torrance Inputs'!$I$23)^(F$8-'Torrance Inputs'!$H$18),IF(F$10&gt;=EDATE('Torrance Inputs'!$D$31,'Torrance Inputs'!$D$30),'Torrance Inputs'!$C$27*(1+'Torrance Inputs'!$D$35)^(ROUNDDOWN((F$9-1)/12,0)),0)))</f>
        <v>91666.666666666672</v>
      </c>
      <c r="G14" s="278">
        <f>IF(AND(G$10&gt;='Torrance Inputs'!$N$38,G$10&lt;'Torrance Inputs'!$N$40),'Torrance Inputs'!$M$41*(1+'Torrance Inputs'!$S$39)^('Torrance Pro Forma'!G$8-1),IF(G$10&gt;='Torrance Inputs'!$I$18,'Torrance Inputs'!$H$22*(1+'Torrance Inputs'!$I$23)^(G$8-'Torrance Inputs'!$H$18),IF(G$10&gt;=EDATE('Torrance Inputs'!$D$31,'Torrance Inputs'!$D$30),'Torrance Inputs'!$C$27*(1+'Torrance Inputs'!$D$35)^(ROUNDDOWN((G$9-1)/12,0)),0)))</f>
        <v>91666.666666666672</v>
      </c>
      <c r="H14" s="278">
        <f>IF(AND(H$10&gt;='Torrance Inputs'!$N$38,H$10&lt;'Torrance Inputs'!$N$40),'Torrance Inputs'!$M$41*(1+'Torrance Inputs'!$S$39)^('Torrance Pro Forma'!H$8-1),IF(H$10&gt;='Torrance Inputs'!$I$18,'Torrance Inputs'!$H$22*(1+'Torrance Inputs'!$I$23)^(H$8-'Torrance Inputs'!$H$18),IF(H$10&gt;=EDATE('Torrance Inputs'!$D$31,'Torrance Inputs'!$D$30),'Torrance Inputs'!$C$27*(1+'Torrance Inputs'!$D$35)^(ROUNDDOWN((H$9-1)/12,0)),0)))</f>
        <v>91666.666666666672</v>
      </c>
      <c r="I14" s="278">
        <f>IF(AND(I$10&gt;='Torrance Inputs'!$N$38,I$10&lt;'Torrance Inputs'!$N$40),'Torrance Inputs'!$M$41*(1+'Torrance Inputs'!$S$39)^('Torrance Pro Forma'!I$8-1),IF(I$10&gt;='Torrance Inputs'!$I$18,'Torrance Inputs'!$H$22*(1+'Torrance Inputs'!$I$23)^(I$8-'Torrance Inputs'!$H$18),IF(I$10&gt;=EDATE('Torrance Inputs'!$D$31,'Torrance Inputs'!$D$30),'Torrance Inputs'!$C$27*(1+'Torrance Inputs'!$D$35)^(ROUNDDOWN((I$9-1)/12,0)),0)))</f>
        <v>91666.666666666672</v>
      </c>
      <c r="J14" s="278">
        <f>IF(AND(J$10&gt;='Torrance Inputs'!$N$38,J$10&lt;'Torrance Inputs'!$N$40),'Torrance Inputs'!$M$41*(1+'Torrance Inputs'!$S$39)^('Torrance Pro Forma'!J$8-1),IF(J$10&gt;='Torrance Inputs'!$I$18,'Torrance Inputs'!$H$22*(1+'Torrance Inputs'!$I$23)^(J$8-'Torrance Inputs'!$H$18),IF(J$10&gt;=EDATE('Torrance Inputs'!$D$31,'Torrance Inputs'!$D$30),'Torrance Inputs'!$C$27*(1+'Torrance Inputs'!$D$35)^(ROUNDDOWN((J$9-1)/12,0)),0)))</f>
        <v>91666.666666666672</v>
      </c>
      <c r="K14" s="278">
        <f>IF(AND(K$10&gt;='Torrance Inputs'!$N$38,K$10&lt;'Torrance Inputs'!$N$40),'Torrance Inputs'!$M$41*(1+'Torrance Inputs'!$S$39)^('Torrance Pro Forma'!K$8-1),IF(K$10&gt;='Torrance Inputs'!$I$18,'Torrance Inputs'!$H$22*(1+'Torrance Inputs'!$I$23)^(K$8-'Torrance Inputs'!$H$18),IF(K$10&gt;=EDATE('Torrance Inputs'!$D$31,'Torrance Inputs'!$D$30),'Torrance Inputs'!$C$27*(1+'Torrance Inputs'!$D$35)^(ROUNDDOWN((K$9-1)/12,0)),0)))</f>
        <v>91666.666666666672</v>
      </c>
      <c r="L14" s="278">
        <f>IF(AND(L$10&gt;='Torrance Inputs'!$N$38,L$10&lt;'Torrance Inputs'!$N$40),'Torrance Inputs'!$M$41*(1+'Torrance Inputs'!$S$39)^('Torrance Pro Forma'!L$8-1),IF(L$10&gt;='Torrance Inputs'!$I$18,'Torrance Inputs'!$H$22*(1+'Torrance Inputs'!$I$23)^(L$8-'Torrance Inputs'!$H$18),IF(L$10&gt;=EDATE('Torrance Inputs'!$D$31,'Torrance Inputs'!$D$30),'Torrance Inputs'!$C$27*(1+'Torrance Inputs'!$D$35)^(ROUNDDOWN((L$9-1)/12,0)),0)))</f>
        <v>91666.666666666672</v>
      </c>
      <c r="M14" s="278">
        <f>IF(AND(M$10&gt;='Torrance Inputs'!$N$38,M$10&lt;'Torrance Inputs'!$N$40),'Torrance Inputs'!$M$41*(1+'Torrance Inputs'!$S$39)^('Torrance Pro Forma'!M$8-1),IF(M$10&gt;='Torrance Inputs'!$I$18,'Torrance Inputs'!$H$22*(1+'Torrance Inputs'!$I$23)^(M$8-'Torrance Inputs'!$H$18),IF(M$10&gt;=EDATE('Torrance Inputs'!$D$31,'Torrance Inputs'!$D$30),'Torrance Inputs'!$C$27*(1+'Torrance Inputs'!$D$35)^(ROUNDDOWN((M$9-1)/12,0)),0)))</f>
        <v>91666.666666666672</v>
      </c>
      <c r="N14" s="278">
        <f>IF(AND(N$10&gt;='Torrance Inputs'!$N$38,N$10&lt;'Torrance Inputs'!$N$40),'Torrance Inputs'!$M$41*(1+'Torrance Inputs'!$S$39)^('Torrance Pro Forma'!N$8-1),IF(N$10&gt;='Torrance Inputs'!$I$18,'Torrance Inputs'!$H$22*(1+'Torrance Inputs'!$I$23)^(N$8-'Torrance Inputs'!$H$18),IF(N$10&gt;=EDATE('Torrance Inputs'!$D$31,'Torrance Inputs'!$D$30),'Torrance Inputs'!$C$27*(1+'Torrance Inputs'!$D$35)^(ROUNDDOWN((N$9-1)/12,0)),0)))</f>
        <v>91666.666666666672</v>
      </c>
      <c r="O14" s="278">
        <f>IF(AND(O$10&gt;='Torrance Inputs'!$N$38,O$10&lt;'Torrance Inputs'!$N$40),'Torrance Inputs'!$M$41*(1+'Torrance Inputs'!$S$39)^('Torrance Pro Forma'!O$8-1),IF(O$10&gt;='Torrance Inputs'!$I$18,'Torrance Inputs'!$H$22*(1+'Torrance Inputs'!$I$23)^(O$8-'Torrance Inputs'!$H$18),IF(O$10&gt;=EDATE('Torrance Inputs'!$D$31,'Torrance Inputs'!$D$30),'Torrance Inputs'!$C$27*(1+'Torrance Inputs'!$D$35)^(ROUNDDOWN((O$9-1)/12,0)),0)))</f>
        <v>93500</v>
      </c>
      <c r="P14" s="278">
        <f>IF(AND(P$10&gt;='Torrance Inputs'!$N$38,P$10&lt;'Torrance Inputs'!$N$40),'Torrance Inputs'!$M$41*(1+'Torrance Inputs'!$S$39)^('Torrance Pro Forma'!P$8-1),IF(P$10&gt;='Torrance Inputs'!$I$18,'Torrance Inputs'!$H$22*(1+'Torrance Inputs'!$I$23)^(P$8-'Torrance Inputs'!$H$18),IF(P$10&gt;=EDATE('Torrance Inputs'!$D$31,'Torrance Inputs'!$D$30),'Torrance Inputs'!$C$27*(1+'Torrance Inputs'!$D$35)^(ROUNDDOWN((P$9-1)/12,0)),0)))</f>
        <v>93500</v>
      </c>
      <c r="Q14" s="278">
        <f>IF(AND(Q$10&gt;='Torrance Inputs'!$N$38,Q$10&lt;'Torrance Inputs'!$N$40),'Torrance Inputs'!$M$41*(1+'Torrance Inputs'!$S$39)^('Torrance Pro Forma'!Q$8-1),IF(Q$10&gt;='Torrance Inputs'!$I$18,'Torrance Inputs'!$H$22*(1+'Torrance Inputs'!$I$23)^(Q$8-'Torrance Inputs'!$H$18),IF(Q$10&gt;=EDATE('Torrance Inputs'!$D$31,'Torrance Inputs'!$D$30),'Torrance Inputs'!$C$27*(1+'Torrance Inputs'!$D$35)^(ROUNDDOWN((Q$9-1)/12,0)),0)))</f>
        <v>93500</v>
      </c>
      <c r="R14" s="278">
        <f>IF(AND(R$10&gt;='Torrance Inputs'!$N$38,R$10&lt;'Torrance Inputs'!$N$40),'Torrance Inputs'!$M$41*(1+'Torrance Inputs'!$S$39)^('Torrance Pro Forma'!R$8-1),IF(R$10&gt;='Torrance Inputs'!$I$18,'Torrance Inputs'!$H$22*(1+'Torrance Inputs'!$I$23)^(R$8-'Torrance Inputs'!$H$18),IF(R$10&gt;=EDATE('Torrance Inputs'!$D$31,'Torrance Inputs'!$D$30),'Torrance Inputs'!$C$27*(1+'Torrance Inputs'!$D$35)^(ROUNDDOWN((R$9-1)/12,0)),0)))</f>
        <v>93500</v>
      </c>
      <c r="S14" s="278">
        <f>IF(AND(S$10&gt;='Torrance Inputs'!$N$38,S$10&lt;'Torrance Inputs'!$N$40),'Torrance Inputs'!$M$41*(1+'Torrance Inputs'!$S$39)^('Torrance Pro Forma'!S$8-1),IF(S$10&gt;='Torrance Inputs'!$I$18,'Torrance Inputs'!$H$22*(1+'Torrance Inputs'!$I$23)^(S$8-'Torrance Inputs'!$H$18),IF(S$10&gt;=EDATE('Torrance Inputs'!$D$31,'Torrance Inputs'!$D$30),'Torrance Inputs'!$C$27*(1+'Torrance Inputs'!$D$35)^(ROUNDDOWN((S$9-1)/12,0)),0)))</f>
        <v>93500</v>
      </c>
      <c r="T14" s="278">
        <f>IF(AND(T$10&gt;='Torrance Inputs'!$N$38,T$10&lt;'Torrance Inputs'!$N$40),'Torrance Inputs'!$M$41*(1+'Torrance Inputs'!$S$39)^('Torrance Pro Forma'!T$8-1),IF(T$10&gt;='Torrance Inputs'!$I$18,'Torrance Inputs'!$H$22*(1+'Torrance Inputs'!$I$23)^(T$8-'Torrance Inputs'!$H$18),IF(T$10&gt;=EDATE('Torrance Inputs'!$D$31,'Torrance Inputs'!$D$30),'Torrance Inputs'!$C$27*(1+'Torrance Inputs'!$D$35)^(ROUNDDOWN((T$9-1)/12,0)),0)))</f>
        <v>93500</v>
      </c>
      <c r="U14" s="278">
        <f>IF(AND(U$10&gt;='Torrance Inputs'!$N$38,U$10&lt;'Torrance Inputs'!$N$40),'Torrance Inputs'!$M$41*(1+'Torrance Inputs'!$S$39)^('Torrance Pro Forma'!U$8-1),IF(U$10&gt;='Torrance Inputs'!$I$18,'Torrance Inputs'!$H$22*(1+'Torrance Inputs'!$I$23)^(U$8-'Torrance Inputs'!$H$18),IF(U$10&gt;=EDATE('Torrance Inputs'!$D$31,'Torrance Inputs'!$D$30),'Torrance Inputs'!$C$27*(1+'Torrance Inputs'!$D$35)^(ROUNDDOWN((U$9-1)/12,0)),0)))</f>
        <v>93500</v>
      </c>
      <c r="V14" s="278">
        <f>IF(AND(V$10&gt;='Torrance Inputs'!$N$38,V$10&lt;'Torrance Inputs'!$N$40),'Torrance Inputs'!$M$41*(1+'Torrance Inputs'!$S$39)^('Torrance Pro Forma'!V$8-1),IF(V$10&gt;='Torrance Inputs'!$I$18,'Torrance Inputs'!$H$22*(1+'Torrance Inputs'!$I$23)^(V$8-'Torrance Inputs'!$H$18),IF(V$10&gt;=EDATE('Torrance Inputs'!$D$31,'Torrance Inputs'!$D$30),'Torrance Inputs'!$C$27*(1+'Torrance Inputs'!$D$35)^(ROUNDDOWN((V$9-1)/12,0)),0)))</f>
        <v>93500</v>
      </c>
      <c r="W14" s="278">
        <f>IF(AND(W$10&gt;='Torrance Inputs'!$N$38,W$10&lt;'Torrance Inputs'!$N$40),'Torrance Inputs'!$M$41*(1+'Torrance Inputs'!$S$39)^('Torrance Pro Forma'!W$8-1),IF(W$10&gt;='Torrance Inputs'!$I$18,'Torrance Inputs'!$H$22*(1+'Torrance Inputs'!$I$23)^(W$8-'Torrance Inputs'!$H$18),IF(W$10&gt;=EDATE('Torrance Inputs'!$D$31,'Torrance Inputs'!$D$30),'Torrance Inputs'!$C$27*(1+'Torrance Inputs'!$D$35)^(ROUNDDOWN((W$9-1)/12,0)),0)))</f>
        <v>93500</v>
      </c>
      <c r="X14" s="278">
        <f>IF(AND(X$10&gt;='Torrance Inputs'!$N$38,X$10&lt;'Torrance Inputs'!$N$40),'Torrance Inputs'!$M$41*(1+'Torrance Inputs'!$S$39)^('Torrance Pro Forma'!X$8-1),IF(X$10&gt;='Torrance Inputs'!$I$18,'Torrance Inputs'!$H$22*(1+'Torrance Inputs'!$I$23)^(X$8-'Torrance Inputs'!$H$18),IF(X$10&gt;=EDATE('Torrance Inputs'!$D$31,'Torrance Inputs'!$D$30),'Torrance Inputs'!$C$27*(1+'Torrance Inputs'!$D$35)^(ROUNDDOWN((X$9-1)/12,0)),0)))</f>
        <v>93500</v>
      </c>
      <c r="Y14" s="278">
        <f>IF(AND(Y$10&gt;='Torrance Inputs'!$N$38,Y$10&lt;'Torrance Inputs'!$N$40),'Torrance Inputs'!$M$41*(1+'Torrance Inputs'!$S$39)^('Torrance Pro Forma'!Y$8-1),IF(Y$10&gt;='Torrance Inputs'!$I$18,'Torrance Inputs'!$H$22*(1+'Torrance Inputs'!$I$23)^(Y$8-'Torrance Inputs'!$H$18),IF(Y$10&gt;=EDATE('Torrance Inputs'!$D$31,'Torrance Inputs'!$D$30),'Torrance Inputs'!$C$27*(1+'Torrance Inputs'!$D$35)^(ROUNDDOWN((Y$9-1)/12,0)),0)))</f>
        <v>93500</v>
      </c>
      <c r="Z14" s="278">
        <f>IF(AND(Z$10&gt;='Torrance Inputs'!$N$38,Z$10&lt;'Torrance Inputs'!$N$40),'Torrance Inputs'!$M$41*(1+'Torrance Inputs'!$S$39)^('Torrance Pro Forma'!Z$8-1),IF(Z$10&gt;='Torrance Inputs'!$I$18,'Torrance Inputs'!$H$22*(1+'Torrance Inputs'!$I$23)^(Z$8-'Torrance Inputs'!$H$18),IF(Z$10&gt;=EDATE('Torrance Inputs'!$D$31,'Torrance Inputs'!$D$30),'Torrance Inputs'!$C$27*(1+'Torrance Inputs'!$D$35)^(ROUNDDOWN((Z$9-1)/12,0)),0)))</f>
        <v>93500</v>
      </c>
      <c r="AA14" s="278">
        <f>IF(AND(AA$10&gt;='Torrance Inputs'!$N$38,AA$10&lt;'Torrance Inputs'!$N$40),'Torrance Inputs'!$M$41*(1+'Torrance Inputs'!$S$39)^('Torrance Pro Forma'!AA$8-1),IF(AA$10&gt;='Torrance Inputs'!$I$18,'Torrance Inputs'!$H$22*(1+'Torrance Inputs'!$I$23)^(AA$8-'Torrance Inputs'!$H$18),IF(AA$10&gt;=EDATE('Torrance Inputs'!$D$31,'Torrance Inputs'!$D$30),'Torrance Inputs'!$C$27*(1+'Torrance Inputs'!$D$35)^(ROUNDDOWN((AA$9-1)/12,0)),0)))</f>
        <v>95370</v>
      </c>
      <c r="AB14" s="278">
        <f>IF(AND(AB$10&gt;='Torrance Inputs'!$N$38,AB$10&lt;'Torrance Inputs'!$N$40),'Torrance Inputs'!$M$41*(1+'Torrance Inputs'!$S$39)^('Torrance Pro Forma'!AB$8-1),IF(AB$10&gt;='Torrance Inputs'!$I$18,'Torrance Inputs'!$H$22*(1+'Torrance Inputs'!$I$23)^(AB$8-'Torrance Inputs'!$H$18),IF(AB$10&gt;=EDATE('Torrance Inputs'!$D$31,'Torrance Inputs'!$D$30),'Torrance Inputs'!$C$27*(1+'Torrance Inputs'!$D$35)^(ROUNDDOWN((AB$9-1)/12,0)),0)))</f>
        <v>95370</v>
      </c>
      <c r="AC14" s="278">
        <f>IF(AND(AC$10&gt;='Torrance Inputs'!$N$38,AC$10&lt;'Torrance Inputs'!$N$40),'Torrance Inputs'!$M$41*(1+'Torrance Inputs'!$S$39)^('Torrance Pro Forma'!AC$8-1),IF(AC$10&gt;='Torrance Inputs'!$I$18,'Torrance Inputs'!$H$22*(1+'Torrance Inputs'!$I$23)^(AC$8-'Torrance Inputs'!$H$18),IF(AC$10&gt;=EDATE('Torrance Inputs'!$D$31,'Torrance Inputs'!$D$30),'Torrance Inputs'!$C$27*(1+'Torrance Inputs'!$D$35)^(ROUNDDOWN((AC$9-1)/12,0)),0)))</f>
        <v>95370</v>
      </c>
      <c r="AD14" s="278">
        <f>IF(AND(AD$10&gt;='Torrance Inputs'!$N$38,AD$10&lt;'Torrance Inputs'!$N$40),'Torrance Inputs'!$M$41*(1+'Torrance Inputs'!$S$39)^('Torrance Pro Forma'!AD$8-1),IF(AD$10&gt;='Torrance Inputs'!$I$18,'Torrance Inputs'!$H$22*(1+'Torrance Inputs'!$I$23)^(AD$8-'Torrance Inputs'!$H$18),IF(AD$10&gt;=EDATE('Torrance Inputs'!$D$31,'Torrance Inputs'!$D$30),'Torrance Inputs'!$C$27*(1+'Torrance Inputs'!$D$35)^(ROUNDDOWN((AD$9-1)/12,0)),0)))</f>
        <v>95370</v>
      </c>
      <c r="AE14" s="278">
        <f>IF(AND(AE$10&gt;='Torrance Inputs'!$N$38,AE$10&lt;'Torrance Inputs'!$N$40),'Torrance Inputs'!$M$41*(1+'Torrance Inputs'!$S$39)^('Torrance Pro Forma'!AE$8-1),IF(AE$10&gt;='Torrance Inputs'!$I$18,'Torrance Inputs'!$H$22*(1+'Torrance Inputs'!$I$23)^(AE$8-'Torrance Inputs'!$H$18),IF(AE$10&gt;=EDATE('Torrance Inputs'!$D$31,'Torrance Inputs'!$D$30),'Torrance Inputs'!$C$27*(1+'Torrance Inputs'!$D$35)^(ROUNDDOWN((AE$9-1)/12,0)),0)))</f>
        <v>95370</v>
      </c>
      <c r="AF14" s="278">
        <f>IF(AND(AF$10&gt;='Torrance Inputs'!$N$38,AF$10&lt;'Torrance Inputs'!$N$40),'Torrance Inputs'!$M$41*(1+'Torrance Inputs'!$S$39)^('Torrance Pro Forma'!AF$8-1),IF(AF$10&gt;='Torrance Inputs'!$I$18,'Torrance Inputs'!$H$22*(1+'Torrance Inputs'!$I$23)^(AF$8-'Torrance Inputs'!$H$18),IF(AF$10&gt;=EDATE('Torrance Inputs'!$D$31,'Torrance Inputs'!$D$30),'Torrance Inputs'!$C$27*(1+'Torrance Inputs'!$D$35)^(ROUNDDOWN((AF$9-1)/12,0)),0)))</f>
        <v>95370</v>
      </c>
      <c r="AG14" s="278">
        <f>IF(AND(AG$10&gt;='Torrance Inputs'!$N$38,AG$10&lt;'Torrance Inputs'!$N$40),'Torrance Inputs'!$M$41*(1+'Torrance Inputs'!$S$39)^('Torrance Pro Forma'!AG$8-1),IF(AG$10&gt;='Torrance Inputs'!$I$18,'Torrance Inputs'!$H$22*(1+'Torrance Inputs'!$I$23)^(AG$8-'Torrance Inputs'!$H$18),IF(AG$10&gt;=EDATE('Torrance Inputs'!$D$31,'Torrance Inputs'!$D$30),'Torrance Inputs'!$C$27*(1+'Torrance Inputs'!$D$35)^(ROUNDDOWN((AG$9-1)/12,0)),0)))</f>
        <v>95370</v>
      </c>
      <c r="AH14" s="278">
        <f>IF(AND(AH$10&gt;='Torrance Inputs'!$N$38,AH$10&lt;'Torrance Inputs'!$N$40),'Torrance Inputs'!$M$41*(1+'Torrance Inputs'!$S$39)^('Torrance Pro Forma'!AH$8-1),IF(AH$10&gt;='Torrance Inputs'!$I$18,'Torrance Inputs'!$H$22*(1+'Torrance Inputs'!$I$23)^(AH$8-'Torrance Inputs'!$H$18),IF(AH$10&gt;=EDATE('Torrance Inputs'!$D$31,'Torrance Inputs'!$D$30),'Torrance Inputs'!$C$27*(1+'Torrance Inputs'!$D$35)^(ROUNDDOWN((AH$9-1)/12,0)),0)))</f>
        <v>95370</v>
      </c>
      <c r="AI14" s="278">
        <f>IF(AND(AI$10&gt;='Torrance Inputs'!$N$38,AI$10&lt;'Torrance Inputs'!$N$40),'Torrance Inputs'!$M$41*(1+'Torrance Inputs'!$S$39)^('Torrance Pro Forma'!AI$8-1),IF(AI$10&gt;='Torrance Inputs'!$I$18,'Torrance Inputs'!$H$22*(1+'Torrance Inputs'!$I$23)^(AI$8-'Torrance Inputs'!$H$18),IF(AI$10&gt;=EDATE('Torrance Inputs'!$D$31,'Torrance Inputs'!$D$30),'Torrance Inputs'!$C$27*(1+'Torrance Inputs'!$D$35)^(ROUNDDOWN((AI$9-1)/12,0)),0)))</f>
        <v>95370</v>
      </c>
      <c r="AJ14" s="278">
        <f>IF(AND(AJ$10&gt;='Torrance Inputs'!$N$38,AJ$10&lt;'Torrance Inputs'!$N$40),'Torrance Inputs'!$M$41*(1+'Torrance Inputs'!$S$39)^('Torrance Pro Forma'!AJ$8-1),IF(AJ$10&gt;='Torrance Inputs'!$I$18,'Torrance Inputs'!$H$22*(1+'Torrance Inputs'!$I$23)^(AJ$8-'Torrance Inputs'!$H$18),IF(AJ$10&gt;=EDATE('Torrance Inputs'!$D$31,'Torrance Inputs'!$D$30),'Torrance Inputs'!$C$27*(1+'Torrance Inputs'!$D$35)^(ROUNDDOWN((AJ$9-1)/12,0)),0)))</f>
        <v>95370</v>
      </c>
      <c r="AK14" s="278">
        <f>IF(AND(AK$10&gt;='Torrance Inputs'!$N$38,AK$10&lt;'Torrance Inputs'!$N$40),'Torrance Inputs'!$M$41*(1+'Torrance Inputs'!$S$39)^('Torrance Pro Forma'!AK$8-1),IF(AK$10&gt;='Torrance Inputs'!$I$18,'Torrance Inputs'!$H$22*(1+'Torrance Inputs'!$I$23)^(AK$8-'Torrance Inputs'!$H$18),IF(AK$10&gt;=EDATE('Torrance Inputs'!$D$31,'Torrance Inputs'!$D$30),'Torrance Inputs'!$C$27*(1+'Torrance Inputs'!$D$35)^(ROUNDDOWN((AK$9-1)/12,0)),0)))</f>
        <v>95370</v>
      </c>
      <c r="AL14" s="278">
        <f>IF(AND(AL$10&gt;='Torrance Inputs'!$N$38,AL$10&lt;'Torrance Inputs'!$N$40),'Torrance Inputs'!$M$41*(1+'Torrance Inputs'!$S$39)^('Torrance Pro Forma'!AL$8-1),IF(AL$10&gt;='Torrance Inputs'!$I$18,'Torrance Inputs'!$H$22*(1+'Torrance Inputs'!$I$23)^(AL$8-'Torrance Inputs'!$H$18),IF(AL$10&gt;=EDATE('Torrance Inputs'!$D$31,'Torrance Inputs'!$D$30),'Torrance Inputs'!$C$27*(1+'Torrance Inputs'!$D$35)^(ROUNDDOWN((AL$9-1)/12,0)),0)))</f>
        <v>95370</v>
      </c>
      <c r="AM14" s="278">
        <f>IF(AND(AM$10&gt;='Torrance Inputs'!$N$38,AM$10&lt;'Torrance Inputs'!$N$40),'Torrance Inputs'!$M$41*(1+'Torrance Inputs'!$S$39)^('Torrance Pro Forma'!AM$8-1),IF(AM$10&gt;='Torrance Inputs'!$I$18,'Torrance Inputs'!$H$22*(1+'Torrance Inputs'!$I$23)^(AM$8-'Torrance Inputs'!$H$18),IF(AM$10&gt;=EDATE('Torrance Inputs'!$D$31,'Torrance Inputs'!$D$30),'Torrance Inputs'!$C$27*(1+'Torrance Inputs'!$D$35)^(ROUNDDOWN((AM$9-1)/12,0)),0)))</f>
        <v>97277.4</v>
      </c>
      <c r="AN14" s="278">
        <f>IF(AND(AN$10&gt;='Torrance Inputs'!$N$38,AN$10&lt;'Torrance Inputs'!$N$40),'Torrance Inputs'!$M$41*(1+'Torrance Inputs'!$S$39)^('Torrance Pro Forma'!AN$8-1),IF(AN$10&gt;='Torrance Inputs'!$I$18,'Torrance Inputs'!$H$22*(1+'Torrance Inputs'!$I$23)^(AN$8-'Torrance Inputs'!$H$18),IF(AN$10&gt;=EDATE('Torrance Inputs'!$D$31,'Torrance Inputs'!$D$30),'Torrance Inputs'!$C$27*(1+'Torrance Inputs'!$D$35)^(ROUNDDOWN((AN$9-1)/12,0)),0)))</f>
        <v>97277.4</v>
      </c>
      <c r="AO14" s="278">
        <f>IF(AND(AO$10&gt;='Torrance Inputs'!$N$38,AO$10&lt;'Torrance Inputs'!$N$40),'Torrance Inputs'!$M$41*(1+'Torrance Inputs'!$S$39)^('Torrance Pro Forma'!AO$8-1),IF(AO$10&gt;='Torrance Inputs'!$I$18,'Torrance Inputs'!$H$22*(1+'Torrance Inputs'!$I$23)^(AO$8-'Torrance Inputs'!$H$18),IF(AO$10&gt;=EDATE('Torrance Inputs'!$D$31,'Torrance Inputs'!$D$30),'Torrance Inputs'!$C$27*(1+'Torrance Inputs'!$D$35)^(ROUNDDOWN((AO$9-1)/12,0)),0)))</f>
        <v>97277.4</v>
      </c>
      <c r="AP14" s="278">
        <f>IF(AND(AP$10&gt;='Torrance Inputs'!$N$38,AP$10&lt;'Torrance Inputs'!$N$40),'Torrance Inputs'!$M$41*(1+'Torrance Inputs'!$S$39)^('Torrance Pro Forma'!AP$8-1),IF(AP$10&gt;='Torrance Inputs'!$I$18,'Torrance Inputs'!$H$22*(1+'Torrance Inputs'!$I$23)^(AP$8-'Torrance Inputs'!$H$18),IF(AP$10&gt;=EDATE('Torrance Inputs'!$D$31,'Torrance Inputs'!$D$30),'Torrance Inputs'!$C$27*(1+'Torrance Inputs'!$D$35)^(ROUNDDOWN((AP$9-1)/12,0)),0)))</f>
        <v>97277.4</v>
      </c>
      <c r="AQ14" s="278">
        <f>IF(AND(AQ$10&gt;='Torrance Inputs'!$N$38,AQ$10&lt;'Torrance Inputs'!$N$40),'Torrance Inputs'!$M$41*(1+'Torrance Inputs'!$S$39)^('Torrance Pro Forma'!AQ$8-1),IF(AQ$10&gt;='Torrance Inputs'!$I$18,'Torrance Inputs'!$H$22*(1+'Torrance Inputs'!$I$23)^(AQ$8-'Torrance Inputs'!$H$18),IF(AQ$10&gt;=EDATE('Torrance Inputs'!$D$31,'Torrance Inputs'!$D$30),'Torrance Inputs'!$C$27*(1+'Torrance Inputs'!$D$35)^(ROUNDDOWN((AQ$9-1)/12,0)),0)))</f>
        <v>97277.4</v>
      </c>
      <c r="AR14" s="278">
        <f>IF(AND(AR$10&gt;='Torrance Inputs'!$N$38,AR$10&lt;'Torrance Inputs'!$N$40),'Torrance Inputs'!$M$41*(1+'Torrance Inputs'!$S$39)^('Torrance Pro Forma'!AR$8-1),IF(AR$10&gt;='Torrance Inputs'!$I$18,'Torrance Inputs'!$H$22*(1+'Torrance Inputs'!$I$23)^(AR$8-'Torrance Inputs'!$H$18),IF(AR$10&gt;=EDATE('Torrance Inputs'!$D$31,'Torrance Inputs'!$D$30),'Torrance Inputs'!$C$27*(1+'Torrance Inputs'!$D$35)^(ROUNDDOWN((AR$9-1)/12,0)),0)))</f>
        <v>97277.4</v>
      </c>
      <c r="AS14" s="278">
        <f>IF(AND(AS$10&gt;='Torrance Inputs'!$N$38,AS$10&lt;'Torrance Inputs'!$N$40),'Torrance Inputs'!$M$41*(1+'Torrance Inputs'!$S$39)^('Torrance Pro Forma'!AS$8-1),IF(AS$10&gt;='Torrance Inputs'!$I$18,'Torrance Inputs'!$H$22*(1+'Torrance Inputs'!$I$23)^(AS$8-'Torrance Inputs'!$H$18),IF(AS$10&gt;=EDATE('Torrance Inputs'!$D$31,'Torrance Inputs'!$D$30),'Torrance Inputs'!$C$27*(1+'Torrance Inputs'!$D$35)^(ROUNDDOWN((AS$9-1)/12,0)),0)))</f>
        <v>97277.4</v>
      </c>
      <c r="AT14" s="278">
        <f>IF(AND(AT$10&gt;='Torrance Inputs'!$N$38,AT$10&lt;'Torrance Inputs'!$N$40),'Torrance Inputs'!$M$41*(1+'Torrance Inputs'!$S$39)^('Torrance Pro Forma'!AT$8-1),IF(AT$10&gt;='Torrance Inputs'!$I$18,'Torrance Inputs'!$H$22*(1+'Torrance Inputs'!$I$23)^(AT$8-'Torrance Inputs'!$H$18),IF(AT$10&gt;=EDATE('Torrance Inputs'!$D$31,'Torrance Inputs'!$D$30),'Torrance Inputs'!$C$27*(1+'Torrance Inputs'!$D$35)^(ROUNDDOWN((AT$9-1)/12,0)),0)))</f>
        <v>97277.4</v>
      </c>
      <c r="AU14" s="278">
        <f>IF(AND(AU$10&gt;='Torrance Inputs'!$N$38,AU$10&lt;'Torrance Inputs'!$N$40),'Torrance Inputs'!$M$41*(1+'Torrance Inputs'!$S$39)^('Torrance Pro Forma'!AU$8-1),IF(AU$10&gt;='Torrance Inputs'!$I$18,'Torrance Inputs'!$H$22*(1+'Torrance Inputs'!$I$23)^(AU$8-'Torrance Inputs'!$H$18),IF(AU$10&gt;=EDATE('Torrance Inputs'!$D$31,'Torrance Inputs'!$D$30),'Torrance Inputs'!$C$27*(1+'Torrance Inputs'!$D$35)^(ROUNDDOWN((AU$9-1)/12,0)),0)))</f>
        <v>97277.4</v>
      </c>
      <c r="AV14" s="278">
        <f>IF(AND(AV$10&gt;='Torrance Inputs'!$N$38,AV$10&lt;'Torrance Inputs'!$N$40),'Torrance Inputs'!$M$41*(1+'Torrance Inputs'!$S$39)^('Torrance Pro Forma'!AV$8-1),IF(AV$10&gt;='Torrance Inputs'!$I$18,'Torrance Inputs'!$H$22*(1+'Torrance Inputs'!$I$23)^(AV$8-'Torrance Inputs'!$H$18),IF(AV$10&gt;=EDATE('Torrance Inputs'!$D$31,'Torrance Inputs'!$D$30),'Torrance Inputs'!$C$27*(1+'Torrance Inputs'!$D$35)^(ROUNDDOWN((AV$9-1)/12,0)),0)))</f>
        <v>97277.4</v>
      </c>
      <c r="AW14" s="278">
        <f>IF(AND(AW$10&gt;='Torrance Inputs'!$N$38,AW$10&lt;'Torrance Inputs'!$N$40),'Torrance Inputs'!$M$41*(1+'Torrance Inputs'!$S$39)^('Torrance Pro Forma'!AW$8-1),IF(AW$10&gt;='Torrance Inputs'!$I$18,'Torrance Inputs'!$H$22*(1+'Torrance Inputs'!$I$23)^(AW$8-'Torrance Inputs'!$H$18),IF(AW$10&gt;=EDATE('Torrance Inputs'!$D$31,'Torrance Inputs'!$D$30),'Torrance Inputs'!$C$27*(1+'Torrance Inputs'!$D$35)^(ROUNDDOWN((AW$9-1)/12,0)),0)))</f>
        <v>97277.4</v>
      </c>
      <c r="AX14" s="278">
        <f>IF(AND(AX$10&gt;='Torrance Inputs'!$N$38,AX$10&lt;'Torrance Inputs'!$N$40),'Torrance Inputs'!$M$41*(1+'Torrance Inputs'!$S$39)^('Torrance Pro Forma'!AX$8-1),IF(AX$10&gt;='Torrance Inputs'!$I$18,'Torrance Inputs'!$H$22*(1+'Torrance Inputs'!$I$23)^(AX$8-'Torrance Inputs'!$H$18),IF(AX$10&gt;=EDATE('Torrance Inputs'!$D$31,'Torrance Inputs'!$D$30),'Torrance Inputs'!$C$27*(1+'Torrance Inputs'!$D$35)^(ROUNDDOWN((AX$9-1)/12,0)),0)))</f>
        <v>97277.4</v>
      </c>
      <c r="AY14" s="278">
        <f>IF(AND(AY$10&gt;='Torrance Inputs'!$N$38,AY$10&lt;'Torrance Inputs'!$N$40),'Torrance Inputs'!$M$41*(1+'Torrance Inputs'!$S$39)^('Torrance Pro Forma'!AY$8-1),IF(AY$10&gt;='Torrance Inputs'!$I$18,'Torrance Inputs'!$H$22*(1+'Torrance Inputs'!$I$23)^(AY$8-'Torrance Inputs'!$H$18),IF(AY$10&gt;=EDATE('Torrance Inputs'!$D$31,'Torrance Inputs'!$D$30),'Torrance Inputs'!$C$27*(1+'Torrance Inputs'!$D$35)^(ROUNDDOWN((AY$9-1)/12,0)),0)))</f>
        <v>0</v>
      </c>
      <c r="AZ14" s="278">
        <f>IF(AND(AZ$10&gt;='Torrance Inputs'!$N$38,AZ$10&lt;'Torrance Inputs'!$N$40),'Torrance Inputs'!$M$41*(1+'Torrance Inputs'!$S$39)^('Torrance Pro Forma'!AZ$8-1),IF(AZ$10&gt;='Torrance Inputs'!$I$18,'Torrance Inputs'!$H$22*(1+'Torrance Inputs'!$I$23)^(AZ$8-'Torrance Inputs'!$H$18),IF(AZ$10&gt;=EDATE('Torrance Inputs'!$D$31,'Torrance Inputs'!$D$30),'Torrance Inputs'!$C$27*(1+'Torrance Inputs'!$D$35)^(ROUNDDOWN((AZ$9-1)/12,0)),0)))</f>
        <v>0</v>
      </c>
      <c r="BA14" s="278">
        <f>IF(AND(BA$10&gt;='Torrance Inputs'!$N$38,BA$10&lt;'Torrance Inputs'!$N$40),'Torrance Inputs'!$M$41*(1+'Torrance Inputs'!$S$39)^('Torrance Pro Forma'!BA$8-1),IF(BA$10&gt;='Torrance Inputs'!$I$18,'Torrance Inputs'!$H$22*(1+'Torrance Inputs'!$I$23)^(BA$8-'Torrance Inputs'!$H$18),IF(BA$10&gt;=EDATE('Torrance Inputs'!$D$31,'Torrance Inputs'!$D$30),'Torrance Inputs'!$C$27*(1+'Torrance Inputs'!$D$35)^(ROUNDDOWN((BA$9-1)/12,0)),0)))</f>
        <v>0</v>
      </c>
      <c r="BB14" s="278">
        <f>IF(AND(BB$10&gt;='Torrance Inputs'!$N$38,BB$10&lt;'Torrance Inputs'!$N$40),'Torrance Inputs'!$M$41*(1+'Torrance Inputs'!$S$39)^('Torrance Pro Forma'!BB$8-1),IF(BB$10&gt;='Torrance Inputs'!$I$18,'Torrance Inputs'!$H$22*(1+'Torrance Inputs'!$I$23)^(BB$8-'Torrance Inputs'!$H$18),IF(BB$10&gt;=EDATE('Torrance Inputs'!$D$31,'Torrance Inputs'!$D$30),'Torrance Inputs'!$C$27*(1+'Torrance Inputs'!$D$35)^(ROUNDDOWN((BB$9-1)/12,0)),0)))</f>
        <v>0</v>
      </c>
      <c r="BC14" s="278">
        <f>IF(AND(BC$10&gt;='Torrance Inputs'!$N$38,BC$10&lt;'Torrance Inputs'!$N$40),'Torrance Inputs'!$M$41*(1+'Torrance Inputs'!$S$39)^('Torrance Pro Forma'!BC$8-1),IF(BC$10&gt;='Torrance Inputs'!$I$18,'Torrance Inputs'!$H$22*(1+'Torrance Inputs'!$I$23)^(BC$8-'Torrance Inputs'!$H$18),IF(BC$10&gt;=EDATE('Torrance Inputs'!$D$31,'Torrance Inputs'!$D$30),'Torrance Inputs'!$C$27*(1+'Torrance Inputs'!$D$35)^(ROUNDDOWN((BC$9-1)/12,0)),0)))</f>
        <v>0</v>
      </c>
      <c r="BD14" s="278">
        <f>IF(AND(BD$10&gt;='Torrance Inputs'!$N$38,BD$10&lt;'Torrance Inputs'!$N$40),'Torrance Inputs'!$M$41*(1+'Torrance Inputs'!$S$39)^('Torrance Pro Forma'!BD$8-1),IF(BD$10&gt;='Torrance Inputs'!$I$18,'Torrance Inputs'!$H$22*(1+'Torrance Inputs'!$I$23)^(BD$8-'Torrance Inputs'!$H$18),IF(BD$10&gt;=EDATE('Torrance Inputs'!$D$31,'Torrance Inputs'!$D$30),'Torrance Inputs'!$C$27*(1+'Torrance Inputs'!$D$35)^(ROUNDDOWN((BD$9-1)/12,0)),0)))</f>
        <v>0</v>
      </c>
      <c r="BE14" s="278">
        <f>IF(AND(BE$10&gt;='Torrance Inputs'!$N$38,BE$10&lt;'Torrance Inputs'!$N$40),'Torrance Inputs'!$M$41*(1+'Torrance Inputs'!$S$39)^('Torrance Pro Forma'!BE$8-1),IF(BE$10&gt;='Torrance Inputs'!$I$18,'Torrance Inputs'!$H$22*(1+'Torrance Inputs'!$I$23)^(BE$8-'Torrance Inputs'!$H$18),IF(BE$10&gt;=EDATE('Torrance Inputs'!$D$31,'Torrance Inputs'!$D$30),'Torrance Inputs'!$C$27*(1+'Torrance Inputs'!$D$35)^(ROUNDDOWN((BE$9-1)/12,0)),0)))</f>
        <v>0</v>
      </c>
      <c r="BF14" s="278">
        <f>IF(AND(BF$10&gt;='Torrance Inputs'!$N$38,BF$10&lt;'Torrance Inputs'!$N$40),'Torrance Inputs'!$M$41*(1+'Torrance Inputs'!$S$39)^('Torrance Pro Forma'!BF$8-1),IF(BF$10&gt;='Torrance Inputs'!$I$18,'Torrance Inputs'!$H$22*(1+'Torrance Inputs'!$I$23)^(BF$8-'Torrance Inputs'!$H$18),IF(BF$10&gt;=EDATE('Torrance Inputs'!$D$31,'Torrance Inputs'!$D$30),'Torrance Inputs'!$C$27*(1+'Torrance Inputs'!$D$35)^(ROUNDDOWN((BF$9-1)/12,0)),0)))</f>
        <v>0</v>
      </c>
      <c r="BG14" s="278">
        <f>IF(AND(BG$10&gt;='Torrance Inputs'!$N$38,BG$10&lt;'Torrance Inputs'!$N$40),'Torrance Inputs'!$M$41*(1+'Torrance Inputs'!$S$39)^('Torrance Pro Forma'!BG$8-1),IF(BG$10&gt;='Torrance Inputs'!$I$18,'Torrance Inputs'!$H$22*(1+'Torrance Inputs'!$I$23)^(BG$8-'Torrance Inputs'!$H$18),IF(BG$10&gt;=EDATE('Torrance Inputs'!$D$31,'Torrance Inputs'!$D$30),'Torrance Inputs'!$C$27*(1+'Torrance Inputs'!$D$35)^(ROUNDDOWN((BG$9-1)/12,0)),0)))</f>
        <v>0</v>
      </c>
      <c r="BH14" s="278">
        <f>IF(AND(BH$10&gt;='Torrance Inputs'!$N$38,BH$10&lt;'Torrance Inputs'!$N$40),'Torrance Inputs'!$M$41*(1+'Torrance Inputs'!$S$39)^('Torrance Pro Forma'!BH$8-1),IF(BH$10&gt;='Torrance Inputs'!$I$18,'Torrance Inputs'!$H$22*(1+'Torrance Inputs'!$I$23)^(BH$8-'Torrance Inputs'!$H$18),IF(BH$10&gt;=EDATE('Torrance Inputs'!$D$31,'Torrance Inputs'!$D$30),'Torrance Inputs'!$C$27*(1+'Torrance Inputs'!$D$35)^(ROUNDDOWN((BH$9-1)/12,0)),0)))</f>
        <v>0</v>
      </c>
      <c r="BI14" s="278">
        <f>IF(AND(BI$10&gt;='Torrance Inputs'!$N$38,BI$10&lt;'Torrance Inputs'!$N$40),'Torrance Inputs'!$M$41*(1+'Torrance Inputs'!$S$39)^('Torrance Pro Forma'!BI$8-1),IF(BI$10&gt;='Torrance Inputs'!$I$18,'Torrance Inputs'!$H$22*(1+'Torrance Inputs'!$I$23)^(BI$8-'Torrance Inputs'!$H$18),IF(BI$10&gt;=EDATE('Torrance Inputs'!$D$31,'Torrance Inputs'!$D$30),'Torrance Inputs'!$C$27*(1+'Torrance Inputs'!$D$35)^(ROUNDDOWN((BI$9-1)/12,0)),0)))</f>
        <v>0</v>
      </c>
      <c r="BJ14" s="278">
        <f>IF(AND(BJ$10&gt;='Torrance Inputs'!$N$38,BJ$10&lt;'Torrance Inputs'!$N$40),'Torrance Inputs'!$M$41*(1+'Torrance Inputs'!$S$39)^('Torrance Pro Forma'!BJ$8-1),IF(BJ$10&gt;='Torrance Inputs'!$I$18,'Torrance Inputs'!$H$22*(1+'Torrance Inputs'!$I$23)^(BJ$8-'Torrance Inputs'!$H$18),IF(BJ$10&gt;=EDATE('Torrance Inputs'!$D$31,'Torrance Inputs'!$D$30),'Torrance Inputs'!$C$27*(1+'Torrance Inputs'!$D$35)^(ROUNDDOWN((BJ$9-1)/12,0)),0)))</f>
        <v>0</v>
      </c>
      <c r="BK14" s="278">
        <f>IF(AND(BK$10&gt;='Torrance Inputs'!$N$38,BK$10&lt;'Torrance Inputs'!$N$40),'Torrance Inputs'!$M$41*(1+'Torrance Inputs'!$S$39)^('Torrance Pro Forma'!BK$8-1),IF(BK$10&gt;='Torrance Inputs'!$I$18,'Torrance Inputs'!$H$22*(1+'Torrance Inputs'!$I$23)^(BK$8-'Torrance Inputs'!$H$18),IF(BK$10&gt;=EDATE('Torrance Inputs'!$D$31,'Torrance Inputs'!$D$30),'Torrance Inputs'!$C$27*(1+'Torrance Inputs'!$D$35)^(ROUNDDOWN((BK$9-1)/12,0)),0)))</f>
        <v>203235.2361507187</v>
      </c>
      <c r="BL14" s="278">
        <f>IF(AND(BL$10&gt;='Torrance Inputs'!$N$38,BL$10&lt;'Torrance Inputs'!$N$40),'Torrance Inputs'!$M$41*(1+'Torrance Inputs'!$S$39)^('Torrance Pro Forma'!BL$8-1),IF(BL$10&gt;='Torrance Inputs'!$I$18,'Torrance Inputs'!$H$22*(1+'Torrance Inputs'!$I$23)^(BL$8-'Torrance Inputs'!$H$18),IF(BL$10&gt;=EDATE('Torrance Inputs'!$D$31,'Torrance Inputs'!$D$30),'Torrance Inputs'!$C$27*(1+'Torrance Inputs'!$D$35)^(ROUNDDOWN((BL$9-1)/12,0)),0)))</f>
        <v>203235.2361507187</v>
      </c>
      <c r="BM14" s="278">
        <f>IF(AND(BM$10&gt;='Torrance Inputs'!$N$38,BM$10&lt;'Torrance Inputs'!$N$40),'Torrance Inputs'!$M$41*(1+'Torrance Inputs'!$S$39)^('Torrance Pro Forma'!BM$8-1),IF(BM$10&gt;='Torrance Inputs'!$I$18,'Torrance Inputs'!$H$22*(1+'Torrance Inputs'!$I$23)^(BM$8-'Torrance Inputs'!$H$18),IF(BM$10&gt;=EDATE('Torrance Inputs'!$D$31,'Torrance Inputs'!$D$30),'Torrance Inputs'!$C$27*(1+'Torrance Inputs'!$D$35)^(ROUNDDOWN((BM$9-1)/12,0)),0)))</f>
        <v>203235.2361507187</v>
      </c>
      <c r="BN14" s="278">
        <f>IF(AND(BN$10&gt;='Torrance Inputs'!$N$38,BN$10&lt;'Torrance Inputs'!$N$40),'Torrance Inputs'!$M$41*(1+'Torrance Inputs'!$S$39)^('Torrance Pro Forma'!BN$8-1),IF(BN$10&gt;='Torrance Inputs'!$I$18,'Torrance Inputs'!$H$22*(1+'Torrance Inputs'!$I$23)^(BN$8-'Torrance Inputs'!$H$18),IF(BN$10&gt;=EDATE('Torrance Inputs'!$D$31,'Torrance Inputs'!$D$30),'Torrance Inputs'!$C$27*(1+'Torrance Inputs'!$D$35)^(ROUNDDOWN((BN$9-1)/12,0)),0)))</f>
        <v>203235.2361507187</v>
      </c>
      <c r="BO14" s="278">
        <f>IF(AND(BO$10&gt;='Torrance Inputs'!$N$38,BO$10&lt;'Torrance Inputs'!$N$40),'Torrance Inputs'!$M$41*(1+'Torrance Inputs'!$S$39)^('Torrance Pro Forma'!BO$8-1),IF(BO$10&gt;='Torrance Inputs'!$I$18,'Torrance Inputs'!$H$22*(1+'Torrance Inputs'!$I$23)^(BO$8-'Torrance Inputs'!$H$18),IF(BO$10&gt;=EDATE('Torrance Inputs'!$D$31,'Torrance Inputs'!$D$30),'Torrance Inputs'!$C$27*(1+'Torrance Inputs'!$D$35)^(ROUNDDOWN((BO$9-1)/12,0)),0)))</f>
        <v>203235.2361507187</v>
      </c>
      <c r="BP14" s="278">
        <f>IF(AND(BP$10&gt;='Torrance Inputs'!$N$38,BP$10&lt;'Torrance Inputs'!$N$40),'Torrance Inputs'!$M$41*(1+'Torrance Inputs'!$S$39)^('Torrance Pro Forma'!BP$8-1),IF(BP$10&gt;='Torrance Inputs'!$I$18,'Torrance Inputs'!$H$22*(1+'Torrance Inputs'!$I$23)^(BP$8-'Torrance Inputs'!$H$18),IF(BP$10&gt;=EDATE('Torrance Inputs'!$D$31,'Torrance Inputs'!$D$30),'Torrance Inputs'!$C$27*(1+'Torrance Inputs'!$D$35)^(ROUNDDOWN((BP$9-1)/12,0)),0)))</f>
        <v>203235.2361507187</v>
      </c>
      <c r="BQ14" s="278">
        <f>IF(AND(BQ$10&gt;='Torrance Inputs'!$N$38,BQ$10&lt;'Torrance Inputs'!$N$40),'Torrance Inputs'!$M$41*(1+'Torrance Inputs'!$S$39)^('Torrance Pro Forma'!BQ$8-1),IF(BQ$10&gt;='Torrance Inputs'!$I$18,'Torrance Inputs'!$H$22*(1+'Torrance Inputs'!$I$23)^(BQ$8-'Torrance Inputs'!$H$18),IF(BQ$10&gt;=EDATE('Torrance Inputs'!$D$31,'Torrance Inputs'!$D$30),'Torrance Inputs'!$C$27*(1+'Torrance Inputs'!$D$35)^(ROUNDDOWN((BQ$9-1)/12,0)),0)))</f>
        <v>203235.2361507187</v>
      </c>
      <c r="BR14" s="278">
        <f>IF(AND(BR$10&gt;='Torrance Inputs'!$N$38,BR$10&lt;'Torrance Inputs'!$N$40),'Torrance Inputs'!$M$41*(1+'Torrance Inputs'!$S$39)^('Torrance Pro Forma'!BR$8-1),IF(BR$10&gt;='Torrance Inputs'!$I$18,'Torrance Inputs'!$H$22*(1+'Torrance Inputs'!$I$23)^(BR$8-'Torrance Inputs'!$H$18),IF(BR$10&gt;=EDATE('Torrance Inputs'!$D$31,'Torrance Inputs'!$D$30),'Torrance Inputs'!$C$27*(1+'Torrance Inputs'!$D$35)^(ROUNDDOWN((BR$9-1)/12,0)),0)))</f>
        <v>203235.2361507187</v>
      </c>
      <c r="BS14" s="278">
        <f>IF(AND(BS$10&gt;='Torrance Inputs'!$N$38,BS$10&lt;'Torrance Inputs'!$N$40),'Torrance Inputs'!$M$41*(1+'Torrance Inputs'!$S$39)^('Torrance Pro Forma'!BS$8-1),IF(BS$10&gt;='Torrance Inputs'!$I$18,'Torrance Inputs'!$H$22*(1+'Torrance Inputs'!$I$23)^(BS$8-'Torrance Inputs'!$H$18),IF(BS$10&gt;=EDATE('Torrance Inputs'!$D$31,'Torrance Inputs'!$D$30),'Torrance Inputs'!$C$27*(1+'Torrance Inputs'!$D$35)^(ROUNDDOWN((BS$9-1)/12,0)),0)))</f>
        <v>203235.2361507187</v>
      </c>
      <c r="BT14" s="278">
        <f>IF(AND(BT$10&gt;='Torrance Inputs'!$N$38,BT$10&lt;'Torrance Inputs'!$N$40),'Torrance Inputs'!$M$41*(1+'Torrance Inputs'!$S$39)^('Torrance Pro Forma'!BT$8-1),IF(BT$10&gt;='Torrance Inputs'!$I$18,'Torrance Inputs'!$H$22*(1+'Torrance Inputs'!$I$23)^(BT$8-'Torrance Inputs'!$H$18),IF(BT$10&gt;=EDATE('Torrance Inputs'!$D$31,'Torrance Inputs'!$D$30),'Torrance Inputs'!$C$27*(1+'Torrance Inputs'!$D$35)^(ROUNDDOWN((BT$9-1)/12,0)),0)))</f>
        <v>203235.2361507187</v>
      </c>
      <c r="BU14" s="278">
        <f>IF(AND(BU$10&gt;='Torrance Inputs'!$N$38,BU$10&lt;'Torrance Inputs'!$N$40),'Torrance Inputs'!$M$41*(1+'Torrance Inputs'!$S$39)^('Torrance Pro Forma'!BU$8-1),IF(BU$10&gt;='Torrance Inputs'!$I$18,'Torrance Inputs'!$H$22*(1+'Torrance Inputs'!$I$23)^(BU$8-'Torrance Inputs'!$H$18),IF(BU$10&gt;=EDATE('Torrance Inputs'!$D$31,'Torrance Inputs'!$D$30),'Torrance Inputs'!$C$27*(1+'Torrance Inputs'!$D$35)^(ROUNDDOWN((BU$9-1)/12,0)),0)))</f>
        <v>203235.2361507187</v>
      </c>
      <c r="BV14" s="278">
        <f>IF(AND(BV$10&gt;='Torrance Inputs'!$N$38,BV$10&lt;'Torrance Inputs'!$N$40),'Torrance Inputs'!$M$41*(1+'Torrance Inputs'!$S$39)^('Torrance Pro Forma'!BV$8-1),IF(BV$10&gt;='Torrance Inputs'!$I$18,'Torrance Inputs'!$H$22*(1+'Torrance Inputs'!$I$23)^(BV$8-'Torrance Inputs'!$H$18),IF(BV$10&gt;=EDATE('Torrance Inputs'!$D$31,'Torrance Inputs'!$D$30),'Torrance Inputs'!$C$27*(1+'Torrance Inputs'!$D$35)^(ROUNDDOWN((BV$9-1)/12,0)),0)))</f>
        <v>203235.2361507187</v>
      </c>
      <c r="BW14" s="278">
        <f>IF(AND(BW$10&gt;='Torrance Inputs'!$N$38,BW$10&lt;'Torrance Inputs'!$N$40),'Torrance Inputs'!$M$41*(1+'Torrance Inputs'!$S$39)^('Torrance Pro Forma'!BW$8-1),IF(BW$10&gt;='Torrance Inputs'!$I$18,'Torrance Inputs'!$H$22*(1+'Torrance Inputs'!$I$23)^(BW$8-'Torrance Inputs'!$H$18),IF(BW$10&gt;=EDATE('Torrance Inputs'!$D$31,'Torrance Inputs'!$D$30),'Torrance Inputs'!$C$27*(1+'Torrance Inputs'!$D$35)^(ROUNDDOWN((BW$9-1)/12,0)),0)))</f>
        <v>207299.94087373308</v>
      </c>
      <c r="BX14" s="278">
        <f>IF(AND(BX$10&gt;='Torrance Inputs'!$N$38,BX$10&lt;'Torrance Inputs'!$N$40),'Torrance Inputs'!$M$41*(1+'Torrance Inputs'!$S$39)^('Torrance Pro Forma'!BX$8-1),IF(BX$10&gt;='Torrance Inputs'!$I$18,'Torrance Inputs'!$H$22*(1+'Torrance Inputs'!$I$23)^(BX$8-'Torrance Inputs'!$H$18),IF(BX$10&gt;=EDATE('Torrance Inputs'!$D$31,'Torrance Inputs'!$D$30),'Torrance Inputs'!$C$27*(1+'Torrance Inputs'!$D$35)^(ROUNDDOWN((BX$9-1)/12,0)),0)))</f>
        <v>207299.94087373308</v>
      </c>
      <c r="BY14" s="278">
        <f>IF(AND(BY$10&gt;='Torrance Inputs'!$N$38,BY$10&lt;'Torrance Inputs'!$N$40),'Torrance Inputs'!$M$41*(1+'Torrance Inputs'!$S$39)^('Torrance Pro Forma'!BY$8-1),IF(BY$10&gt;='Torrance Inputs'!$I$18,'Torrance Inputs'!$H$22*(1+'Torrance Inputs'!$I$23)^(BY$8-'Torrance Inputs'!$H$18),IF(BY$10&gt;=EDATE('Torrance Inputs'!$D$31,'Torrance Inputs'!$D$30),'Torrance Inputs'!$C$27*(1+'Torrance Inputs'!$D$35)^(ROUNDDOWN((BY$9-1)/12,0)),0)))</f>
        <v>207299.94087373308</v>
      </c>
      <c r="BZ14" s="278">
        <f>IF(AND(BZ$10&gt;='Torrance Inputs'!$N$38,BZ$10&lt;'Torrance Inputs'!$N$40),'Torrance Inputs'!$M$41*(1+'Torrance Inputs'!$S$39)^('Torrance Pro Forma'!BZ$8-1),IF(BZ$10&gt;='Torrance Inputs'!$I$18,'Torrance Inputs'!$H$22*(1+'Torrance Inputs'!$I$23)^(BZ$8-'Torrance Inputs'!$H$18),IF(BZ$10&gt;=EDATE('Torrance Inputs'!$D$31,'Torrance Inputs'!$D$30),'Torrance Inputs'!$C$27*(1+'Torrance Inputs'!$D$35)^(ROUNDDOWN((BZ$9-1)/12,0)),0)))</f>
        <v>207299.94087373308</v>
      </c>
      <c r="CA14" s="278">
        <f>IF(AND(CA$10&gt;='Torrance Inputs'!$N$38,CA$10&lt;'Torrance Inputs'!$N$40),'Torrance Inputs'!$M$41*(1+'Torrance Inputs'!$S$39)^('Torrance Pro Forma'!CA$8-1),IF(CA$10&gt;='Torrance Inputs'!$I$18,'Torrance Inputs'!$H$22*(1+'Torrance Inputs'!$I$23)^(CA$8-'Torrance Inputs'!$H$18),IF(CA$10&gt;=EDATE('Torrance Inputs'!$D$31,'Torrance Inputs'!$D$30),'Torrance Inputs'!$C$27*(1+'Torrance Inputs'!$D$35)^(ROUNDDOWN((CA$9-1)/12,0)),0)))</f>
        <v>207299.94087373308</v>
      </c>
      <c r="CB14" s="278">
        <f>IF(AND(CB$10&gt;='Torrance Inputs'!$N$38,CB$10&lt;'Torrance Inputs'!$N$40),'Torrance Inputs'!$M$41*(1+'Torrance Inputs'!$S$39)^('Torrance Pro Forma'!CB$8-1),IF(CB$10&gt;='Torrance Inputs'!$I$18,'Torrance Inputs'!$H$22*(1+'Torrance Inputs'!$I$23)^(CB$8-'Torrance Inputs'!$H$18),IF(CB$10&gt;=EDATE('Torrance Inputs'!$D$31,'Torrance Inputs'!$D$30),'Torrance Inputs'!$C$27*(1+'Torrance Inputs'!$D$35)^(ROUNDDOWN((CB$9-1)/12,0)),0)))</f>
        <v>207299.94087373308</v>
      </c>
      <c r="CC14" s="278">
        <f>IF(AND(CC$10&gt;='Torrance Inputs'!$N$38,CC$10&lt;'Torrance Inputs'!$N$40),'Torrance Inputs'!$M$41*(1+'Torrance Inputs'!$S$39)^('Torrance Pro Forma'!CC$8-1),IF(CC$10&gt;='Torrance Inputs'!$I$18,'Torrance Inputs'!$H$22*(1+'Torrance Inputs'!$I$23)^(CC$8-'Torrance Inputs'!$H$18),IF(CC$10&gt;=EDATE('Torrance Inputs'!$D$31,'Torrance Inputs'!$D$30),'Torrance Inputs'!$C$27*(1+'Torrance Inputs'!$D$35)^(ROUNDDOWN((CC$9-1)/12,0)),0)))</f>
        <v>207299.94087373308</v>
      </c>
      <c r="CD14" s="278">
        <f>IF(AND(CD$10&gt;='Torrance Inputs'!$N$38,CD$10&lt;'Torrance Inputs'!$N$40),'Torrance Inputs'!$M$41*(1+'Torrance Inputs'!$S$39)^('Torrance Pro Forma'!CD$8-1),IF(CD$10&gt;='Torrance Inputs'!$I$18,'Torrance Inputs'!$H$22*(1+'Torrance Inputs'!$I$23)^(CD$8-'Torrance Inputs'!$H$18),IF(CD$10&gt;=EDATE('Torrance Inputs'!$D$31,'Torrance Inputs'!$D$30),'Torrance Inputs'!$C$27*(1+'Torrance Inputs'!$D$35)^(ROUNDDOWN((CD$9-1)/12,0)),0)))</f>
        <v>207299.94087373308</v>
      </c>
      <c r="CE14" s="278">
        <f>IF(AND(CE$10&gt;='Torrance Inputs'!$N$38,CE$10&lt;'Torrance Inputs'!$N$40),'Torrance Inputs'!$M$41*(1+'Torrance Inputs'!$S$39)^('Torrance Pro Forma'!CE$8-1),IF(CE$10&gt;='Torrance Inputs'!$I$18,'Torrance Inputs'!$H$22*(1+'Torrance Inputs'!$I$23)^(CE$8-'Torrance Inputs'!$H$18),IF(CE$10&gt;=EDATE('Torrance Inputs'!$D$31,'Torrance Inputs'!$D$30),'Torrance Inputs'!$C$27*(1+'Torrance Inputs'!$D$35)^(ROUNDDOWN((CE$9-1)/12,0)),0)))</f>
        <v>207299.94087373308</v>
      </c>
      <c r="CF14" s="278">
        <f>IF(AND(CF$10&gt;='Torrance Inputs'!$N$38,CF$10&lt;'Torrance Inputs'!$N$40),'Torrance Inputs'!$M$41*(1+'Torrance Inputs'!$S$39)^('Torrance Pro Forma'!CF$8-1),IF(CF$10&gt;='Torrance Inputs'!$I$18,'Torrance Inputs'!$H$22*(1+'Torrance Inputs'!$I$23)^(CF$8-'Torrance Inputs'!$H$18),IF(CF$10&gt;=EDATE('Torrance Inputs'!$D$31,'Torrance Inputs'!$D$30),'Torrance Inputs'!$C$27*(1+'Torrance Inputs'!$D$35)^(ROUNDDOWN((CF$9-1)/12,0)),0)))</f>
        <v>207299.94087373308</v>
      </c>
      <c r="CG14" s="278">
        <f>IF(AND(CG$10&gt;='Torrance Inputs'!$N$38,CG$10&lt;'Torrance Inputs'!$N$40),'Torrance Inputs'!$M$41*(1+'Torrance Inputs'!$S$39)^('Torrance Pro Forma'!CG$8-1),IF(CG$10&gt;='Torrance Inputs'!$I$18,'Torrance Inputs'!$H$22*(1+'Torrance Inputs'!$I$23)^(CG$8-'Torrance Inputs'!$H$18),IF(CG$10&gt;=EDATE('Torrance Inputs'!$D$31,'Torrance Inputs'!$D$30),'Torrance Inputs'!$C$27*(1+'Torrance Inputs'!$D$35)^(ROUNDDOWN((CG$9-1)/12,0)),0)))</f>
        <v>207299.94087373308</v>
      </c>
      <c r="CH14" s="278">
        <f>IF(AND(CH$10&gt;='Torrance Inputs'!$N$38,CH$10&lt;'Torrance Inputs'!$N$40),'Torrance Inputs'!$M$41*(1+'Torrance Inputs'!$S$39)^('Torrance Pro Forma'!CH$8-1),IF(CH$10&gt;='Torrance Inputs'!$I$18,'Torrance Inputs'!$H$22*(1+'Torrance Inputs'!$I$23)^(CH$8-'Torrance Inputs'!$H$18),IF(CH$10&gt;=EDATE('Torrance Inputs'!$D$31,'Torrance Inputs'!$D$30),'Torrance Inputs'!$C$27*(1+'Torrance Inputs'!$D$35)^(ROUNDDOWN((CH$9-1)/12,0)),0)))</f>
        <v>207299.94087373308</v>
      </c>
      <c r="CI14" s="278">
        <f>IF(AND(CI$10&gt;='Torrance Inputs'!$N$38,CI$10&lt;'Torrance Inputs'!$N$40),'Torrance Inputs'!$M$41*(1+'Torrance Inputs'!$S$39)^('Torrance Pro Forma'!CI$8-1),IF(CI$10&gt;='Torrance Inputs'!$I$18,'Torrance Inputs'!$H$22*(1+'Torrance Inputs'!$I$23)^(CI$8-'Torrance Inputs'!$H$18),IF(CI$10&gt;=EDATE('Torrance Inputs'!$D$31,'Torrance Inputs'!$D$30),'Torrance Inputs'!$C$27*(1+'Torrance Inputs'!$D$35)^(ROUNDDOWN((CI$9-1)/12,0)),0)))</f>
        <v>211445.93969120772</v>
      </c>
      <c r="CJ14" s="278">
        <f>IF(AND(CJ$10&gt;='Torrance Inputs'!$N$38,CJ$10&lt;'Torrance Inputs'!$N$40),'Torrance Inputs'!$M$41*(1+'Torrance Inputs'!$S$39)^('Torrance Pro Forma'!CJ$8-1),IF(CJ$10&gt;='Torrance Inputs'!$I$18,'Torrance Inputs'!$H$22*(1+'Torrance Inputs'!$I$23)^(CJ$8-'Torrance Inputs'!$H$18),IF(CJ$10&gt;=EDATE('Torrance Inputs'!$D$31,'Torrance Inputs'!$D$30),'Torrance Inputs'!$C$27*(1+'Torrance Inputs'!$D$35)^(ROUNDDOWN((CJ$9-1)/12,0)),0)))</f>
        <v>211445.93969120772</v>
      </c>
      <c r="CK14" s="278">
        <f>IF(AND(CK$10&gt;='Torrance Inputs'!$N$38,CK$10&lt;'Torrance Inputs'!$N$40),'Torrance Inputs'!$M$41*(1+'Torrance Inputs'!$S$39)^('Torrance Pro Forma'!CK$8-1),IF(CK$10&gt;='Torrance Inputs'!$I$18,'Torrance Inputs'!$H$22*(1+'Torrance Inputs'!$I$23)^(CK$8-'Torrance Inputs'!$H$18),IF(CK$10&gt;=EDATE('Torrance Inputs'!$D$31,'Torrance Inputs'!$D$30),'Torrance Inputs'!$C$27*(1+'Torrance Inputs'!$D$35)^(ROUNDDOWN((CK$9-1)/12,0)),0)))</f>
        <v>211445.93969120772</v>
      </c>
      <c r="CL14" s="278">
        <f>IF(AND(CL$10&gt;='Torrance Inputs'!$N$38,CL$10&lt;'Torrance Inputs'!$N$40),'Torrance Inputs'!$M$41*(1+'Torrance Inputs'!$S$39)^('Torrance Pro Forma'!CL$8-1),IF(CL$10&gt;='Torrance Inputs'!$I$18,'Torrance Inputs'!$H$22*(1+'Torrance Inputs'!$I$23)^(CL$8-'Torrance Inputs'!$H$18),IF(CL$10&gt;=EDATE('Torrance Inputs'!$D$31,'Torrance Inputs'!$D$30),'Torrance Inputs'!$C$27*(1+'Torrance Inputs'!$D$35)^(ROUNDDOWN((CL$9-1)/12,0)),0)))</f>
        <v>211445.93969120772</v>
      </c>
      <c r="CM14" s="278">
        <f>IF(AND(CM$10&gt;='Torrance Inputs'!$N$38,CM$10&lt;'Torrance Inputs'!$N$40),'Torrance Inputs'!$M$41*(1+'Torrance Inputs'!$S$39)^('Torrance Pro Forma'!CM$8-1),IF(CM$10&gt;='Torrance Inputs'!$I$18,'Torrance Inputs'!$H$22*(1+'Torrance Inputs'!$I$23)^(CM$8-'Torrance Inputs'!$H$18),IF(CM$10&gt;=EDATE('Torrance Inputs'!$D$31,'Torrance Inputs'!$D$30),'Torrance Inputs'!$C$27*(1+'Torrance Inputs'!$D$35)^(ROUNDDOWN((CM$9-1)/12,0)),0)))</f>
        <v>211445.93969120772</v>
      </c>
      <c r="CN14" s="278">
        <f>IF(AND(CN$10&gt;='Torrance Inputs'!$N$38,CN$10&lt;'Torrance Inputs'!$N$40),'Torrance Inputs'!$M$41*(1+'Torrance Inputs'!$S$39)^('Torrance Pro Forma'!CN$8-1),IF(CN$10&gt;='Torrance Inputs'!$I$18,'Torrance Inputs'!$H$22*(1+'Torrance Inputs'!$I$23)^(CN$8-'Torrance Inputs'!$H$18),IF(CN$10&gt;=EDATE('Torrance Inputs'!$D$31,'Torrance Inputs'!$D$30),'Torrance Inputs'!$C$27*(1+'Torrance Inputs'!$D$35)^(ROUNDDOWN((CN$9-1)/12,0)),0)))</f>
        <v>211445.93969120772</v>
      </c>
      <c r="CO14" s="278">
        <f>IF(AND(CO$10&gt;='Torrance Inputs'!$N$38,CO$10&lt;'Torrance Inputs'!$N$40),'Torrance Inputs'!$M$41*(1+'Torrance Inputs'!$S$39)^('Torrance Pro Forma'!CO$8-1),IF(CO$10&gt;='Torrance Inputs'!$I$18,'Torrance Inputs'!$H$22*(1+'Torrance Inputs'!$I$23)^(CO$8-'Torrance Inputs'!$H$18),IF(CO$10&gt;=EDATE('Torrance Inputs'!$D$31,'Torrance Inputs'!$D$30),'Torrance Inputs'!$C$27*(1+'Torrance Inputs'!$D$35)^(ROUNDDOWN((CO$9-1)/12,0)),0)))</f>
        <v>211445.93969120772</v>
      </c>
      <c r="CP14" s="278">
        <f>IF(AND(CP$10&gt;='Torrance Inputs'!$N$38,CP$10&lt;'Torrance Inputs'!$N$40),'Torrance Inputs'!$M$41*(1+'Torrance Inputs'!$S$39)^('Torrance Pro Forma'!CP$8-1),IF(CP$10&gt;='Torrance Inputs'!$I$18,'Torrance Inputs'!$H$22*(1+'Torrance Inputs'!$I$23)^(CP$8-'Torrance Inputs'!$H$18),IF(CP$10&gt;=EDATE('Torrance Inputs'!$D$31,'Torrance Inputs'!$D$30),'Torrance Inputs'!$C$27*(1+'Torrance Inputs'!$D$35)^(ROUNDDOWN((CP$9-1)/12,0)),0)))</f>
        <v>211445.93969120772</v>
      </c>
      <c r="CQ14" s="278">
        <f>IF(AND(CQ$10&gt;='Torrance Inputs'!$N$38,CQ$10&lt;'Torrance Inputs'!$N$40),'Torrance Inputs'!$M$41*(1+'Torrance Inputs'!$S$39)^('Torrance Pro Forma'!CQ$8-1),IF(CQ$10&gt;='Torrance Inputs'!$I$18,'Torrance Inputs'!$H$22*(1+'Torrance Inputs'!$I$23)^(CQ$8-'Torrance Inputs'!$H$18),IF(CQ$10&gt;=EDATE('Torrance Inputs'!$D$31,'Torrance Inputs'!$D$30),'Torrance Inputs'!$C$27*(1+'Torrance Inputs'!$D$35)^(ROUNDDOWN((CQ$9-1)/12,0)),0)))</f>
        <v>211445.93969120772</v>
      </c>
      <c r="CR14" s="278">
        <f>IF(AND(CR$10&gt;='Torrance Inputs'!$N$38,CR$10&lt;'Torrance Inputs'!$N$40),'Torrance Inputs'!$M$41*(1+'Torrance Inputs'!$S$39)^('Torrance Pro Forma'!CR$8-1),IF(CR$10&gt;='Torrance Inputs'!$I$18,'Torrance Inputs'!$H$22*(1+'Torrance Inputs'!$I$23)^(CR$8-'Torrance Inputs'!$H$18),IF(CR$10&gt;=EDATE('Torrance Inputs'!$D$31,'Torrance Inputs'!$D$30),'Torrance Inputs'!$C$27*(1+'Torrance Inputs'!$D$35)^(ROUNDDOWN((CR$9-1)/12,0)),0)))</f>
        <v>211445.93969120772</v>
      </c>
      <c r="CS14" s="278">
        <f>IF(AND(CS$10&gt;='Torrance Inputs'!$N$38,CS$10&lt;'Torrance Inputs'!$N$40),'Torrance Inputs'!$M$41*(1+'Torrance Inputs'!$S$39)^('Torrance Pro Forma'!CS$8-1),IF(CS$10&gt;='Torrance Inputs'!$I$18,'Torrance Inputs'!$H$22*(1+'Torrance Inputs'!$I$23)^(CS$8-'Torrance Inputs'!$H$18),IF(CS$10&gt;=EDATE('Torrance Inputs'!$D$31,'Torrance Inputs'!$D$30),'Torrance Inputs'!$C$27*(1+'Torrance Inputs'!$D$35)^(ROUNDDOWN((CS$9-1)/12,0)),0)))</f>
        <v>211445.93969120772</v>
      </c>
      <c r="CT14" s="278">
        <f>IF(AND(CT$10&gt;='Torrance Inputs'!$N$38,CT$10&lt;'Torrance Inputs'!$N$40),'Torrance Inputs'!$M$41*(1+'Torrance Inputs'!$S$39)^('Torrance Pro Forma'!CT$8-1),IF(CT$10&gt;='Torrance Inputs'!$I$18,'Torrance Inputs'!$H$22*(1+'Torrance Inputs'!$I$23)^(CT$8-'Torrance Inputs'!$H$18),IF(CT$10&gt;=EDATE('Torrance Inputs'!$D$31,'Torrance Inputs'!$D$30),'Torrance Inputs'!$C$27*(1+'Torrance Inputs'!$D$35)^(ROUNDDOWN((CT$9-1)/12,0)),0)))</f>
        <v>211445.93969120772</v>
      </c>
      <c r="CU14" s="278">
        <f>IF(AND(CU$10&gt;='Torrance Inputs'!$N$38,CU$10&lt;'Torrance Inputs'!$N$40),'Torrance Inputs'!$M$41*(1+'Torrance Inputs'!$S$39)^('Torrance Pro Forma'!CU$8-1),IF(CU$10&gt;='Torrance Inputs'!$I$18,'Torrance Inputs'!$H$22*(1+'Torrance Inputs'!$I$23)^(CU$8-'Torrance Inputs'!$H$18),IF(CU$10&gt;=EDATE('Torrance Inputs'!$D$31,'Torrance Inputs'!$D$30),'Torrance Inputs'!$C$27*(1+'Torrance Inputs'!$D$35)^(ROUNDDOWN((CU$9-1)/12,0)),0)))</f>
        <v>215674.8584850319</v>
      </c>
      <c r="CV14" s="278">
        <f>IF(AND(CV$10&gt;='Torrance Inputs'!$N$38,CV$10&lt;'Torrance Inputs'!$N$40),'Torrance Inputs'!$M$41*(1+'Torrance Inputs'!$S$39)^('Torrance Pro Forma'!CV$8-1),IF(CV$10&gt;='Torrance Inputs'!$I$18,'Torrance Inputs'!$H$22*(1+'Torrance Inputs'!$I$23)^(CV$8-'Torrance Inputs'!$H$18),IF(CV$10&gt;=EDATE('Torrance Inputs'!$D$31,'Torrance Inputs'!$D$30),'Torrance Inputs'!$C$27*(1+'Torrance Inputs'!$D$35)^(ROUNDDOWN((CV$9-1)/12,0)),0)))</f>
        <v>215674.8584850319</v>
      </c>
      <c r="CW14" s="278">
        <f>IF(AND(CW$10&gt;='Torrance Inputs'!$N$38,CW$10&lt;'Torrance Inputs'!$N$40),'Torrance Inputs'!$M$41*(1+'Torrance Inputs'!$S$39)^('Torrance Pro Forma'!CW$8-1),IF(CW$10&gt;='Torrance Inputs'!$I$18,'Torrance Inputs'!$H$22*(1+'Torrance Inputs'!$I$23)^(CW$8-'Torrance Inputs'!$H$18),IF(CW$10&gt;=EDATE('Torrance Inputs'!$D$31,'Torrance Inputs'!$D$30),'Torrance Inputs'!$C$27*(1+'Torrance Inputs'!$D$35)^(ROUNDDOWN((CW$9-1)/12,0)),0)))</f>
        <v>215674.8584850319</v>
      </c>
      <c r="CX14" s="278">
        <f>IF(AND(CX$10&gt;='Torrance Inputs'!$N$38,CX$10&lt;'Torrance Inputs'!$N$40),'Torrance Inputs'!$M$41*(1+'Torrance Inputs'!$S$39)^('Torrance Pro Forma'!CX$8-1),IF(CX$10&gt;='Torrance Inputs'!$I$18,'Torrance Inputs'!$H$22*(1+'Torrance Inputs'!$I$23)^(CX$8-'Torrance Inputs'!$H$18),IF(CX$10&gt;=EDATE('Torrance Inputs'!$D$31,'Torrance Inputs'!$D$30),'Torrance Inputs'!$C$27*(1+'Torrance Inputs'!$D$35)^(ROUNDDOWN((CX$9-1)/12,0)),0)))</f>
        <v>215674.8584850319</v>
      </c>
      <c r="CY14" s="278">
        <f>IF(AND(CY$10&gt;='Torrance Inputs'!$N$38,CY$10&lt;'Torrance Inputs'!$N$40),'Torrance Inputs'!$M$41*(1+'Torrance Inputs'!$S$39)^('Torrance Pro Forma'!CY$8-1),IF(CY$10&gt;='Torrance Inputs'!$I$18,'Torrance Inputs'!$H$22*(1+'Torrance Inputs'!$I$23)^(CY$8-'Torrance Inputs'!$H$18),IF(CY$10&gt;=EDATE('Torrance Inputs'!$D$31,'Torrance Inputs'!$D$30),'Torrance Inputs'!$C$27*(1+'Torrance Inputs'!$D$35)^(ROUNDDOWN((CY$9-1)/12,0)),0)))</f>
        <v>215674.8584850319</v>
      </c>
      <c r="CZ14" s="278">
        <f>IF(AND(CZ$10&gt;='Torrance Inputs'!$N$38,CZ$10&lt;'Torrance Inputs'!$N$40),'Torrance Inputs'!$M$41*(1+'Torrance Inputs'!$S$39)^('Torrance Pro Forma'!CZ$8-1),IF(CZ$10&gt;='Torrance Inputs'!$I$18,'Torrance Inputs'!$H$22*(1+'Torrance Inputs'!$I$23)^(CZ$8-'Torrance Inputs'!$H$18),IF(CZ$10&gt;=EDATE('Torrance Inputs'!$D$31,'Torrance Inputs'!$D$30),'Torrance Inputs'!$C$27*(1+'Torrance Inputs'!$D$35)^(ROUNDDOWN((CZ$9-1)/12,0)),0)))</f>
        <v>215674.8584850319</v>
      </c>
      <c r="DA14" s="278">
        <f>IF(AND(DA$10&gt;='Torrance Inputs'!$N$38,DA$10&lt;'Torrance Inputs'!$N$40),'Torrance Inputs'!$M$41*(1+'Torrance Inputs'!$S$39)^('Torrance Pro Forma'!DA$8-1),IF(DA$10&gt;='Torrance Inputs'!$I$18,'Torrance Inputs'!$H$22*(1+'Torrance Inputs'!$I$23)^(DA$8-'Torrance Inputs'!$H$18),IF(DA$10&gt;=EDATE('Torrance Inputs'!$D$31,'Torrance Inputs'!$D$30),'Torrance Inputs'!$C$27*(1+'Torrance Inputs'!$D$35)^(ROUNDDOWN((DA$9-1)/12,0)),0)))</f>
        <v>215674.8584850319</v>
      </c>
      <c r="DB14" s="278">
        <f>IF(AND(DB$10&gt;='Torrance Inputs'!$N$38,DB$10&lt;'Torrance Inputs'!$N$40),'Torrance Inputs'!$M$41*(1+'Torrance Inputs'!$S$39)^('Torrance Pro Forma'!DB$8-1),IF(DB$10&gt;='Torrance Inputs'!$I$18,'Torrance Inputs'!$H$22*(1+'Torrance Inputs'!$I$23)^(DB$8-'Torrance Inputs'!$H$18),IF(DB$10&gt;=EDATE('Torrance Inputs'!$D$31,'Torrance Inputs'!$D$30),'Torrance Inputs'!$C$27*(1+'Torrance Inputs'!$D$35)^(ROUNDDOWN((DB$9-1)/12,0)),0)))</f>
        <v>215674.8584850319</v>
      </c>
      <c r="DC14" s="278">
        <f>IF(AND(DC$10&gt;='Torrance Inputs'!$N$38,DC$10&lt;'Torrance Inputs'!$N$40),'Torrance Inputs'!$M$41*(1+'Torrance Inputs'!$S$39)^('Torrance Pro Forma'!DC$8-1),IF(DC$10&gt;='Torrance Inputs'!$I$18,'Torrance Inputs'!$H$22*(1+'Torrance Inputs'!$I$23)^(DC$8-'Torrance Inputs'!$H$18),IF(DC$10&gt;=EDATE('Torrance Inputs'!$D$31,'Torrance Inputs'!$D$30),'Torrance Inputs'!$C$27*(1+'Torrance Inputs'!$D$35)^(ROUNDDOWN((DC$9-1)/12,0)),0)))</f>
        <v>215674.8584850319</v>
      </c>
      <c r="DD14" s="278">
        <f>IF(AND(DD$10&gt;='Torrance Inputs'!$N$38,DD$10&lt;'Torrance Inputs'!$N$40),'Torrance Inputs'!$M$41*(1+'Torrance Inputs'!$S$39)^('Torrance Pro Forma'!DD$8-1),IF(DD$10&gt;='Torrance Inputs'!$I$18,'Torrance Inputs'!$H$22*(1+'Torrance Inputs'!$I$23)^(DD$8-'Torrance Inputs'!$H$18),IF(DD$10&gt;=EDATE('Torrance Inputs'!$D$31,'Torrance Inputs'!$D$30),'Torrance Inputs'!$C$27*(1+'Torrance Inputs'!$D$35)^(ROUNDDOWN((DD$9-1)/12,0)),0)))</f>
        <v>215674.8584850319</v>
      </c>
      <c r="DE14" s="278">
        <f>IF(AND(DE$10&gt;='Torrance Inputs'!$N$38,DE$10&lt;'Torrance Inputs'!$N$40),'Torrance Inputs'!$M$41*(1+'Torrance Inputs'!$S$39)^('Torrance Pro Forma'!DE$8-1),IF(DE$10&gt;='Torrance Inputs'!$I$18,'Torrance Inputs'!$H$22*(1+'Torrance Inputs'!$I$23)^(DE$8-'Torrance Inputs'!$H$18),IF(DE$10&gt;=EDATE('Torrance Inputs'!$D$31,'Torrance Inputs'!$D$30),'Torrance Inputs'!$C$27*(1+'Torrance Inputs'!$D$35)^(ROUNDDOWN((DE$9-1)/12,0)),0)))</f>
        <v>215674.8584850319</v>
      </c>
      <c r="DF14" s="278">
        <f>IF(AND(DF$10&gt;='Torrance Inputs'!$N$38,DF$10&lt;'Torrance Inputs'!$N$40),'Torrance Inputs'!$M$41*(1+'Torrance Inputs'!$S$39)^('Torrance Pro Forma'!DF$8-1),IF(DF$10&gt;='Torrance Inputs'!$I$18,'Torrance Inputs'!$H$22*(1+'Torrance Inputs'!$I$23)^(DF$8-'Torrance Inputs'!$H$18),IF(DF$10&gt;=EDATE('Torrance Inputs'!$D$31,'Torrance Inputs'!$D$30),'Torrance Inputs'!$C$27*(1+'Torrance Inputs'!$D$35)^(ROUNDDOWN((DF$9-1)/12,0)),0)))</f>
        <v>215674.8584850319</v>
      </c>
      <c r="DG14" s="278">
        <f>IF(AND(DG$10&gt;='Torrance Inputs'!$N$38,DG$10&lt;'Torrance Inputs'!$N$40),'Torrance Inputs'!$M$41*(1+'Torrance Inputs'!$S$39)^('Torrance Pro Forma'!DG$8-1),IF(DG$10&gt;='Torrance Inputs'!$I$18,'Torrance Inputs'!$H$22*(1+'Torrance Inputs'!$I$23)^(DG$8-'Torrance Inputs'!$H$18),IF(DG$10&gt;=EDATE('Torrance Inputs'!$D$31,'Torrance Inputs'!$D$30),'Torrance Inputs'!$C$27*(1+'Torrance Inputs'!$D$35)^(ROUNDDOWN((DG$9-1)/12,0)),0)))</f>
        <v>219988.35565473253</v>
      </c>
      <c r="DH14" s="278">
        <f>IF(AND(DH$10&gt;='Torrance Inputs'!$N$38,DH$10&lt;'Torrance Inputs'!$N$40),'Torrance Inputs'!$M$41*(1+'Torrance Inputs'!$S$39)^('Torrance Pro Forma'!DH$8-1),IF(DH$10&gt;='Torrance Inputs'!$I$18,'Torrance Inputs'!$H$22*(1+'Torrance Inputs'!$I$23)^(DH$8-'Torrance Inputs'!$H$18),IF(DH$10&gt;=EDATE('Torrance Inputs'!$D$31,'Torrance Inputs'!$D$30),'Torrance Inputs'!$C$27*(1+'Torrance Inputs'!$D$35)^(ROUNDDOWN((DH$9-1)/12,0)),0)))</f>
        <v>219988.35565473253</v>
      </c>
      <c r="DI14" s="278">
        <f>IF(AND(DI$10&gt;='Torrance Inputs'!$N$38,DI$10&lt;'Torrance Inputs'!$N$40),'Torrance Inputs'!$M$41*(1+'Torrance Inputs'!$S$39)^('Torrance Pro Forma'!DI$8-1),IF(DI$10&gt;='Torrance Inputs'!$I$18,'Torrance Inputs'!$H$22*(1+'Torrance Inputs'!$I$23)^(DI$8-'Torrance Inputs'!$H$18),IF(DI$10&gt;=EDATE('Torrance Inputs'!$D$31,'Torrance Inputs'!$D$30),'Torrance Inputs'!$C$27*(1+'Torrance Inputs'!$D$35)^(ROUNDDOWN((DI$9-1)/12,0)),0)))</f>
        <v>219988.35565473253</v>
      </c>
      <c r="DJ14" s="278">
        <f>IF(AND(DJ$10&gt;='Torrance Inputs'!$N$38,DJ$10&lt;'Torrance Inputs'!$N$40),'Torrance Inputs'!$M$41*(1+'Torrance Inputs'!$S$39)^('Torrance Pro Forma'!DJ$8-1),IF(DJ$10&gt;='Torrance Inputs'!$I$18,'Torrance Inputs'!$H$22*(1+'Torrance Inputs'!$I$23)^(DJ$8-'Torrance Inputs'!$H$18),IF(DJ$10&gt;=EDATE('Torrance Inputs'!$D$31,'Torrance Inputs'!$D$30),'Torrance Inputs'!$C$27*(1+'Torrance Inputs'!$D$35)^(ROUNDDOWN((DJ$9-1)/12,0)),0)))</f>
        <v>219988.35565473253</v>
      </c>
      <c r="DK14" s="278">
        <f>IF(AND(DK$10&gt;='Torrance Inputs'!$N$38,DK$10&lt;'Torrance Inputs'!$N$40),'Torrance Inputs'!$M$41*(1+'Torrance Inputs'!$S$39)^('Torrance Pro Forma'!DK$8-1),IF(DK$10&gt;='Torrance Inputs'!$I$18,'Torrance Inputs'!$H$22*(1+'Torrance Inputs'!$I$23)^(DK$8-'Torrance Inputs'!$H$18),IF(DK$10&gt;=EDATE('Torrance Inputs'!$D$31,'Torrance Inputs'!$D$30),'Torrance Inputs'!$C$27*(1+'Torrance Inputs'!$D$35)^(ROUNDDOWN((DK$9-1)/12,0)),0)))</f>
        <v>219988.35565473253</v>
      </c>
      <c r="DL14" s="278">
        <f>IF(AND(DL$10&gt;='Torrance Inputs'!$N$38,DL$10&lt;'Torrance Inputs'!$N$40),'Torrance Inputs'!$M$41*(1+'Torrance Inputs'!$S$39)^('Torrance Pro Forma'!DL$8-1),IF(DL$10&gt;='Torrance Inputs'!$I$18,'Torrance Inputs'!$H$22*(1+'Torrance Inputs'!$I$23)^(DL$8-'Torrance Inputs'!$H$18),IF(DL$10&gt;=EDATE('Torrance Inputs'!$D$31,'Torrance Inputs'!$D$30),'Torrance Inputs'!$C$27*(1+'Torrance Inputs'!$D$35)^(ROUNDDOWN((DL$9-1)/12,0)),0)))</f>
        <v>219988.35565473253</v>
      </c>
      <c r="DM14" s="278">
        <f>IF(AND(DM$10&gt;='Torrance Inputs'!$N$38,DM$10&lt;'Torrance Inputs'!$N$40),'Torrance Inputs'!$M$41*(1+'Torrance Inputs'!$S$39)^('Torrance Pro Forma'!DM$8-1),IF(DM$10&gt;='Torrance Inputs'!$I$18,'Torrance Inputs'!$H$22*(1+'Torrance Inputs'!$I$23)^(DM$8-'Torrance Inputs'!$H$18),IF(DM$10&gt;=EDATE('Torrance Inputs'!$D$31,'Torrance Inputs'!$D$30),'Torrance Inputs'!$C$27*(1+'Torrance Inputs'!$D$35)^(ROUNDDOWN((DM$9-1)/12,0)),0)))</f>
        <v>219988.35565473253</v>
      </c>
      <c r="DN14" s="278">
        <f>IF(AND(DN$10&gt;='Torrance Inputs'!$N$38,DN$10&lt;'Torrance Inputs'!$N$40),'Torrance Inputs'!$M$41*(1+'Torrance Inputs'!$S$39)^('Torrance Pro Forma'!DN$8-1),IF(DN$10&gt;='Torrance Inputs'!$I$18,'Torrance Inputs'!$H$22*(1+'Torrance Inputs'!$I$23)^(DN$8-'Torrance Inputs'!$H$18),IF(DN$10&gt;=EDATE('Torrance Inputs'!$D$31,'Torrance Inputs'!$D$30),'Torrance Inputs'!$C$27*(1+'Torrance Inputs'!$D$35)^(ROUNDDOWN((DN$9-1)/12,0)),0)))</f>
        <v>219988.35565473253</v>
      </c>
      <c r="DO14" s="278">
        <f>IF(AND(DO$10&gt;='Torrance Inputs'!$N$38,DO$10&lt;'Torrance Inputs'!$N$40),'Torrance Inputs'!$M$41*(1+'Torrance Inputs'!$S$39)^('Torrance Pro Forma'!DO$8-1),IF(DO$10&gt;='Torrance Inputs'!$I$18,'Torrance Inputs'!$H$22*(1+'Torrance Inputs'!$I$23)^(DO$8-'Torrance Inputs'!$H$18),IF(DO$10&gt;=EDATE('Torrance Inputs'!$D$31,'Torrance Inputs'!$D$30),'Torrance Inputs'!$C$27*(1+'Torrance Inputs'!$D$35)^(ROUNDDOWN((DO$9-1)/12,0)),0)))</f>
        <v>219988.35565473253</v>
      </c>
      <c r="DP14" s="278">
        <f>IF(AND(DP$10&gt;='Torrance Inputs'!$N$38,DP$10&lt;'Torrance Inputs'!$N$40),'Torrance Inputs'!$M$41*(1+'Torrance Inputs'!$S$39)^('Torrance Pro Forma'!DP$8-1),IF(DP$10&gt;='Torrance Inputs'!$I$18,'Torrance Inputs'!$H$22*(1+'Torrance Inputs'!$I$23)^(DP$8-'Torrance Inputs'!$H$18),IF(DP$10&gt;=EDATE('Torrance Inputs'!$D$31,'Torrance Inputs'!$D$30),'Torrance Inputs'!$C$27*(1+'Torrance Inputs'!$D$35)^(ROUNDDOWN((DP$9-1)/12,0)),0)))</f>
        <v>219988.35565473253</v>
      </c>
      <c r="DQ14" s="278">
        <f>IF(AND(DQ$10&gt;='Torrance Inputs'!$N$38,DQ$10&lt;'Torrance Inputs'!$N$40),'Torrance Inputs'!$M$41*(1+'Torrance Inputs'!$S$39)^('Torrance Pro Forma'!DQ$8-1),IF(DQ$10&gt;='Torrance Inputs'!$I$18,'Torrance Inputs'!$H$22*(1+'Torrance Inputs'!$I$23)^(DQ$8-'Torrance Inputs'!$H$18),IF(DQ$10&gt;=EDATE('Torrance Inputs'!$D$31,'Torrance Inputs'!$D$30),'Torrance Inputs'!$C$27*(1+'Torrance Inputs'!$D$35)^(ROUNDDOWN((DQ$9-1)/12,0)),0)))</f>
        <v>219988.35565473253</v>
      </c>
      <c r="DR14" s="278">
        <f>IF(AND(DR$10&gt;='Torrance Inputs'!$N$38,DR$10&lt;'Torrance Inputs'!$N$40),'Torrance Inputs'!$M$41*(1+'Torrance Inputs'!$S$39)^('Torrance Pro Forma'!DR$8-1),IF(DR$10&gt;='Torrance Inputs'!$I$18,'Torrance Inputs'!$H$22*(1+'Torrance Inputs'!$I$23)^(DR$8-'Torrance Inputs'!$H$18),IF(DR$10&gt;=EDATE('Torrance Inputs'!$D$31,'Torrance Inputs'!$D$30),'Torrance Inputs'!$C$27*(1+'Torrance Inputs'!$D$35)^(ROUNDDOWN((DR$9-1)/12,0)),0)))</f>
        <v>219988.35565473253</v>
      </c>
      <c r="DS14" s="278">
        <f>IF(AND(DS$10&gt;='Torrance Inputs'!$N$38,DS$10&lt;'Torrance Inputs'!$N$40),'Torrance Inputs'!$M$41*(1+'Torrance Inputs'!$S$39)^('Torrance Pro Forma'!DS$8-1),IF(DS$10&gt;='Torrance Inputs'!$I$18,'Torrance Inputs'!$H$22*(1+'Torrance Inputs'!$I$23)^(DS$8-'Torrance Inputs'!$H$18),IF(DS$10&gt;=EDATE('Torrance Inputs'!$D$31,'Torrance Inputs'!$D$30),'Torrance Inputs'!$C$27*(1+'Torrance Inputs'!$D$35)^(ROUNDDOWN((DS$9-1)/12,0)),0)))</f>
        <v>224388.12276782721</v>
      </c>
      <c r="DT14" s="278">
        <f>IF(AND(DT$10&gt;='Torrance Inputs'!$N$38,DT$10&lt;'Torrance Inputs'!$N$40),'Torrance Inputs'!$M$41*(1+'Torrance Inputs'!$S$39)^('Torrance Pro Forma'!DT$8-1),IF(DT$10&gt;='Torrance Inputs'!$I$18,'Torrance Inputs'!$H$22*(1+'Torrance Inputs'!$I$23)^(DT$8-'Torrance Inputs'!$H$18),IF(DT$10&gt;=EDATE('Torrance Inputs'!$D$31,'Torrance Inputs'!$D$30),'Torrance Inputs'!$C$27*(1+'Torrance Inputs'!$D$35)^(ROUNDDOWN((DT$9-1)/12,0)),0)))</f>
        <v>224388.12276782721</v>
      </c>
      <c r="DU14" s="278">
        <f>IF(AND(DU$10&gt;='Torrance Inputs'!$N$38,DU$10&lt;'Torrance Inputs'!$N$40),'Torrance Inputs'!$M$41*(1+'Torrance Inputs'!$S$39)^('Torrance Pro Forma'!DU$8-1),IF(DU$10&gt;='Torrance Inputs'!$I$18,'Torrance Inputs'!$H$22*(1+'Torrance Inputs'!$I$23)^(DU$8-'Torrance Inputs'!$H$18),IF(DU$10&gt;=EDATE('Torrance Inputs'!$D$31,'Torrance Inputs'!$D$30),'Torrance Inputs'!$C$27*(1+'Torrance Inputs'!$D$35)^(ROUNDDOWN((DU$9-1)/12,0)),0)))</f>
        <v>224388.12276782721</v>
      </c>
      <c r="DV14" s="278">
        <f>IF(AND(DV$10&gt;='Torrance Inputs'!$N$38,DV$10&lt;'Torrance Inputs'!$N$40),'Torrance Inputs'!$M$41*(1+'Torrance Inputs'!$S$39)^('Torrance Pro Forma'!DV$8-1),IF(DV$10&gt;='Torrance Inputs'!$I$18,'Torrance Inputs'!$H$22*(1+'Torrance Inputs'!$I$23)^(DV$8-'Torrance Inputs'!$H$18),IF(DV$10&gt;=EDATE('Torrance Inputs'!$D$31,'Torrance Inputs'!$D$30),'Torrance Inputs'!$C$27*(1+'Torrance Inputs'!$D$35)^(ROUNDDOWN((DV$9-1)/12,0)),0)))</f>
        <v>224388.12276782721</v>
      </c>
      <c r="DW14" s="278">
        <f>IF(AND(DW$10&gt;='Torrance Inputs'!$N$38,DW$10&lt;'Torrance Inputs'!$N$40),'Torrance Inputs'!$M$41*(1+'Torrance Inputs'!$S$39)^('Torrance Pro Forma'!DW$8-1),IF(DW$10&gt;='Torrance Inputs'!$I$18,'Torrance Inputs'!$H$22*(1+'Torrance Inputs'!$I$23)^(DW$8-'Torrance Inputs'!$H$18),IF(DW$10&gt;=EDATE('Torrance Inputs'!$D$31,'Torrance Inputs'!$D$30),'Torrance Inputs'!$C$27*(1+'Torrance Inputs'!$D$35)^(ROUNDDOWN((DW$9-1)/12,0)),0)))</f>
        <v>224388.12276782721</v>
      </c>
      <c r="DX14" s="278">
        <f>IF(AND(DX$10&gt;='Torrance Inputs'!$N$38,DX$10&lt;'Torrance Inputs'!$N$40),'Torrance Inputs'!$M$41*(1+'Torrance Inputs'!$S$39)^('Torrance Pro Forma'!DX$8-1),IF(DX$10&gt;='Torrance Inputs'!$I$18,'Torrance Inputs'!$H$22*(1+'Torrance Inputs'!$I$23)^(DX$8-'Torrance Inputs'!$H$18),IF(DX$10&gt;=EDATE('Torrance Inputs'!$D$31,'Torrance Inputs'!$D$30),'Torrance Inputs'!$C$27*(1+'Torrance Inputs'!$D$35)^(ROUNDDOWN((DX$9-1)/12,0)),0)))</f>
        <v>224388.12276782721</v>
      </c>
      <c r="DY14" s="278">
        <f>IF(AND(DY$10&gt;='Torrance Inputs'!$N$38,DY$10&lt;'Torrance Inputs'!$N$40),'Torrance Inputs'!$M$41*(1+'Torrance Inputs'!$S$39)^('Torrance Pro Forma'!DY$8-1),IF(DY$10&gt;='Torrance Inputs'!$I$18,'Torrance Inputs'!$H$22*(1+'Torrance Inputs'!$I$23)^(DY$8-'Torrance Inputs'!$H$18),IF(DY$10&gt;=EDATE('Torrance Inputs'!$D$31,'Torrance Inputs'!$D$30),'Torrance Inputs'!$C$27*(1+'Torrance Inputs'!$D$35)^(ROUNDDOWN((DY$9-1)/12,0)),0)))</f>
        <v>224388.12276782721</v>
      </c>
      <c r="DZ14" s="278">
        <f>IF(AND(DZ$10&gt;='Torrance Inputs'!$N$38,DZ$10&lt;'Torrance Inputs'!$N$40),'Torrance Inputs'!$M$41*(1+'Torrance Inputs'!$S$39)^('Torrance Pro Forma'!DZ$8-1),IF(DZ$10&gt;='Torrance Inputs'!$I$18,'Torrance Inputs'!$H$22*(1+'Torrance Inputs'!$I$23)^(DZ$8-'Torrance Inputs'!$H$18),IF(DZ$10&gt;=EDATE('Torrance Inputs'!$D$31,'Torrance Inputs'!$D$30),'Torrance Inputs'!$C$27*(1+'Torrance Inputs'!$D$35)^(ROUNDDOWN((DZ$9-1)/12,0)),0)))</f>
        <v>224388.12276782721</v>
      </c>
      <c r="EA14" s="278">
        <f>IF(AND(EA$10&gt;='Torrance Inputs'!$N$38,EA$10&lt;'Torrance Inputs'!$N$40),'Torrance Inputs'!$M$41*(1+'Torrance Inputs'!$S$39)^('Torrance Pro Forma'!EA$8-1),IF(EA$10&gt;='Torrance Inputs'!$I$18,'Torrance Inputs'!$H$22*(1+'Torrance Inputs'!$I$23)^(EA$8-'Torrance Inputs'!$H$18),IF(EA$10&gt;=EDATE('Torrance Inputs'!$D$31,'Torrance Inputs'!$D$30),'Torrance Inputs'!$C$27*(1+'Torrance Inputs'!$D$35)^(ROUNDDOWN((EA$9-1)/12,0)),0)))</f>
        <v>224388.12276782721</v>
      </c>
      <c r="EB14" s="278">
        <f>IF(AND(EB$10&gt;='Torrance Inputs'!$N$38,EB$10&lt;'Torrance Inputs'!$N$40),'Torrance Inputs'!$M$41*(1+'Torrance Inputs'!$S$39)^('Torrance Pro Forma'!EB$8-1),IF(EB$10&gt;='Torrance Inputs'!$I$18,'Torrance Inputs'!$H$22*(1+'Torrance Inputs'!$I$23)^(EB$8-'Torrance Inputs'!$H$18),IF(EB$10&gt;=EDATE('Torrance Inputs'!$D$31,'Torrance Inputs'!$D$30),'Torrance Inputs'!$C$27*(1+'Torrance Inputs'!$D$35)^(ROUNDDOWN((EB$9-1)/12,0)),0)))</f>
        <v>224388.12276782721</v>
      </c>
      <c r="EC14" s="278">
        <f>IF(AND(EC$10&gt;='Torrance Inputs'!$N$38,EC$10&lt;'Torrance Inputs'!$N$40),'Torrance Inputs'!$M$41*(1+'Torrance Inputs'!$S$39)^('Torrance Pro Forma'!EC$8-1),IF(EC$10&gt;='Torrance Inputs'!$I$18,'Torrance Inputs'!$H$22*(1+'Torrance Inputs'!$I$23)^(EC$8-'Torrance Inputs'!$H$18),IF(EC$10&gt;=EDATE('Torrance Inputs'!$D$31,'Torrance Inputs'!$D$30),'Torrance Inputs'!$C$27*(1+'Torrance Inputs'!$D$35)^(ROUNDDOWN((EC$9-1)/12,0)),0)))</f>
        <v>224388.12276782721</v>
      </c>
      <c r="ED14" s="278">
        <f>IF(AND(ED$10&gt;='Torrance Inputs'!$N$38,ED$10&lt;'Torrance Inputs'!$N$40),'Torrance Inputs'!$M$41*(1+'Torrance Inputs'!$S$39)^('Torrance Pro Forma'!ED$8-1),IF(ED$10&gt;='Torrance Inputs'!$I$18,'Torrance Inputs'!$H$22*(1+'Torrance Inputs'!$I$23)^(ED$8-'Torrance Inputs'!$H$18),IF(ED$10&gt;=EDATE('Torrance Inputs'!$D$31,'Torrance Inputs'!$D$30),'Torrance Inputs'!$C$27*(1+'Torrance Inputs'!$D$35)^(ROUNDDOWN((ED$9-1)/12,0)),0)))</f>
        <v>224388.12276782721</v>
      </c>
    </row>
    <row r="15" spans="1:134" s="277" customFormat="1" ht="19.149999999999999" customHeight="1" x14ac:dyDescent="0.45">
      <c r="A15" s="280" t="s">
        <v>212</v>
      </c>
      <c r="B15" s="279"/>
      <c r="C15" s="278">
        <f>IF(C$10&gt;='Torrance Inputs'!$I$18,'Torrance Inputs'!$H$22*(1+'Torrance Inputs'!$I$23)^(C8-'Torrance Inputs'!$M$18),IF(C$10&gt;=EDATE('Torrance Inputs'!$D$31,'Torrance Inputs'!$D$30),'Torrance Inputs'!$C$27*(1+'Torrance Inputs'!$D$35)^(ROUNDDOWN((C$9-1)/12,0)),0))</f>
        <v>0</v>
      </c>
      <c r="D15" s="278">
        <f>IF(D$10&gt;='Torrance Inputs'!$I$18,'Torrance Inputs'!$H$22*(1+'Torrance Inputs'!$I$23)^(D8-'Torrance Inputs'!$M$18),IF(D$10&gt;=EDATE('Torrance Inputs'!$D$31,'Torrance Inputs'!$D$30),'Torrance Inputs'!$C$27*(1+'Torrance Inputs'!$D$35)^(ROUNDDOWN((D$9-1)/12,0)),0))</f>
        <v>0</v>
      </c>
      <c r="E15" s="278">
        <f>IF(E$10&gt;='Torrance Inputs'!$I$18,'Torrance Inputs'!$H$22*(1+'Torrance Inputs'!$I$23)^(E8-'Torrance Inputs'!$M$18),IF(E$10&gt;=EDATE('Torrance Inputs'!$D$31,'Torrance Inputs'!$D$30),'Torrance Inputs'!$C$27*(1+'Torrance Inputs'!$D$35)^(ROUNDDOWN((E$9-1)/12,0)),0))</f>
        <v>0</v>
      </c>
      <c r="F15" s="278">
        <f>IF(F$10&gt;='Torrance Inputs'!$I$18,'Torrance Inputs'!$H$22*(1+'Torrance Inputs'!$I$23)^(F8-'Torrance Inputs'!$M$18),IF(F$10&gt;=EDATE('Torrance Inputs'!$D$31,'Torrance Inputs'!$D$30),'Torrance Inputs'!$C$27*(1+'Torrance Inputs'!$D$35)^(ROUNDDOWN((F$9-1)/12,0)),0))</f>
        <v>0</v>
      </c>
      <c r="G15" s="278">
        <f>IF(G$10&gt;='Torrance Inputs'!$I$18,'Torrance Inputs'!$H$22*(1+'Torrance Inputs'!$I$23)^(G8-'Torrance Inputs'!$M$18),IF(G$10&gt;=EDATE('Torrance Inputs'!$D$31,'Torrance Inputs'!$D$30),'Torrance Inputs'!$C$27*(1+'Torrance Inputs'!$D$35)^(ROUNDDOWN((G$9-1)/12,0)),0))</f>
        <v>0</v>
      </c>
      <c r="H15" s="278">
        <f>IF(H$10&gt;='Torrance Inputs'!$I$18,'Torrance Inputs'!$H$22*(1+'Torrance Inputs'!$I$23)^(H8-'Torrance Inputs'!$M$18),IF(H$10&gt;=EDATE('Torrance Inputs'!$D$31,'Torrance Inputs'!$D$30),'Torrance Inputs'!$C$27*(1+'Torrance Inputs'!$D$35)^(ROUNDDOWN((H$9-1)/12,0)),0))</f>
        <v>0</v>
      </c>
      <c r="I15" s="278">
        <f>IF(I$10&gt;='Torrance Inputs'!$I$18,'Torrance Inputs'!$H$22*(1+'Torrance Inputs'!$I$23)^(I8-'Torrance Inputs'!$M$18),IF(I$10&gt;=EDATE('Torrance Inputs'!$D$31,'Torrance Inputs'!$D$30),'Torrance Inputs'!$C$27*(1+'Torrance Inputs'!$D$35)^(ROUNDDOWN((I$9-1)/12,0)),0))</f>
        <v>0</v>
      </c>
      <c r="J15" s="278">
        <f>IF(J$10&gt;='Torrance Inputs'!$I$18,'Torrance Inputs'!$H$22*(1+'Torrance Inputs'!$I$23)^(J8-'Torrance Inputs'!$M$18),IF(J$10&gt;=EDATE('Torrance Inputs'!$D$31,'Torrance Inputs'!$D$30),'Torrance Inputs'!$C$27*(1+'Torrance Inputs'!$D$35)^(ROUNDDOWN((J$9-1)/12,0)),0))</f>
        <v>0</v>
      </c>
      <c r="K15" s="278">
        <f>IF(K$10&gt;='Torrance Inputs'!$I$18,'Torrance Inputs'!$H$22*(1+'Torrance Inputs'!$I$23)^(K8-'Torrance Inputs'!$M$18),IF(K$10&gt;=EDATE('Torrance Inputs'!$D$31,'Torrance Inputs'!$D$30),'Torrance Inputs'!$C$27*(1+'Torrance Inputs'!$D$35)^(ROUNDDOWN((K$9-1)/12,0)),0))</f>
        <v>0</v>
      </c>
      <c r="L15" s="278">
        <f>IF(L$10&gt;='Torrance Inputs'!$I$18,'Torrance Inputs'!$H$22*(1+'Torrance Inputs'!$I$23)^(L8-'Torrance Inputs'!$M$18),IF(L$10&gt;=EDATE('Torrance Inputs'!$D$31,'Torrance Inputs'!$D$30),'Torrance Inputs'!$C$27*(1+'Torrance Inputs'!$D$35)^(ROUNDDOWN((L$9-1)/12,0)),0))</f>
        <v>0</v>
      </c>
      <c r="M15" s="278">
        <f>IF(M$10&gt;='Torrance Inputs'!$I$18,'Torrance Inputs'!$H$22*(1+'Torrance Inputs'!$I$23)^(M8-'Torrance Inputs'!$M$18),IF(M$10&gt;=EDATE('Torrance Inputs'!$D$31,'Torrance Inputs'!$D$30),'Torrance Inputs'!$C$27*(1+'Torrance Inputs'!$D$35)^(ROUNDDOWN((M$9-1)/12,0)),0))</f>
        <v>0</v>
      </c>
      <c r="N15" s="278">
        <f>IF(N$10&gt;='Torrance Inputs'!$I$18,'Torrance Inputs'!$H$22*(1+'Torrance Inputs'!$I$23)^(N8-'Torrance Inputs'!$M$18),IF(N$10&gt;=EDATE('Torrance Inputs'!$D$31,'Torrance Inputs'!$D$30),'Torrance Inputs'!$C$27*(1+'Torrance Inputs'!$D$35)^(ROUNDDOWN((N$9-1)/12,0)),0))</f>
        <v>0</v>
      </c>
      <c r="O15" s="278">
        <f>IF(O$10&gt;='Torrance Inputs'!$I$18,'Torrance Inputs'!$H$22*(1+'Torrance Inputs'!$I$23)^(O8-'Torrance Inputs'!$M$18),IF(O$10&gt;=EDATE('Torrance Inputs'!$D$31,'Torrance Inputs'!$D$30),'Torrance Inputs'!$C$27*(1+'Torrance Inputs'!$D$35)^(ROUNDDOWN((O$9-1)/12,0)),0))</f>
        <v>0</v>
      </c>
      <c r="P15" s="278">
        <f>IF(P$10&gt;='Torrance Inputs'!$I$18,'Torrance Inputs'!$H$22*(1+'Torrance Inputs'!$I$23)^(P8-'Torrance Inputs'!$M$18),IF(P$10&gt;=EDATE('Torrance Inputs'!$D$31,'Torrance Inputs'!$D$30),'Torrance Inputs'!$C$27*(1+'Torrance Inputs'!$D$35)^(ROUNDDOWN((P$9-1)/12,0)),0))</f>
        <v>0</v>
      </c>
      <c r="Q15" s="278">
        <f>IF(Q$10&gt;='Torrance Inputs'!$I$18,'Torrance Inputs'!$H$22*(1+'Torrance Inputs'!$I$23)^(Q8-'Torrance Inputs'!$M$18),IF(Q$10&gt;=EDATE('Torrance Inputs'!$D$31,'Torrance Inputs'!$D$30),'Torrance Inputs'!$C$27*(1+'Torrance Inputs'!$D$35)^(ROUNDDOWN((Q$9-1)/12,0)),0))</f>
        <v>0</v>
      </c>
      <c r="R15" s="278">
        <f>IF(R$10&gt;='Torrance Inputs'!$I$18,'Torrance Inputs'!$H$22*(1+'Torrance Inputs'!$I$23)^(R8-'Torrance Inputs'!$M$18),IF(R$10&gt;=EDATE('Torrance Inputs'!$D$31,'Torrance Inputs'!$D$30),'Torrance Inputs'!$C$27*(1+'Torrance Inputs'!$D$35)^(ROUNDDOWN((R$9-1)/12,0)),0))</f>
        <v>0</v>
      </c>
      <c r="S15" s="278">
        <f>IF(S$10&gt;='Torrance Inputs'!$I$18,'Torrance Inputs'!$H$22*(1+'Torrance Inputs'!$I$23)^(S8-'Torrance Inputs'!$M$18),IF(S$10&gt;=EDATE('Torrance Inputs'!$D$31,'Torrance Inputs'!$D$30),'Torrance Inputs'!$C$27*(1+'Torrance Inputs'!$D$35)^(ROUNDDOWN((S$9-1)/12,0)),0))</f>
        <v>0</v>
      </c>
      <c r="T15" s="278">
        <f>IF(T$10&gt;='Torrance Inputs'!$I$18,'Torrance Inputs'!$H$22*(1+'Torrance Inputs'!$I$23)^(T8-'Torrance Inputs'!$M$18),IF(T$10&gt;=EDATE('Torrance Inputs'!$D$31,'Torrance Inputs'!$D$30),'Torrance Inputs'!$C$27*(1+'Torrance Inputs'!$D$35)^(ROUNDDOWN((T$9-1)/12,0)),0))</f>
        <v>0</v>
      </c>
      <c r="U15" s="278">
        <f>IF(U$10&gt;='Torrance Inputs'!$I$18,'Torrance Inputs'!$H$22*(1+'Torrance Inputs'!$I$23)^(U8-'Torrance Inputs'!$M$18),IF(U$10&gt;=EDATE('Torrance Inputs'!$D$31,'Torrance Inputs'!$D$30),'Torrance Inputs'!$C$27*(1+'Torrance Inputs'!$D$35)^(ROUNDDOWN((U$9-1)/12,0)),0))</f>
        <v>0</v>
      </c>
      <c r="V15" s="278">
        <f>IF(V$10&gt;='Torrance Inputs'!$I$18,'Torrance Inputs'!$H$22*(1+'Torrance Inputs'!$I$23)^(V8-'Torrance Inputs'!$M$18),IF(V$10&gt;=EDATE('Torrance Inputs'!$D$31,'Torrance Inputs'!$D$30),'Torrance Inputs'!$C$27*(1+'Torrance Inputs'!$D$35)^(ROUNDDOWN((V$9-1)/12,0)),0))</f>
        <v>0</v>
      </c>
      <c r="W15" s="278">
        <f>IF(W$10&gt;='Torrance Inputs'!$I$18,'Torrance Inputs'!$H$22*(1+'Torrance Inputs'!$I$23)^(W8-'Torrance Inputs'!$M$18),IF(W$10&gt;=EDATE('Torrance Inputs'!$D$31,'Torrance Inputs'!$D$30),'Torrance Inputs'!$C$27*(1+'Torrance Inputs'!$D$35)^(ROUNDDOWN((W$9-1)/12,0)),0))</f>
        <v>0</v>
      </c>
      <c r="X15" s="278">
        <f>IF(X$10&gt;='Torrance Inputs'!$I$18,'Torrance Inputs'!$H$22*(1+'Torrance Inputs'!$I$23)^(X8-'Torrance Inputs'!$M$18),IF(X$10&gt;=EDATE('Torrance Inputs'!$D$31,'Torrance Inputs'!$D$30),'Torrance Inputs'!$C$27*(1+'Torrance Inputs'!$D$35)^(ROUNDDOWN((X$9-1)/12,0)),0))</f>
        <v>0</v>
      </c>
      <c r="Y15" s="278">
        <f>IF(Y$10&gt;='Torrance Inputs'!$I$18,'Torrance Inputs'!$H$22*(1+'Torrance Inputs'!$I$23)^(Y8-'Torrance Inputs'!$M$18),IF(Y$10&gt;=EDATE('Torrance Inputs'!$D$31,'Torrance Inputs'!$D$30),'Torrance Inputs'!$C$27*(1+'Torrance Inputs'!$D$35)^(ROUNDDOWN((Y$9-1)/12,0)),0))</f>
        <v>0</v>
      </c>
      <c r="Z15" s="278">
        <f>IF(Z$10&gt;='Torrance Inputs'!$I$18,'Torrance Inputs'!$H$22*(1+'Torrance Inputs'!$I$23)^(Z8-'Torrance Inputs'!$M$18),IF(Z$10&gt;=EDATE('Torrance Inputs'!$D$31,'Torrance Inputs'!$D$30),'Torrance Inputs'!$C$27*(1+'Torrance Inputs'!$D$35)^(ROUNDDOWN((Z$9-1)/12,0)),0))</f>
        <v>0</v>
      </c>
      <c r="AA15" s="278">
        <f>IF(AA$10&gt;='Torrance Inputs'!$I$18,'Torrance Inputs'!$H$22*(1+'Torrance Inputs'!$I$23)^(AA8-'Torrance Inputs'!$M$18),IF(AA$10&gt;=EDATE('Torrance Inputs'!$D$31,'Torrance Inputs'!$D$30),'Torrance Inputs'!$C$27*(1+'Torrance Inputs'!$D$35)^(ROUNDDOWN((AA$9-1)/12,0)),0))</f>
        <v>0</v>
      </c>
      <c r="AB15" s="278">
        <f>IF(AB$10&gt;='Torrance Inputs'!$I$18,'Torrance Inputs'!$H$22*(1+'Torrance Inputs'!$I$23)^(AB8-'Torrance Inputs'!$M$18),IF(AB$10&gt;=EDATE('Torrance Inputs'!$D$31,'Torrance Inputs'!$D$30),'Torrance Inputs'!$C$27*(1+'Torrance Inputs'!$D$35)^(ROUNDDOWN((AB$9-1)/12,0)),0))</f>
        <v>0</v>
      </c>
      <c r="AC15" s="278">
        <f>IF(AC$10&gt;='Torrance Inputs'!$I$18,'Torrance Inputs'!$H$22*(1+'Torrance Inputs'!$I$23)^(AC8-'Torrance Inputs'!$M$18),IF(AC$10&gt;=EDATE('Torrance Inputs'!$D$31,'Torrance Inputs'!$D$30),'Torrance Inputs'!$C$27*(1+'Torrance Inputs'!$D$35)^(ROUNDDOWN((AC$9-1)/12,0)),0))</f>
        <v>0</v>
      </c>
      <c r="AD15" s="278">
        <f>IF(AD$10&gt;='Torrance Inputs'!$I$18,'Torrance Inputs'!$H$22*(1+'Torrance Inputs'!$I$23)^(AD8-'Torrance Inputs'!$M$18),IF(AD$10&gt;=EDATE('Torrance Inputs'!$D$31,'Torrance Inputs'!$D$30),'Torrance Inputs'!$C$27*(1+'Torrance Inputs'!$D$35)^(ROUNDDOWN((AD$9-1)/12,0)),0))</f>
        <v>0</v>
      </c>
      <c r="AE15" s="278">
        <f>IF(AE$10&gt;='Torrance Inputs'!$I$18,'Torrance Inputs'!$H$22*(1+'Torrance Inputs'!$I$23)^(AE8-'Torrance Inputs'!$M$18),IF(AE$10&gt;=EDATE('Torrance Inputs'!$D$31,'Torrance Inputs'!$D$30),'Torrance Inputs'!$C$27*(1+'Torrance Inputs'!$D$35)^(ROUNDDOWN((AE$9-1)/12,0)),0))</f>
        <v>0</v>
      </c>
      <c r="AF15" s="278">
        <f>IF(AF$10&gt;='Torrance Inputs'!$I$18,'Torrance Inputs'!$H$22*(1+'Torrance Inputs'!$I$23)^(AF8-'Torrance Inputs'!$M$18),IF(AF$10&gt;=EDATE('Torrance Inputs'!$D$31,'Torrance Inputs'!$D$30),'Torrance Inputs'!$C$27*(1+'Torrance Inputs'!$D$35)^(ROUNDDOWN((AF$9-1)/12,0)),0))</f>
        <v>0</v>
      </c>
      <c r="AG15" s="278">
        <f>IF(AG$10&gt;='Torrance Inputs'!$I$18,'Torrance Inputs'!$H$22*(1+'Torrance Inputs'!$I$23)^(AG8-'Torrance Inputs'!$M$18),IF(AG$10&gt;=EDATE('Torrance Inputs'!$D$31,'Torrance Inputs'!$D$30),'Torrance Inputs'!$C$27*(1+'Torrance Inputs'!$D$35)^(ROUNDDOWN((AG$9-1)/12,0)),0))</f>
        <v>0</v>
      </c>
      <c r="AH15" s="278">
        <f>IF(AH$10&gt;='Torrance Inputs'!$I$18,'Torrance Inputs'!$H$22*(1+'Torrance Inputs'!$I$23)^(AH8-'Torrance Inputs'!$M$18),IF(AH$10&gt;=EDATE('Torrance Inputs'!$D$31,'Torrance Inputs'!$D$30),'Torrance Inputs'!$C$27*(1+'Torrance Inputs'!$D$35)^(ROUNDDOWN((AH$9-1)/12,0)),0))</f>
        <v>0</v>
      </c>
      <c r="AI15" s="278">
        <f>IF(AI$10&gt;='Torrance Inputs'!$I$18,'Torrance Inputs'!$H$22*(1+'Torrance Inputs'!$I$23)^(AI8-'Torrance Inputs'!$M$18),IF(AI$10&gt;=EDATE('Torrance Inputs'!$D$31,'Torrance Inputs'!$D$30),'Torrance Inputs'!$C$27*(1+'Torrance Inputs'!$D$35)^(ROUNDDOWN((AI$9-1)/12,0)),0))</f>
        <v>0</v>
      </c>
      <c r="AJ15" s="278">
        <f>IF(AJ$10&gt;='Torrance Inputs'!$I$18,'Torrance Inputs'!$H$22*(1+'Torrance Inputs'!$I$23)^(AJ8-'Torrance Inputs'!$M$18),IF(AJ$10&gt;=EDATE('Torrance Inputs'!$D$31,'Torrance Inputs'!$D$30),'Torrance Inputs'!$C$27*(1+'Torrance Inputs'!$D$35)^(ROUNDDOWN((AJ$9-1)/12,0)),0))</f>
        <v>0</v>
      </c>
      <c r="AK15" s="278">
        <f>IF(AK$10&gt;='Torrance Inputs'!$I$18,'Torrance Inputs'!$H$22*(1+'Torrance Inputs'!$I$23)^(AK8-'Torrance Inputs'!$M$18),IF(AK$10&gt;=EDATE('Torrance Inputs'!$D$31,'Torrance Inputs'!$D$30),'Torrance Inputs'!$C$27*(1+'Torrance Inputs'!$D$35)^(ROUNDDOWN((AK$9-1)/12,0)),0))</f>
        <v>0</v>
      </c>
      <c r="AL15" s="278">
        <f>IF(AL$10&gt;='Torrance Inputs'!$I$18,'Torrance Inputs'!$H$22*(1+'Torrance Inputs'!$I$23)^(AL8-'Torrance Inputs'!$M$18),IF(AL$10&gt;=EDATE('Torrance Inputs'!$D$31,'Torrance Inputs'!$D$30),'Torrance Inputs'!$C$27*(1+'Torrance Inputs'!$D$35)^(ROUNDDOWN((AL$9-1)/12,0)),0))</f>
        <v>0</v>
      </c>
      <c r="AM15" s="278">
        <f>IF(AM$10&gt;='Torrance Inputs'!$I$18,'Torrance Inputs'!$H$22*(1+'Torrance Inputs'!$I$23)^(AM8-'Torrance Inputs'!$M$18),IF(AM$10&gt;=EDATE('Torrance Inputs'!$D$31,'Torrance Inputs'!$D$30),'Torrance Inputs'!$C$27*(1+'Torrance Inputs'!$D$35)^(ROUNDDOWN((AM$9-1)/12,0)),0))</f>
        <v>0</v>
      </c>
      <c r="AN15" s="278">
        <f>IF(AN$10&gt;='Torrance Inputs'!$I$18,'Torrance Inputs'!$H$22*(1+'Torrance Inputs'!$I$23)^(AN8-'Torrance Inputs'!$M$18),IF(AN$10&gt;=EDATE('Torrance Inputs'!$D$31,'Torrance Inputs'!$D$30),'Torrance Inputs'!$C$27*(1+'Torrance Inputs'!$D$35)^(ROUNDDOWN((AN$9-1)/12,0)),0))</f>
        <v>0</v>
      </c>
      <c r="AO15" s="278">
        <f>IF(AO$10&gt;='Torrance Inputs'!$I$18,'Torrance Inputs'!$H$22*(1+'Torrance Inputs'!$I$23)^(AO8-'Torrance Inputs'!$M$18),IF(AO$10&gt;=EDATE('Torrance Inputs'!$D$31,'Torrance Inputs'!$D$30),'Torrance Inputs'!$C$27*(1+'Torrance Inputs'!$D$35)^(ROUNDDOWN((AO$9-1)/12,0)),0))</f>
        <v>0</v>
      </c>
      <c r="AP15" s="278">
        <f>IF(AP$10&gt;='Torrance Inputs'!$I$18,'Torrance Inputs'!$H$22*(1+'Torrance Inputs'!$I$23)^(AP8-'Torrance Inputs'!$M$18),IF(AP$10&gt;=EDATE('Torrance Inputs'!$D$31,'Torrance Inputs'!$D$30),'Torrance Inputs'!$C$27*(1+'Torrance Inputs'!$D$35)^(ROUNDDOWN((AP$9-1)/12,0)),0))</f>
        <v>0</v>
      </c>
      <c r="AQ15" s="278">
        <f>IF(AQ$10&gt;='Torrance Inputs'!$I$18,'Torrance Inputs'!$H$22*(1+'Torrance Inputs'!$I$23)^(AQ8-'Torrance Inputs'!$M$18),IF(AQ$10&gt;=EDATE('Torrance Inputs'!$D$31,'Torrance Inputs'!$D$30),'Torrance Inputs'!$C$27*(1+'Torrance Inputs'!$D$35)^(ROUNDDOWN((AQ$9-1)/12,0)),0))</f>
        <v>0</v>
      </c>
      <c r="AR15" s="278">
        <f>IF(AR$10&gt;='Torrance Inputs'!$I$18,'Torrance Inputs'!$H$22*(1+'Torrance Inputs'!$I$23)^(AR8-'Torrance Inputs'!$M$18),IF(AR$10&gt;=EDATE('Torrance Inputs'!$D$31,'Torrance Inputs'!$D$30),'Torrance Inputs'!$C$27*(1+'Torrance Inputs'!$D$35)^(ROUNDDOWN((AR$9-1)/12,0)),0))</f>
        <v>0</v>
      </c>
      <c r="AS15" s="278">
        <f>IF(AS$10&gt;='Torrance Inputs'!$I$18,'Torrance Inputs'!$H$22*(1+'Torrance Inputs'!$I$23)^(AS8-'Torrance Inputs'!$M$18),IF(AS$10&gt;=EDATE('Torrance Inputs'!$D$31,'Torrance Inputs'!$D$30),'Torrance Inputs'!$C$27*(1+'Torrance Inputs'!$D$35)^(ROUNDDOWN((AS$9-1)/12,0)),0))</f>
        <v>0</v>
      </c>
      <c r="AT15" s="278">
        <f>IF(AT$10&gt;='Torrance Inputs'!$I$18,'Torrance Inputs'!$H$22*(1+'Torrance Inputs'!$I$23)^(AT8-'Torrance Inputs'!$M$18),IF(AT$10&gt;=EDATE('Torrance Inputs'!$D$31,'Torrance Inputs'!$D$30),'Torrance Inputs'!$C$27*(1+'Torrance Inputs'!$D$35)^(ROUNDDOWN((AT$9-1)/12,0)),0))</f>
        <v>0</v>
      </c>
      <c r="AU15" s="278">
        <f>IF(AU$10&gt;='Torrance Inputs'!$I$18,'Torrance Inputs'!$H$22*(1+'Torrance Inputs'!$I$23)^(AU8-'Torrance Inputs'!$M$18),IF(AU$10&gt;=EDATE('Torrance Inputs'!$D$31,'Torrance Inputs'!$D$30),'Torrance Inputs'!$C$27*(1+'Torrance Inputs'!$D$35)^(ROUNDDOWN((AU$9-1)/12,0)),0))</f>
        <v>0</v>
      </c>
      <c r="AV15" s="278">
        <f>IF(AV$10&gt;='Torrance Inputs'!$I$18,'Torrance Inputs'!$H$22*(1+'Torrance Inputs'!$I$23)^(AV8-'Torrance Inputs'!$M$18),IF(AV$10&gt;=EDATE('Torrance Inputs'!$D$31,'Torrance Inputs'!$D$30),'Torrance Inputs'!$C$27*(1+'Torrance Inputs'!$D$35)^(ROUNDDOWN((AV$9-1)/12,0)),0))</f>
        <v>0</v>
      </c>
      <c r="AW15" s="278">
        <f>IF(AW$10&gt;='Torrance Inputs'!$I$18,'Torrance Inputs'!$H$22*(1+'Torrance Inputs'!$I$23)^(AW8-'Torrance Inputs'!$M$18),IF(AW$10&gt;=EDATE('Torrance Inputs'!$D$31,'Torrance Inputs'!$D$30),'Torrance Inputs'!$C$27*(1+'Torrance Inputs'!$D$35)^(ROUNDDOWN((AW$9-1)/12,0)),0))</f>
        <v>0</v>
      </c>
      <c r="AX15" s="278">
        <f>IF(AX$10&gt;='Torrance Inputs'!$I$18,'Torrance Inputs'!$H$22*(1+'Torrance Inputs'!$I$23)^(AX8-'Torrance Inputs'!$M$18),IF(AX$10&gt;=EDATE('Torrance Inputs'!$D$31,'Torrance Inputs'!$D$30),'Torrance Inputs'!$C$27*(1+'Torrance Inputs'!$D$35)^(ROUNDDOWN((AX$9-1)/12,0)),0))</f>
        <v>0</v>
      </c>
      <c r="AY15" s="278">
        <f>IF(AY$10&gt;='Torrance Inputs'!$I$18,'Torrance Inputs'!$H$22*(1+'Torrance Inputs'!$I$23)^(AY8-'Torrance Inputs'!$M$18),IF(AY$10&gt;=EDATE('Torrance Inputs'!$D$31,'Torrance Inputs'!$D$30),'Torrance Inputs'!$C$27*(1+'Torrance Inputs'!$D$35)^(ROUNDDOWN((AY$9-1)/12,0)),0))</f>
        <v>0</v>
      </c>
      <c r="AZ15" s="278">
        <f>IF(AZ$10&gt;='Torrance Inputs'!$I$18,'Torrance Inputs'!$H$22*(1+'Torrance Inputs'!$I$23)^(AZ8-'Torrance Inputs'!$M$18),IF(AZ$10&gt;=EDATE('Torrance Inputs'!$D$31,'Torrance Inputs'!$D$30),'Torrance Inputs'!$C$27*(1+'Torrance Inputs'!$D$35)^(ROUNDDOWN((AZ$9-1)/12,0)),0))</f>
        <v>0</v>
      </c>
      <c r="BA15" s="278">
        <f>IF(BA$10&gt;='Torrance Inputs'!$I$18,'Torrance Inputs'!$H$22*(1+'Torrance Inputs'!$I$23)^(BA8-'Torrance Inputs'!$M$18),IF(BA$10&gt;=EDATE('Torrance Inputs'!$D$31,'Torrance Inputs'!$D$30),'Torrance Inputs'!$C$27*(1+'Torrance Inputs'!$D$35)^(ROUNDDOWN((BA$9-1)/12,0)),0))</f>
        <v>0</v>
      </c>
      <c r="BB15" s="278">
        <f>IF(BB$10&gt;='Torrance Inputs'!$I$18,'Torrance Inputs'!$H$22*(1+'Torrance Inputs'!$I$23)^(BB8-'Torrance Inputs'!$M$18),IF(BB$10&gt;=EDATE('Torrance Inputs'!$D$31,'Torrance Inputs'!$D$30),'Torrance Inputs'!$C$27*(1+'Torrance Inputs'!$D$35)^(ROUNDDOWN((BB$9-1)/12,0)),0))</f>
        <v>0</v>
      </c>
      <c r="BC15" s="278">
        <f>IF(BC$10&gt;='Torrance Inputs'!$I$18,'Torrance Inputs'!$H$22*(1+'Torrance Inputs'!$I$23)^(BC8-'Torrance Inputs'!$M$18),IF(BC$10&gt;=EDATE('Torrance Inputs'!$D$31,'Torrance Inputs'!$D$30),'Torrance Inputs'!$C$27*(1+'Torrance Inputs'!$D$35)^(ROUNDDOWN((BC$9-1)/12,0)),0))</f>
        <v>0</v>
      </c>
      <c r="BD15" s="278">
        <f>IF(BD$10&gt;='Torrance Inputs'!$I$18,'Torrance Inputs'!$H$22*(1+'Torrance Inputs'!$I$23)^(BD8-'Torrance Inputs'!$M$18),IF(BD$10&gt;=EDATE('Torrance Inputs'!$D$31,'Torrance Inputs'!$D$30),'Torrance Inputs'!$C$27*(1+'Torrance Inputs'!$D$35)^(ROUNDDOWN((BD$9-1)/12,0)),0))</f>
        <v>0</v>
      </c>
      <c r="BE15" s="278">
        <f>IF(BE$10&gt;='Torrance Inputs'!$I$18,'Torrance Inputs'!$H$22*(1+'Torrance Inputs'!$I$23)^(BE8-'Torrance Inputs'!$M$18),IF(BE$10&gt;=EDATE('Torrance Inputs'!$D$31,'Torrance Inputs'!$D$30),'Torrance Inputs'!$C$27*(1+'Torrance Inputs'!$D$35)^(ROUNDDOWN((BE$9-1)/12,0)),0))</f>
        <v>0</v>
      </c>
      <c r="BF15" s="278">
        <f>IF(BF$10&gt;='Torrance Inputs'!$I$18,'Torrance Inputs'!$H$22*(1+'Torrance Inputs'!$I$23)^(BF8-'Torrance Inputs'!$M$18),IF(BF$10&gt;=EDATE('Torrance Inputs'!$D$31,'Torrance Inputs'!$D$30),'Torrance Inputs'!$C$27*(1+'Torrance Inputs'!$D$35)^(ROUNDDOWN((BF$9-1)/12,0)),0))</f>
        <v>0</v>
      </c>
      <c r="BG15" s="278">
        <f>IF(BG$10&gt;='Torrance Inputs'!$I$18,'Torrance Inputs'!$H$22*(1+'Torrance Inputs'!$I$23)^(BG8-'Torrance Inputs'!$M$18),IF(BG$10&gt;=EDATE('Torrance Inputs'!$D$31,'Torrance Inputs'!$D$30),'Torrance Inputs'!$C$27*(1+'Torrance Inputs'!$D$35)^(ROUNDDOWN((BG$9-1)/12,0)),0))</f>
        <v>0</v>
      </c>
      <c r="BH15" s="278">
        <f>IF(BH$10&gt;='Torrance Inputs'!$I$18,'Torrance Inputs'!$H$22*(1+'Torrance Inputs'!$I$23)^(BH8-'Torrance Inputs'!$M$18),IF(BH$10&gt;=EDATE('Torrance Inputs'!$D$31,'Torrance Inputs'!$D$30),'Torrance Inputs'!$C$27*(1+'Torrance Inputs'!$D$35)^(ROUNDDOWN((BH$9-1)/12,0)),0))</f>
        <v>0</v>
      </c>
      <c r="BI15" s="278">
        <f>IF(BI$10&gt;='Torrance Inputs'!$I$18,'Torrance Inputs'!$H$22*(1+'Torrance Inputs'!$I$23)^(BI8-'Torrance Inputs'!$M$18),IF(BI$10&gt;=EDATE('Torrance Inputs'!$D$31,'Torrance Inputs'!$D$30),'Torrance Inputs'!$C$27*(1+'Torrance Inputs'!$D$35)^(ROUNDDOWN((BI$9-1)/12,0)),0))</f>
        <v>0</v>
      </c>
      <c r="BJ15" s="278">
        <f>IF(BJ$10&gt;='Torrance Inputs'!$I$18,'Torrance Inputs'!$H$22*(1+'Torrance Inputs'!$I$23)^(BJ8-'Torrance Inputs'!$M$18),IF(BJ$10&gt;=EDATE('Torrance Inputs'!$D$31,'Torrance Inputs'!$D$30),'Torrance Inputs'!$C$27*(1+'Torrance Inputs'!$D$35)^(ROUNDDOWN((BJ$9-1)/12,0)),0))</f>
        <v>0</v>
      </c>
      <c r="BK15" s="278">
        <f>IF(BK$10&gt;='Torrance Inputs'!$I$18,'Torrance Inputs'!$H$22*(1+'Torrance Inputs'!$I$23)^(BK8-'Torrance Inputs'!$M$18),IF(BK$10&gt;=EDATE('Torrance Inputs'!$D$31,'Torrance Inputs'!$D$30),'Torrance Inputs'!$C$27*(1+'Torrance Inputs'!$D$35)^(ROUNDDOWN((BK$9-1)/12,0)),0))</f>
        <v>203235.2361507187</v>
      </c>
      <c r="BL15" s="278">
        <f>IF(BL$10&gt;='Torrance Inputs'!$I$18,'Torrance Inputs'!$H$22*(1+'Torrance Inputs'!$I$23)^(BL8-'Torrance Inputs'!$M$18),IF(BL$10&gt;=EDATE('Torrance Inputs'!$D$31,'Torrance Inputs'!$D$30),'Torrance Inputs'!$C$27*(1+'Torrance Inputs'!$D$35)^(ROUNDDOWN((BL$9-1)/12,0)),0))</f>
        <v>203235.2361507187</v>
      </c>
      <c r="BM15" s="278">
        <f>IF(BM$10&gt;='Torrance Inputs'!$I$18,'Torrance Inputs'!$H$22*(1+'Torrance Inputs'!$I$23)^(BM8-'Torrance Inputs'!$M$18),IF(BM$10&gt;=EDATE('Torrance Inputs'!$D$31,'Torrance Inputs'!$D$30),'Torrance Inputs'!$C$27*(1+'Torrance Inputs'!$D$35)^(ROUNDDOWN((BM$9-1)/12,0)),0))</f>
        <v>203235.2361507187</v>
      </c>
      <c r="BN15" s="278">
        <f>IF(BN$10&gt;='Torrance Inputs'!$I$18,'Torrance Inputs'!$H$22*(1+'Torrance Inputs'!$I$23)^(BN8-'Torrance Inputs'!$M$18),IF(BN$10&gt;=EDATE('Torrance Inputs'!$D$31,'Torrance Inputs'!$D$30),'Torrance Inputs'!$C$27*(1+'Torrance Inputs'!$D$35)^(ROUNDDOWN((BN$9-1)/12,0)),0))</f>
        <v>203235.2361507187</v>
      </c>
      <c r="BO15" s="278">
        <f>IF(BO$10&gt;='Torrance Inputs'!$I$18,'Torrance Inputs'!$H$22*(1+'Torrance Inputs'!$I$23)^(BO8-'Torrance Inputs'!$M$18),IF(BO$10&gt;=EDATE('Torrance Inputs'!$D$31,'Torrance Inputs'!$D$30),'Torrance Inputs'!$C$27*(1+'Torrance Inputs'!$D$35)^(ROUNDDOWN((BO$9-1)/12,0)),0))</f>
        <v>203235.2361507187</v>
      </c>
      <c r="BP15" s="278">
        <f>IF(BP$10&gt;='Torrance Inputs'!$I$18,'Torrance Inputs'!$H$22*(1+'Torrance Inputs'!$I$23)^(BP8-'Torrance Inputs'!$M$18),IF(BP$10&gt;=EDATE('Torrance Inputs'!$D$31,'Torrance Inputs'!$D$30),'Torrance Inputs'!$C$27*(1+'Torrance Inputs'!$D$35)^(ROUNDDOWN((BP$9-1)/12,0)),0))</f>
        <v>203235.2361507187</v>
      </c>
      <c r="BQ15" s="278">
        <f>IF(BQ$10&gt;='Torrance Inputs'!$I$18,'Torrance Inputs'!$H$22*(1+'Torrance Inputs'!$I$23)^(BQ8-'Torrance Inputs'!$M$18),IF(BQ$10&gt;=EDATE('Torrance Inputs'!$D$31,'Torrance Inputs'!$D$30),'Torrance Inputs'!$C$27*(1+'Torrance Inputs'!$D$35)^(ROUNDDOWN((BQ$9-1)/12,0)),0))</f>
        <v>203235.2361507187</v>
      </c>
      <c r="BR15" s="278">
        <f>IF(BR$10&gt;='Torrance Inputs'!$I$18,'Torrance Inputs'!$H$22*(1+'Torrance Inputs'!$I$23)^(BR8-'Torrance Inputs'!$M$18),IF(BR$10&gt;=EDATE('Torrance Inputs'!$D$31,'Torrance Inputs'!$D$30),'Torrance Inputs'!$C$27*(1+'Torrance Inputs'!$D$35)^(ROUNDDOWN((BR$9-1)/12,0)),0))</f>
        <v>203235.2361507187</v>
      </c>
      <c r="BS15" s="278">
        <f>IF(BS$10&gt;='Torrance Inputs'!$I$18,'Torrance Inputs'!$H$22*(1+'Torrance Inputs'!$I$23)^(BS8-'Torrance Inputs'!$M$18),IF(BS$10&gt;=EDATE('Torrance Inputs'!$D$31,'Torrance Inputs'!$D$30),'Torrance Inputs'!$C$27*(1+'Torrance Inputs'!$D$35)^(ROUNDDOWN((BS$9-1)/12,0)),0))</f>
        <v>203235.2361507187</v>
      </c>
      <c r="BT15" s="278">
        <f>IF(BT$10&gt;='Torrance Inputs'!$I$18,'Torrance Inputs'!$H$22*(1+'Torrance Inputs'!$I$23)^(BT8-'Torrance Inputs'!$M$18),IF(BT$10&gt;=EDATE('Torrance Inputs'!$D$31,'Torrance Inputs'!$D$30),'Torrance Inputs'!$C$27*(1+'Torrance Inputs'!$D$35)^(ROUNDDOWN((BT$9-1)/12,0)),0))</f>
        <v>203235.2361507187</v>
      </c>
      <c r="BU15" s="278">
        <f>IF(BU$10&gt;='Torrance Inputs'!$I$18,'Torrance Inputs'!$H$22*(1+'Torrance Inputs'!$I$23)^(BU8-'Torrance Inputs'!$M$18),IF(BU$10&gt;=EDATE('Torrance Inputs'!$D$31,'Torrance Inputs'!$D$30),'Torrance Inputs'!$C$27*(1+'Torrance Inputs'!$D$35)^(ROUNDDOWN((BU$9-1)/12,0)),0))</f>
        <v>203235.2361507187</v>
      </c>
      <c r="BV15" s="278">
        <f>IF(BV$10&gt;='Torrance Inputs'!$I$18,'Torrance Inputs'!$H$22*(1+'Torrance Inputs'!$I$23)^(BV8-'Torrance Inputs'!$M$18),IF(BV$10&gt;=EDATE('Torrance Inputs'!$D$31,'Torrance Inputs'!$D$30),'Torrance Inputs'!$C$27*(1+'Torrance Inputs'!$D$35)^(ROUNDDOWN((BV$9-1)/12,0)),0))</f>
        <v>203235.2361507187</v>
      </c>
      <c r="BW15" s="278">
        <f>IF(BW$10&gt;='Torrance Inputs'!$I$18,'Torrance Inputs'!$H$22*(1+'Torrance Inputs'!$I$23)^(BW8-'Torrance Inputs'!$M$18),IF(BW$10&gt;=EDATE('Torrance Inputs'!$D$31,'Torrance Inputs'!$D$30),'Torrance Inputs'!$C$27*(1+'Torrance Inputs'!$D$35)^(ROUNDDOWN((BW$9-1)/12,0)),0))</f>
        <v>207299.94087373308</v>
      </c>
      <c r="BX15" s="278">
        <f>IF(BX$10&gt;='Torrance Inputs'!$I$18,'Torrance Inputs'!$H$22*(1+'Torrance Inputs'!$I$23)^(BX8-'Torrance Inputs'!$M$18),IF(BX$10&gt;=EDATE('Torrance Inputs'!$D$31,'Torrance Inputs'!$D$30),'Torrance Inputs'!$C$27*(1+'Torrance Inputs'!$D$35)^(ROUNDDOWN((BX$9-1)/12,0)),0))</f>
        <v>207299.94087373308</v>
      </c>
      <c r="BY15" s="278">
        <f>IF(BY$10&gt;='Torrance Inputs'!$I$18,'Torrance Inputs'!$H$22*(1+'Torrance Inputs'!$I$23)^(BY8-'Torrance Inputs'!$M$18),IF(BY$10&gt;=EDATE('Torrance Inputs'!$D$31,'Torrance Inputs'!$D$30),'Torrance Inputs'!$C$27*(1+'Torrance Inputs'!$D$35)^(ROUNDDOWN((BY$9-1)/12,0)),0))</f>
        <v>207299.94087373308</v>
      </c>
      <c r="BZ15" s="278">
        <f>IF(BZ$10&gt;='Torrance Inputs'!$I$18,'Torrance Inputs'!$H$22*(1+'Torrance Inputs'!$I$23)^(BZ8-'Torrance Inputs'!$M$18),IF(BZ$10&gt;=EDATE('Torrance Inputs'!$D$31,'Torrance Inputs'!$D$30),'Torrance Inputs'!$C$27*(1+'Torrance Inputs'!$D$35)^(ROUNDDOWN((BZ$9-1)/12,0)),0))</f>
        <v>207299.94087373308</v>
      </c>
      <c r="CA15" s="278">
        <f>IF(CA$10&gt;='Torrance Inputs'!$I$18,'Torrance Inputs'!$H$22*(1+'Torrance Inputs'!$I$23)^(CA8-'Torrance Inputs'!$M$18),IF(CA$10&gt;=EDATE('Torrance Inputs'!$D$31,'Torrance Inputs'!$D$30),'Torrance Inputs'!$C$27*(1+'Torrance Inputs'!$D$35)^(ROUNDDOWN((CA$9-1)/12,0)),0))</f>
        <v>207299.94087373308</v>
      </c>
      <c r="CB15" s="278">
        <f>IF(CB$10&gt;='Torrance Inputs'!$I$18,'Torrance Inputs'!$H$22*(1+'Torrance Inputs'!$I$23)^(CB8-'Torrance Inputs'!$M$18),IF(CB$10&gt;=EDATE('Torrance Inputs'!$D$31,'Torrance Inputs'!$D$30),'Torrance Inputs'!$C$27*(1+'Torrance Inputs'!$D$35)^(ROUNDDOWN((CB$9-1)/12,0)),0))</f>
        <v>207299.94087373308</v>
      </c>
      <c r="CC15" s="278">
        <f>IF(CC$10&gt;='Torrance Inputs'!$I$18,'Torrance Inputs'!$H$22*(1+'Torrance Inputs'!$I$23)^(CC8-'Torrance Inputs'!$M$18),IF(CC$10&gt;=EDATE('Torrance Inputs'!$D$31,'Torrance Inputs'!$D$30),'Torrance Inputs'!$C$27*(1+'Torrance Inputs'!$D$35)^(ROUNDDOWN((CC$9-1)/12,0)),0))</f>
        <v>207299.94087373308</v>
      </c>
      <c r="CD15" s="278">
        <f>IF(CD$10&gt;='Torrance Inputs'!$I$18,'Torrance Inputs'!$H$22*(1+'Torrance Inputs'!$I$23)^(CD8-'Torrance Inputs'!$M$18),IF(CD$10&gt;=EDATE('Torrance Inputs'!$D$31,'Torrance Inputs'!$D$30),'Torrance Inputs'!$C$27*(1+'Torrance Inputs'!$D$35)^(ROUNDDOWN((CD$9-1)/12,0)),0))</f>
        <v>207299.94087373308</v>
      </c>
      <c r="CE15" s="278">
        <f>IF(CE$10&gt;='Torrance Inputs'!$I$18,'Torrance Inputs'!$H$22*(1+'Torrance Inputs'!$I$23)^(CE8-'Torrance Inputs'!$M$18),IF(CE$10&gt;=EDATE('Torrance Inputs'!$D$31,'Torrance Inputs'!$D$30),'Torrance Inputs'!$C$27*(1+'Torrance Inputs'!$D$35)^(ROUNDDOWN((CE$9-1)/12,0)),0))</f>
        <v>207299.94087373308</v>
      </c>
      <c r="CF15" s="278">
        <f>IF(CF$10&gt;='Torrance Inputs'!$I$18,'Torrance Inputs'!$H$22*(1+'Torrance Inputs'!$I$23)^(CF8-'Torrance Inputs'!$M$18),IF(CF$10&gt;=EDATE('Torrance Inputs'!$D$31,'Torrance Inputs'!$D$30),'Torrance Inputs'!$C$27*(1+'Torrance Inputs'!$D$35)^(ROUNDDOWN((CF$9-1)/12,0)),0))</f>
        <v>207299.94087373308</v>
      </c>
      <c r="CG15" s="278">
        <f>IF(CG$10&gt;='Torrance Inputs'!$I$18,'Torrance Inputs'!$H$22*(1+'Torrance Inputs'!$I$23)^(CG8-'Torrance Inputs'!$M$18),IF(CG$10&gt;=EDATE('Torrance Inputs'!$D$31,'Torrance Inputs'!$D$30),'Torrance Inputs'!$C$27*(1+'Torrance Inputs'!$D$35)^(ROUNDDOWN((CG$9-1)/12,0)),0))</f>
        <v>207299.94087373308</v>
      </c>
      <c r="CH15" s="278">
        <f>IF(CH$10&gt;='Torrance Inputs'!$I$18,'Torrance Inputs'!$H$22*(1+'Torrance Inputs'!$I$23)^(CH8-'Torrance Inputs'!$M$18),IF(CH$10&gt;=EDATE('Torrance Inputs'!$D$31,'Torrance Inputs'!$D$30),'Torrance Inputs'!$C$27*(1+'Torrance Inputs'!$D$35)^(ROUNDDOWN((CH$9-1)/12,0)),0))</f>
        <v>207299.94087373308</v>
      </c>
      <c r="CI15" s="278">
        <f>IF(CI$10&gt;='Torrance Inputs'!$I$18,'Torrance Inputs'!$H$22*(1+'Torrance Inputs'!$I$23)^(CI8-'Torrance Inputs'!$M$18),IF(CI$10&gt;=EDATE('Torrance Inputs'!$D$31,'Torrance Inputs'!$D$30),'Torrance Inputs'!$C$27*(1+'Torrance Inputs'!$D$35)^(ROUNDDOWN((CI$9-1)/12,0)),0))</f>
        <v>211445.93969120772</v>
      </c>
      <c r="CJ15" s="278">
        <f>IF(CJ$10&gt;='Torrance Inputs'!$I$18,'Torrance Inputs'!$H$22*(1+'Torrance Inputs'!$I$23)^(CJ8-'Torrance Inputs'!$M$18),IF(CJ$10&gt;=EDATE('Torrance Inputs'!$D$31,'Torrance Inputs'!$D$30),'Torrance Inputs'!$C$27*(1+'Torrance Inputs'!$D$35)^(ROUNDDOWN((CJ$9-1)/12,0)),0))</f>
        <v>211445.93969120772</v>
      </c>
      <c r="CK15" s="278">
        <f>IF(CK$10&gt;='Torrance Inputs'!$I$18,'Torrance Inputs'!$H$22*(1+'Torrance Inputs'!$I$23)^(CK8-'Torrance Inputs'!$M$18),IF(CK$10&gt;=EDATE('Torrance Inputs'!$D$31,'Torrance Inputs'!$D$30),'Torrance Inputs'!$C$27*(1+'Torrance Inputs'!$D$35)^(ROUNDDOWN((CK$9-1)/12,0)),0))</f>
        <v>211445.93969120772</v>
      </c>
      <c r="CL15" s="278">
        <f>IF(CL$10&gt;='Torrance Inputs'!$I$18,'Torrance Inputs'!$H$22*(1+'Torrance Inputs'!$I$23)^(CL8-'Torrance Inputs'!$M$18),IF(CL$10&gt;=EDATE('Torrance Inputs'!$D$31,'Torrance Inputs'!$D$30),'Torrance Inputs'!$C$27*(1+'Torrance Inputs'!$D$35)^(ROUNDDOWN((CL$9-1)/12,0)),0))</f>
        <v>211445.93969120772</v>
      </c>
      <c r="CM15" s="278">
        <f>IF(CM$10&gt;='Torrance Inputs'!$I$18,'Torrance Inputs'!$H$22*(1+'Torrance Inputs'!$I$23)^(CM8-'Torrance Inputs'!$M$18),IF(CM$10&gt;=EDATE('Torrance Inputs'!$D$31,'Torrance Inputs'!$D$30),'Torrance Inputs'!$C$27*(1+'Torrance Inputs'!$D$35)^(ROUNDDOWN((CM$9-1)/12,0)),0))</f>
        <v>211445.93969120772</v>
      </c>
      <c r="CN15" s="278">
        <f>IF(CN$10&gt;='Torrance Inputs'!$I$18,'Torrance Inputs'!$H$22*(1+'Torrance Inputs'!$I$23)^(CN8-'Torrance Inputs'!$M$18),IF(CN$10&gt;=EDATE('Torrance Inputs'!$D$31,'Torrance Inputs'!$D$30),'Torrance Inputs'!$C$27*(1+'Torrance Inputs'!$D$35)^(ROUNDDOWN((CN$9-1)/12,0)),0))</f>
        <v>211445.93969120772</v>
      </c>
      <c r="CO15" s="278">
        <f>IF(CO$10&gt;='Torrance Inputs'!$I$18,'Torrance Inputs'!$H$22*(1+'Torrance Inputs'!$I$23)^(CO8-'Torrance Inputs'!$M$18),IF(CO$10&gt;=EDATE('Torrance Inputs'!$D$31,'Torrance Inputs'!$D$30),'Torrance Inputs'!$C$27*(1+'Torrance Inputs'!$D$35)^(ROUNDDOWN((CO$9-1)/12,0)),0))</f>
        <v>211445.93969120772</v>
      </c>
      <c r="CP15" s="278">
        <f>IF(CP$10&gt;='Torrance Inputs'!$I$18,'Torrance Inputs'!$H$22*(1+'Torrance Inputs'!$I$23)^(CP8-'Torrance Inputs'!$M$18),IF(CP$10&gt;=EDATE('Torrance Inputs'!$D$31,'Torrance Inputs'!$D$30),'Torrance Inputs'!$C$27*(1+'Torrance Inputs'!$D$35)^(ROUNDDOWN((CP$9-1)/12,0)),0))</f>
        <v>211445.93969120772</v>
      </c>
      <c r="CQ15" s="278">
        <f>IF(CQ$10&gt;='Torrance Inputs'!$I$18,'Torrance Inputs'!$H$22*(1+'Torrance Inputs'!$I$23)^(CQ8-'Torrance Inputs'!$M$18),IF(CQ$10&gt;=EDATE('Torrance Inputs'!$D$31,'Torrance Inputs'!$D$30),'Torrance Inputs'!$C$27*(1+'Torrance Inputs'!$D$35)^(ROUNDDOWN((CQ$9-1)/12,0)),0))</f>
        <v>211445.93969120772</v>
      </c>
      <c r="CR15" s="278">
        <f>IF(CR$10&gt;='Torrance Inputs'!$I$18,'Torrance Inputs'!$H$22*(1+'Torrance Inputs'!$I$23)^(CR8-'Torrance Inputs'!$M$18),IF(CR$10&gt;=EDATE('Torrance Inputs'!$D$31,'Torrance Inputs'!$D$30),'Torrance Inputs'!$C$27*(1+'Torrance Inputs'!$D$35)^(ROUNDDOWN((CR$9-1)/12,0)),0))</f>
        <v>211445.93969120772</v>
      </c>
      <c r="CS15" s="278">
        <f>IF(CS$10&gt;='Torrance Inputs'!$I$18,'Torrance Inputs'!$H$22*(1+'Torrance Inputs'!$I$23)^(CS8-'Torrance Inputs'!$M$18),IF(CS$10&gt;=EDATE('Torrance Inputs'!$D$31,'Torrance Inputs'!$D$30),'Torrance Inputs'!$C$27*(1+'Torrance Inputs'!$D$35)^(ROUNDDOWN((CS$9-1)/12,0)),0))</f>
        <v>211445.93969120772</v>
      </c>
      <c r="CT15" s="278">
        <f>IF(CT$10&gt;='Torrance Inputs'!$I$18,'Torrance Inputs'!$H$22*(1+'Torrance Inputs'!$I$23)^(CT8-'Torrance Inputs'!$M$18),IF(CT$10&gt;=EDATE('Torrance Inputs'!$D$31,'Torrance Inputs'!$D$30),'Torrance Inputs'!$C$27*(1+'Torrance Inputs'!$D$35)^(ROUNDDOWN((CT$9-1)/12,0)),0))</f>
        <v>211445.93969120772</v>
      </c>
      <c r="CU15" s="278">
        <f>IF(CU$10&gt;='Torrance Inputs'!$I$18,'Torrance Inputs'!$H$22*(1+'Torrance Inputs'!$I$23)^(CU8-'Torrance Inputs'!$M$18),IF(CU$10&gt;=EDATE('Torrance Inputs'!$D$31,'Torrance Inputs'!$D$30),'Torrance Inputs'!$C$27*(1+'Torrance Inputs'!$D$35)^(ROUNDDOWN((CU$9-1)/12,0)),0))</f>
        <v>215674.8584850319</v>
      </c>
      <c r="CV15" s="278">
        <f>IF(CV$10&gt;='Torrance Inputs'!$I$18,'Torrance Inputs'!$H$22*(1+'Torrance Inputs'!$I$23)^(CV8-'Torrance Inputs'!$M$18),IF(CV$10&gt;=EDATE('Torrance Inputs'!$D$31,'Torrance Inputs'!$D$30),'Torrance Inputs'!$C$27*(1+'Torrance Inputs'!$D$35)^(ROUNDDOWN((CV$9-1)/12,0)),0))</f>
        <v>215674.8584850319</v>
      </c>
      <c r="CW15" s="278">
        <f>IF(CW$10&gt;='Torrance Inputs'!$I$18,'Torrance Inputs'!$H$22*(1+'Torrance Inputs'!$I$23)^(CW8-'Torrance Inputs'!$M$18),IF(CW$10&gt;=EDATE('Torrance Inputs'!$D$31,'Torrance Inputs'!$D$30),'Torrance Inputs'!$C$27*(1+'Torrance Inputs'!$D$35)^(ROUNDDOWN((CW$9-1)/12,0)),0))</f>
        <v>215674.8584850319</v>
      </c>
      <c r="CX15" s="278">
        <f>IF(CX$10&gt;='Torrance Inputs'!$I$18,'Torrance Inputs'!$H$22*(1+'Torrance Inputs'!$I$23)^(CX8-'Torrance Inputs'!$M$18),IF(CX$10&gt;=EDATE('Torrance Inputs'!$D$31,'Torrance Inputs'!$D$30),'Torrance Inputs'!$C$27*(1+'Torrance Inputs'!$D$35)^(ROUNDDOWN((CX$9-1)/12,0)),0))</f>
        <v>215674.8584850319</v>
      </c>
      <c r="CY15" s="278">
        <f>IF(CY$10&gt;='Torrance Inputs'!$I$18,'Torrance Inputs'!$H$22*(1+'Torrance Inputs'!$I$23)^(CY8-'Torrance Inputs'!$M$18),IF(CY$10&gt;=EDATE('Torrance Inputs'!$D$31,'Torrance Inputs'!$D$30),'Torrance Inputs'!$C$27*(1+'Torrance Inputs'!$D$35)^(ROUNDDOWN((CY$9-1)/12,0)),0))</f>
        <v>215674.8584850319</v>
      </c>
      <c r="CZ15" s="278">
        <f>IF(CZ$10&gt;='Torrance Inputs'!$I$18,'Torrance Inputs'!$H$22*(1+'Torrance Inputs'!$I$23)^(CZ8-'Torrance Inputs'!$M$18),IF(CZ$10&gt;=EDATE('Torrance Inputs'!$D$31,'Torrance Inputs'!$D$30),'Torrance Inputs'!$C$27*(1+'Torrance Inputs'!$D$35)^(ROUNDDOWN((CZ$9-1)/12,0)),0))</f>
        <v>215674.8584850319</v>
      </c>
      <c r="DA15" s="278">
        <f>IF(DA$10&gt;='Torrance Inputs'!$I$18,'Torrance Inputs'!$H$22*(1+'Torrance Inputs'!$I$23)^(DA8-'Torrance Inputs'!$M$18),IF(DA$10&gt;=EDATE('Torrance Inputs'!$D$31,'Torrance Inputs'!$D$30),'Torrance Inputs'!$C$27*(1+'Torrance Inputs'!$D$35)^(ROUNDDOWN((DA$9-1)/12,0)),0))</f>
        <v>215674.8584850319</v>
      </c>
      <c r="DB15" s="278">
        <f>IF(DB$10&gt;='Torrance Inputs'!$I$18,'Torrance Inputs'!$H$22*(1+'Torrance Inputs'!$I$23)^(DB8-'Torrance Inputs'!$M$18),IF(DB$10&gt;=EDATE('Torrance Inputs'!$D$31,'Torrance Inputs'!$D$30),'Torrance Inputs'!$C$27*(1+'Torrance Inputs'!$D$35)^(ROUNDDOWN((DB$9-1)/12,0)),0))</f>
        <v>215674.8584850319</v>
      </c>
      <c r="DC15" s="278">
        <f>IF(DC$10&gt;='Torrance Inputs'!$I$18,'Torrance Inputs'!$H$22*(1+'Torrance Inputs'!$I$23)^(DC8-'Torrance Inputs'!$M$18),IF(DC$10&gt;=EDATE('Torrance Inputs'!$D$31,'Torrance Inputs'!$D$30),'Torrance Inputs'!$C$27*(1+'Torrance Inputs'!$D$35)^(ROUNDDOWN((DC$9-1)/12,0)),0))</f>
        <v>215674.8584850319</v>
      </c>
      <c r="DD15" s="278">
        <f>IF(DD$10&gt;='Torrance Inputs'!$I$18,'Torrance Inputs'!$H$22*(1+'Torrance Inputs'!$I$23)^(DD8-'Torrance Inputs'!$M$18),IF(DD$10&gt;=EDATE('Torrance Inputs'!$D$31,'Torrance Inputs'!$D$30),'Torrance Inputs'!$C$27*(1+'Torrance Inputs'!$D$35)^(ROUNDDOWN((DD$9-1)/12,0)),0))</f>
        <v>215674.8584850319</v>
      </c>
      <c r="DE15" s="278">
        <f>IF(DE$10&gt;='Torrance Inputs'!$I$18,'Torrance Inputs'!$H$22*(1+'Torrance Inputs'!$I$23)^(DE8-'Torrance Inputs'!$M$18),IF(DE$10&gt;=EDATE('Torrance Inputs'!$D$31,'Torrance Inputs'!$D$30),'Torrance Inputs'!$C$27*(1+'Torrance Inputs'!$D$35)^(ROUNDDOWN((DE$9-1)/12,0)),0))</f>
        <v>215674.8584850319</v>
      </c>
      <c r="DF15" s="278">
        <f>IF(DF$10&gt;='Torrance Inputs'!$I$18,'Torrance Inputs'!$H$22*(1+'Torrance Inputs'!$I$23)^(DF8-'Torrance Inputs'!$M$18),IF(DF$10&gt;=EDATE('Torrance Inputs'!$D$31,'Torrance Inputs'!$D$30),'Torrance Inputs'!$C$27*(1+'Torrance Inputs'!$D$35)^(ROUNDDOWN((DF$9-1)/12,0)),0))</f>
        <v>215674.8584850319</v>
      </c>
      <c r="DG15" s="278">
        <f>IF(DG$10&gt;='Torrance Inputs'!$I$18,'Torrance Inputs'!$H$22*(1+'Torrance Inputs'!$I$23)^(DG8-'Torrance Inputs'!$M$18),IF(DG$10&gt;=EDATE('Torrance Inputs'!$D$31,'Torrance Inputs'!$D$30),'Torrance Inputs'!$C$27*(1+'Torrance Inputs'!$D$35)^(ROUNDDOWN((DG$9-1)/12,0)),0))</f>
        <v>219988.35565473253</v>
      </c>
      <c r="DH15" s="278">
        <f>IF(DH$10&gt;='Torrance Inputs'!$I$18,'Torrance Inputs'!$H$22*(1+'Torrance Inputs'!$I$23)^(DH8-'Torrance Inputs'!$M$18),IF(DH$10&gt;=EDATE('Torrance Inputs'!$D$31,'Torrance Inputs'!$D$30),'Torrance Inputs'!$C$27*(1+'Torrance Inputs'!$D$35)^(ROUNDDOWN((DH$9-1)/12,0)),0))</f>
        <v>219988.35565473253</v>
      </c>
      <c r="DI15" s="278">
        <f>IF(DI$10&gt;='Torrance Inputs'!$I$18,'Torrance Inputs'!$H$22*(1+'Torrance Inputs'!$I$23)^(DI8-'Torrance Inputs'!$M$18),IF(DI$10&gt;=EDATE('Torrance Inputs'!$D$31,'Torrance Inputs'!$D$30),'Torrance Inputs'!$C$27*(1+'Torrance Inputs'!$D$35)^(ROUNDDOWN((DI$9-1)/12,0)),0))</f>
        <v>219988.35565473253</v>
      </c>
      <c r="DJ15" s="278">
        <f>IF(DJ$10&gt;='Torrance Inputs'!$I$18,'Torrance Inputs'!$H$22*(1+'Torrance Inputs'!$I$23)^(DJ8-'Torrance Inputs'!$M$18),IF(DJ$10&gt;=EDATE('Torrance Inputs'!$D$31,'Torrance Inputs'!$D$30),'Torrance Inputs'!$C$27*(1+'Torrance Inputs'!$D$35)^(ROUNDDOWN((DJ$9-1)/12,0)),0))</f>
        <v>219988.35565473253</v>
      </c>
      <c r="DK15" s="278">
        <f>IF(DK$10&gt;='Torrance Inputs'!$I$18,'Torrance Inputs'!$H$22*(1+'Torrance Inputs'!$I$23)^(DK8-'Torrance Inputs'!$M$18),IF(DK$10&gt;=EDATE('Torrance Inputs'!$D$31,'Torrance Inputs'!$D$30),'Torrance Inputs'!$C$27*(1+'Torrance Inputs'!$D$35)^(ROUNDDOWN((DK$9-1)/12,0)),0))</f>
        <v>219988.35565473253</v>
      </c>
      <c r="DL15" s="278">
        <f>IF(DL$10&gt;='Torrance Inputs'!$I$18,'Torrance Inputs'!$H$22*(1+'Torrance Inputs'!$I$23)^(DL8-'Torrance Inputs'!$M$18),IF(DL$10&gt;=EDATE('Torrance Inputs'!$D$31,'Torrance Inputs'!$D$30),'Torrance Inputs'!$C$27*(1+'Torrance Inputs'!$D$35)^(ROUNDDOWN((DL$9-1)/12,0)),0))</f>
        <v>219988.35565473253</v>
      </c>
      <c r="DM15" s="278">
        <f>IF(DM$10&gt;='Torrance Inputs'!$I$18,'Torrance Inputs'!$H$22*(1+'Torrance Inputs'!$I$23)^(DM8-'Torrance Inputs'!$M$18),IF(DM$10&gt;=EDATE('Torrance Inputs'!$D$31,'Torrance Inputs'!$D$30),'Torrance Inputs'!$C$27*(1+'Torrance Inputs'!$D$35)^(ROUNDDOWN((DM$9-1)/12,0)),0))</f>
        <v>219988.35565473253</v>
      </c>
      <c r="DN15" s="278">
        <f>IF(DN$10&gt;='Torrance Inputs'!$I$18,'Torrance Inputs'!$H$22*(1+'Torrance Inputs'!$I$23)^(DN8-'Torrance Inputs'!$M$18),IF(DN$10&gt;=EDATE('Torrance Inputs'!$D$31,'Torrance Inputs'!$D$30),'Torrance Inputs'!$C$27*(1+'Torrance Inputs'!$D$35)^(ROUNDDOWN((DN$9-1)/12,0)),0))</f>
        <v>219988.35565473253</v>
      </c>
      <c r="DO15" s="278">
        <f>IF(DO$10&gt;='Torrance Inputs'!$I$18,'Torrance Inputs'!$H$22*(1+'Torrance Inputs'!$I$23)^(DO8-'Torrance Inputs'!$M$18),IF(DO$10&gt;=EDATE('Torrance Inputs'!$D$31,'Torrance Inputs'!$D$30),'Torrance Inputs'!$C$27*(1+'Torrance Inputs'!$D$35)^(ROUNDDOWN((DO$9-1)/12,0)),0))</f>
        <v>219988.35565473253</v>
      </c>
      <c r="DP15" s="278">
        <f>IF(DP$10&gt;='Torrance Inputs'!$I$18,'Torrance Inputs'!$H$22*(1+'Torrance Inputs'!$I$23)^(DP8-'Torrance Inputs'!$M$18),IF(DP$10&gt;=EDATE('Torrance Inputs'!$D$31,'Torrance Inputs'!$D$30),'Torrance Inputs'!$C$27*(1+'Torrance Inputs'!$D$35)^(ROUNDDOWN((DP$9-1)/12,0)),0))</f>
        <v>219988.35565473253</v>
      </c>
      <c r="DQ15" s="278">
        <f>IF(DQ$10&gt;='Torrance Inputs'!$I$18,'Torrance Inputs'!$H$22*(1+'Torrance Inputs'!$I$23)^(DQ8-'Torrance Inputs'!$M$18),IF(DQ$10&gt;=EDATE('Torrance Inputs'!$D$31,'Torrance Inputs'!$D$30),'Torrance Inputs'!$C$27*(1+'Torrance Inputs'!$D$35)^(ROUNDDOWN((DQ$9-1)/12,0)),0))</f>
        <v>219988.35565473253</v>
      </c>
      <c r="DR15" s="278">
        <f>IF(DR$10&gt;='Torrance Inputs'!$I$18,'Torrance Inputs'!$H$22*(1+'Torrance Inputs'!$I$23)^(DR8-'Torrance Inputs'!$M$18),IF(DR$10&gt;=EDATE('Torrance Inputs'!$D$31,'Torrance Inputs'!$D$30),'Torrance Inputs'!$C$27*(1+'Torrance Inputs'!$D$35)^(ROUNDDOWN((DR$9-1)/12,0)),0))</f>
        <v>219988.35565473253</v>
      </c>
      <c r="DS15" s="278">
        <f>IF(DS$10&gt;='Torrance Inputs'!$I$18,'Torrance Inputs'!$H$22*(1+'Torrance Inputs'!$I$23)^(DS8-'Torrance Inputs'!$M$18),IF(DS$10&gt;=EDATE('Torrance Inputs'!$D$31,'Torrance Inputs'!$D$30),'Torrance Inputs'!$C$27*(1+'Torrance Inputs'!$D$35)^(ROUNDDOWN((DS$9-1)/12,0)),0))</f>
        <v>224388.12276782721</v>
      </c>
      <c r="DT15" s="278">
        <f>IF(DT$10&gt;='Torrance Inputs'!$I$18,'Torrance Inputs'!$H$22*(1+'Torrance Inputs'!$I$23)^(DT8-'Torrance Inputs'!$M$18),IF(DT$10&gt;=EDATE('Torrance Inputs'!$D$31,'Torrance Inputs'!$D$30),'Torrance Inputs'!$C$27*(1+'Torrance Inputs'!$D$35)^(ROUNDDOWN((DT$9-1)/12,0)),0))</f>
        <v>224388.12276782721</v>
      </c>
      <c r="DU15" s="278">
        <f>IF(DU$10&gt;='Torrance Inputs'!$I$18,'Torrance Inputs'!$H$22*(1+'Torrance Inputs'!$I$23)^(DU8-'Torrance Inputs'!$M$18),IF(DU$10&gt;=EDATE('Torrance Inputs'!$D$31,'Torrance Inputs'!$D$30),'Torrance Inputs'!$C$27*(1+'Torrance Inputs'!$D$35)^(ROUNDDOWN((DU$9-1)/12,0)),0))</f>
        <v>224388.12276782721</v>
      </c>
      <c r="DV15" s="278">
        <f>IF(DV$10&gt;='Torrance Inputs'!$I$18,'Torrance Inputs'!$H$22*(1+'Torrance Inputs'!$I$23)^(DV8-'Torrance Inputs'!$M$18),IF(DV$10&gt;=EDATE('Torrance Inputs'!$D$31,'Torrance Inputs'!$D$30),'Torrance Inputs'!$C$27*(1+'Torrance Inputs'!$D$35)^(ROUNDDOWN((DV$9-1)/12,0)),0))</f>
        <v>224388.12276782721</v>
      </c>
      <c r="DW15" s="278">
        <f>IF(DW$10&gt;='Torrance Inputs'!$I$18,'Torrance Inputs'!$H$22*(1+'Torrance Inputs'!$I$23)^(DW8-'Torrance Inputs'!$M$18),IF(DW$10&gt;=EDATE('Torrance Inputs'!$D$31,'Torrance Inputs'!$D$30),'Torrance Inputs'!$C$27*(1+'Torrance Inputs'!$D$35)^(ROUNDDOWN((DW$9-1)/12,0)),0))</f>
        <v>224388.12276782721</v>
      </c>
      <c r="DX15" s="278">
        <f>IF(DX$10&gt;='Torrance Inputs'!$I$18,'Torrance Inputs'!$H$22*(1+'Torrance Inputs'!$I$23)^(DX8-'Torrance Inputs'!$M$18),IF(DX$10&gt;=EDATE('Torrance Inputs'!$D$31,'Torrance Inputs'!$D$30),'Torrance Inputs'!$C$27*(1+'Torrance Inputs'!$D$35)^(ROUNDDOWN((DX$9-1)/12,0)),0))</f>
        <v>224388.12276782721</v>
      </c>
      <c r="DY15" s="278">
        <f>IF(DY$10&gt;='Torrance Inputs'!$I$18,'Torrance Inputs'!$H$22*(1+'Torrance Inputs'!$I$23)^(DY8-'Torrance Inputs'!$M$18),IF(DY$10&gt;=EDATE('Torrance Inputs'!$D$31,'Torrance Inputs'!$D$30),'Torrance Inputs'!$C$27*(1+'Torrance Inputs'!$D$35)^(ROUNDDOWN((DY$9-1)/12,0)),0))</f>
        <v>224388.12276782721</v>
      </c>
      <c r="DZ15" s="278">
        <f>IF(DZ$10&gt;='Torrance Inputs'!$I$18,'Torrance Inputs'!$H$22*(1+'Torrance Inputs'!$I$23)^(DZ8-'Torrance Inputs'!$M$18),IF(DZ$10&gt;=EDATE('Torrance Inputs'!$D$31,'Torrance Inputs'!$D$30),'Torrance Inputs'!$C$27*(1+'Torrance Inputs'!$D$35)^(ROUNDDOWN((DZ$9-1)/12,0)),0))</f>
        <v>224388.12276782721</v>
      </c>
      <c r="EA15" s="278">
        <f>IF(EA$10&gt;='Torrance Inputs'!$I$18,'Torrance Inputs'!$H$22*(1+'Torrance Inputs'!$I$23)^(EA8-'Torrance Inputs'!$M$18),IF(EA$10&gt;=EDATE('Torrance Inputs'!$D$31,'Torrance Inputs'!$D$30),'Torrance Inputs'!$C$27*(1+'Torrance Inputs'!$D$35)^(ROUNDDOWN((EA$9-1)/12,0)),0))</f>
        <v>224388.12276782721</v>
      </c>
      <c r="EB15" s="278">
        <f>IF(EB$10&gt;='Torrance Inputs'!$I$18,'Torrance Inputs'!$H$22*(1+'Torrance Inputs'!$I$23)^(EB8-'Torrance Inputs'!$M$18),IF(EB$10&gt;=EDATE('Torrance Inputs'!$D$31,'Torrance Inputs'!$D$30),'Torrance Inputs'!$C$27*(1+'Torrance Inputs'!$D$35)^(ROUNDDOWN((EB$9-1)/12,0)),0))</f>
        <v>224388.12276782721</v>
      </c>
      <c r="EC15" s="278">
        <f>IF(EC$10&gt;='Torrance Inputs'!$I$18,'Torrance Inputs'!$H$22*(1+'Torrance Inputs'!$I$23)^(EC8-'Torrance Inputs'!$M$18),IF(EC$10&gt;=EDATE('Torrance Inputs'!$D$31,'Torrance Inputs'!$D$30),'Torrance Inputs'!$C$27*(1+'Torrance Inputs'!$D$35)^(ROUNDDOWN((EC$9-1)/12,0)),0))</f>
        <v>224388.12276782721</v>
      </c>
      <c r="ED15" s="278">
        <f>IF(ED$10&gt;='Torrance Inputs'!$I$18,'Torrance Inputs'!$H$22*(1+'Torrance Inputs'!$I$23)^(ED8-'Torrance Inputs'!$M$18),IF(ED$10&gt;=EDATE('Torrance Inputs'!$D$31,'Torrance Inputs'!$D$30),'Torrance Inputs'!$C$27*(1+'Torrance Inputs'!$D$35)^(ROUNDDOWN((ED$9-1)/12,0)),0))</f>
        <v>224388.12276782721</v>
      </c>
    </row>
    <row r="16" spans="1:134" ht="19.149999999999999" customHeight="1" x14ac:dyDescent="0.4">
      <c r="A16" s="275" t="s">
        <v>211</v>
      </c>
      <c r="B16" s="275"/>
      <c r="C16" s="266">
        <f t="shared" ref="C16:AH16" si="8">SUM(C14:C15)</f>
        <v>91666.666666666672</v>
      </c>
      <c r="D16" s="266">
        <f t="shared" si="8"/>
        <v>91666.666666666672</v>
      </c>
      <c r="E16" s="266">
        <f t="shared" si="8"/>
        <v>91666.666666666672</v>
      </c>
      <c r="F16" s="266">
        <f t="shared" si="8"/>
        <v>91666.666666666672</v>
      </c>
      <c r="G16" s="266">
        <f t="shared" si="8"/>
        <v>91666.666666666672</v>
      </c>
      <c r="H16" s="266">
        <f t="shared" si="8"/>
        <v>91666.666666666672</v>
      </c>
      <c r="I16" s="266">
        <f t="shared" si="8"/>
        <v>91666.666666666672</v>
      </c>
      <c r="J16" s="266">
        <f t="shared" si="8"/>
        <v>91666.666666666672</v>
      </c>
      <c r="K16" s="266">
        <f t="shared" si="8"/>
        <v>91666.666666666672</v>
      </c>
      <c r="L16" s="266">
        <f t="shared" si="8"/>
        <v>91666.666666666672</v>
      </c>
      <c r="M16" s="266">
        <f t="shared" si="8"/>
        <v>91666.666666666672</v>
      </c>
      <c r="N16" s="266">
        <f t="shared" si="8"/>
        <v>91666.666666666672</v>
      </c>
      <c r="O16" s="266">
        <f t="shared" si="8"/>
        <v>93500</v>
      </c>
      <c r="P16" s="266">
        <f t="shared" si="8"/>
        <v>93500</v>
      </c>
      <c r="Q16" s="266">
        <f t="shared" si="8"/>
        <v>93500</v>
      </c>
      <c r="R16" s="266">
        <f t="shared" si="8"/>
        <v>93500</v>
      </c>
      <c r="S16" s="266">
        <f t="shared" si="8"/>
        <v>93500</v>
      </c>
      <c r="T16" s="266">
        <f t="shared" si="8"/>
        <v>93500</v>
      </c>
      <c r="U16" s="266">
        <f t="shared" si="8"/>
        <v>93500</v>
      </c>
      <c r="V16" s="266">
        <f t="shared" si="8"/>
        <v>93500</v>
      </c>
      <c r="W16" s="266">
        <f t="shared" si="8"/>
        <v>93500</v>
      </c>
      <c r="X16" s="266">
        <f t="shared" si="8"/>
        <v>93500</v>
      </c>
      <c r="Y16" s="266">
        <f t="shared" si="8"/>
        <v>93500</v>
      </c>
      <c r="Z16" s="266">
        <f t="shared" si="8"/>
        <v>93500</v>
      </c>
      <c r="AA16" s="266">
        <f t="shared" si="8"/>
        <v>95370</v>
      </c>
      <c r="AB16" s="266">
        <f t="shared" si="8"/>
        <v>95370</v>
      </c>
      <c r="AC16" s="266">
        <f t="shared" si="8"/>
        <v>95370</v>
      </c>
      <c r="AD16" s="266">
        <f t="shared" si="8"/>
        <v>95370</v>
      </c>
      <c r="AE16" s="266">
        <f t="shared" si="8"/>
        <v>95370</v>
      </c>
      <c r="AF16" s="266">
        <f t="shared" si="8"/>
        <v>95370</v>
      </c>
      <c r="AG16" s="266">
        <f t="shared" si="8"/>
        <v>95370</v>
      </c>
      <c r="AH16" s="266">
        <f t="shared" si="8"/>
        <v>95370</v>
      </c>
      <c r="AI16" s="266">
        <f t="shared" ref="AI16:BN16" si="9">SUM(AI14:AI15)</f>
        <v>95370</v>
      </c>
      <c r="AJ16" s="266">
        <f t="shared" si="9"/>
        <v>95370</v>
      </c>
      <c r="AK16" s="266">
        <f t="shared" si="9"/>
        <v>95370</v>
      </c>
      <c r="AL16" s="266">
        <f t="shared" si="9"/>
        <v>95370</v>
      </c>
      <c r="AM16" s="266">
        <f t="shared" si="9"/>
        <v>97277.4</v>
      </c>
      <c r="AN16" s="266">
        <f t="shared" si="9"/>
        <v>97277.4</v>
      </c>
      <c r="AO16" s="266">
        <f t="shared" si="9"/>
        <v>97277.4</v>
      </c>
      <c r="AP16" s="266">
        <f t="shared" si="9"/>
        <v>97277.4</v>
      </c>
      <c r="AQ16" s="266">
        <f t="shared" si="9"/>
        <v>97277.4</v>
      </c>
      <c r="AR16" s="266">
        <f t="shared" si="9"/>
        <v>97277.4</v>
      </c>
      <c r="AS16" s="266">
        <f t="shared" si="9"/>
        <v>97277.4</v>
      </c>
      <c r="AT16" s="266">
        <f t="shared" si="9"/>
        <v>97277.4</v>
      </c>
      <c r="AU16" s="266">
        <f t="shared" si="9"/>
        <v>97277.4</v>
      </c>
      <c r="AV16" s="266">
        <f t="shared" si="9"/>
        <v>97277.4</v>
      </c>
      <c r="AW16" s="266">
        <f t="shared" si="9"/>
        <v>97277.4</v>
      </c>
      <c r="AX16" s="266">
        <f t="shared" si="9"/>
        <v>97277.4</v>
      </c>
      <c r="AY16" s="266">
        <f t="shared" si="9"/>
        <v>0</v>
      </c>
      <c r="AZ16" s="266">
        <f t="shared" si="9"/>
        <v>0</v>
      </c>
      <c r="BA16" s="266">
        <f t="shared" si="9"/>
        <v>0</v>
      </c>
      <c r="BB16" s="266">
        <f t="shared" si="9"/>
        <v>0</v>
      </c>
      <c r="BC16" s="266">
        <f t="shared" si="9"/>
        <v>0</v>
      </c>
      <c r="BD16" s="266">
        <f t="shared" si="9"/>
        <v>0</v>
      </c>
      <c r="BE16" s="266">
        <f t="shared" si="9"/>
        <v>0</v>
      </c>
      <c r="BF16" s="266">
        <f t="shared" si="9"/>
        <v>0</v>
      </c>
      <c r="BG16" s="266">
        <f t="shared" si="9"/>
        <v>0</v>
      </c>
      <c r="BH16" s="266">
        <f t="shared" si="9"/>
        <v>0</v>
      </c>
      <c r="BI16" s="266">
        <f t="shared" si="9"/>
        <v>0</v>
      </c>
      <c r="BJ16" s="266">
        <f t="shared" si="9"/>
        <v>0</v>
      </c>
      <c r="BK16" s="266">
        <f t="shared" si="9"/>
        <v>406470.4723014374</v>
      </c>
      <c r="BL16" s="266">
        <f t="shared" si="9"/>
        <v>406470.4723014374</v>
      </c>
      <c r="BM16" s="266">
        <f t="shared" si="9"/>
        <v>406470.4723014374</v>
      </c>
      <c r="BN16" s="266">
        <f t="shared" si="9"/>
        <v>406470.4723014374</v>
      </c>
      <c r="BO16" s="266">
        <f t="shared" ref="BO16:CT16" si="10">SUM(BO14:BO15)</f>
        <v>406470.4723014374</v>
      </c>
      <c r="BP16" s="266">
        <f t="shared" si="10"/>
        <v>406470.4723014374</v>
      </c>
      <c r="BQ16" s="266">
        <f t="shared" si="10"/>
        <v>406470.4723014374</v>
      </c>
      <c r="BR16" s="266">
        <f t="shared" si="10"/>
        <v>406470.4723014374</v>
      </c>
      <c r="BS16" s="266">
        <f t="shared" si="10"/>
        <v>406470.4723014374</v>
      </c>
      <c r="BT16" s="266">
        <f t="shared" si="10"/>
        <v>406470.4723014374</v>
      </c>
      <c r="BU16" s="266">
        <f t="shared" si="10"/>
        <v>406470.4723014374</v>
      </c>
      <c r="BV16" s="266">
        <f t="shared" si="10"/>
        <v>406470.4723014374</v>
      </c>
      <c r="BW16" s="266">
        <f t="shared" si="10"/>
        <v>414599.88174746616</v>
      </c>
      <c r="BX16" s="266">
        <f t="shared" si="10"/>
        <v>414599.88174746616</v>
      </c>
      <c r="BY16" s="266">
        <f t="shared" si="10"/>
        <v>414599.88174746616</v>
      </c>
      <c r="BZ16" s="266">
        <f t="shared" si="10"/>
        <v>414599.88174746616</v>
      </c>
      <c r="CA16" s="266">
        <f t="shared" si="10"/>
        <v>414599.88174746616</v>
      </c>
      <c r="CB16" s="266">
        <f t="shared" si="10"/>
        <v>414599.88174746616</v>
      </c>
      <c r="CC16" s="266">
        <f t="shared" si="10"/>
        <v>414599.88174746616</v>
      </c>
      <c r="CD16" s="266">
        <f t="shared" si="10"/>
        <v>414599.88174746616</v>
      </c>
      <c r="CE16" s="266">
        <f t="shared" si="10"/>
        <v>414599.88174746616</v>
      </c>
      <c r="CF16" s="266">
        <f t="shared" si="10"/>
        <v>414599.88174746616</v>
      </c>
      <c r="CG16" s="266">
        <f t="shared" si="10"/>
        <v>414599.88174746616</v>
      </c>
      <c r="CH16" s="266">
        <f t="shared" si="10"/>
        <v>414599.88174746616</v>
      </c>
      <c r="CI16" s="266">
        <f t="shared" si="10"/>
        <v>422891.87938241544</v>
      </c>
      <c r="CJ16" s="266">
        <f t="shared" si="10"/>
        <v>422891.87938241544</v>
      </c>
      <c r="CK16" s="266">
        <f t="shared" si="10"/>
        <v>422891.87938241544</v>
      </c>
      <c r="CL16" s="266">
        <f t="shared" si="10"/>
        <v>422891.87938241544</v>
      </c>
      <c r="CM16" s="266">
        <f t="shared" si="10"/>
        <v>422891.87938241544</v>
      </c>
      <c r="CN16" s="266">
        <f t="shared" si="10"/>
        <v>422891.87938241544</v>
      </c>
      <c r="CO16" s="266">
        <f t="shared" si="10"/>
        <v>422891.87938241544</v>
      </c>
      <c r="CP16" s="266">
        <f t="shared" si="10"/>
        <v>422891.87938241544</v>
      </c>
      <c r="CQ16" s="266">
        <f t="shared" si="10"/>
        <v>422891.87938241544</v>
      </c>
      <c r="CR16" s="266">
        <f t="shared" si="10"/>
        <v>422891.87938241544</v>
      </c>
      <c r="CS16" s="266">
        <f t="shared" si="10"/>
        <v>422891.87938241544</v>
      </c>
      <c r="CT16" s="266">
        <f t="shared" si="10"/>
        <v>422891.87938241544</v>
      </c>
      <c r="CU16" s="266">
        <f t="shared" ref="CU16:DZ16" si="11">SUM(CU14:CU15)</f>
        <v>431349.7169700638</v>
      </c>
      <c r="CV16" s="266">
        <f t="shared" si="11"/>
        <v>431349.7169700638</v>
      </c>
      <c r="CW16" s="266">
        <f t="shared" si="11"/>
        <v>431349.7169700638</v>
      </c>
      <c r="CX16" s="266">
        <f t="shared" si="11"/>
        <v>431349.7169700638</v>
      </c>
      <c r="CY16" s="266">
        <f t="shared" si="11"/>
        <v>431349.7169700638</v>
      </c>
      <c r="CZ16" s="266">
        <f t="shared" si="11"/>
        <v>431349.7169700638</v>
      </c>
      <c r="DA16" s="266">
        <f t="shared" si="11"/>
        <v>431349.7169700638</v>
      </c>
      <c r="DB16" s="266">
        <f t="shared" si="11"/>
        <v>431349.7169700638</v>
      </c>
      <c r="DC16" s="266">
        <f t="shared" si="11"/>
        <v>431349.7169700638</v>
      </c>
      <c r="DD16" s="266">
        <f t="shared" si="11"/>
        <v>431349.7169700638</v>
      </c>
      <c r="DE16" s="266">
        <f t="shared" si="11"/>
        <v>431349.7169700638</v>
      </c>
      <c r="DF16" s="266">
        <f t="shared" si="11"/>
        <v>431349.7169700638</v>
      </c>
      <c r="DG16" s="266">
        <f t="shared" si="11"/>
        <v>439976.71130946506</v>
      </c>
      <c r="DH16" s="266">
        <f t="shared" si="11"/>
        <v>439976.71130946506</v>
      </c>
      <c r="DI16" s="266">
        <f t="shared" si="11"/>
        <v>439976.71130946506</v>
      </c>
      <c r="DJ16" s="266">
        <f t="shared" si="11"/>
        <v>439976.71130946506</v>
      </c>
      <c r="DK16" s="266">
        <f t="shared" si="11"/>
        <v>439976.71130946506</v>
      </c>
      <c r="DL16" s="266">
        <f t="shared" si="11"/>
        <v>439976.71130946506</v>
      </c>
      <c r="DM16" s="266">
        <f t="shared" si="11"/>
        <v>439976.71130946506</v>
      </c>
      <c r="DN16" s="266">
        <f t="shared" si="11"/>
        <v>439976.71130946506</v>
      </c>
      <c r="DO16" s="266">
        <f t="shared" si="11"/>
        <v>439976.71130946506</v>
      </c>
      <c r="DP16" s="266">
        <f t="shared" si="11"/>
        <v>439976.71130946506</v>
      </c>
      <c r="DQ16" s="266">
        <f t="shared" si="11"/>
        <v>439976.71130946506</v>
      </c>
      <c r="DR16" s="266">
        <f t="shared" si="11"/>
        <v>439976.71130946506</v>
      </c>
      <c r="DS16" s="266">
        <f t="shared" si="11"/>
        <v>448776.24553565442</v>
      </c>
      <c r="DT16" s="266">
        <f t="shared" si="11"/>
        <v>448776.24553565442</v>
      </c>
      <c r="DU16" s="266">
        <f t="shared" si="11"/>
        <v>448776.24553565442</v>
      </c>
      <c r="DV16" s="266">
        <f t="shared" si="11"/>
        <v>448776.24553565442</v>
      </c>
      <c r="DW16" s="266">
        <f t="shared" si="11"/>
        <v>448776.24553565442</v>
      </c>
      <c r="DX16" s="266">
        <f t="shared" si="11"/>
        <v>448776.24553565442</v>
      </c>
      <c r="DY16" s="266">
        <f t="shared" si="11"/>
        <v>448776.24553565442</v>
      </c>
      <c r="DZ16" s="266">
        <f t="shared" si="11"/>
        <v>448776.24553565442</v>
      </c>
      <c r="EA16" s="266">
        <f t="shared" ref="EA16:ED16" si="12">SUM(EA14:EA15)</f>
        <v>448776.24553565442</v>
      </c>
      <c r="EB16" s="266">
        <f t="shared" si="12"/>
        <v>448776.24553565442</v>
      </c>
      <c r="EC16" s="266">
        <f t="shared" si="12"/>
        <v>448776.24553565442</v>
      </c>
      <c r="ED16" s="266">
        <f t="shared" si="12"/>
        <v>448776.24553565442</v>
      </c>
    </row>
    <row r="17" spans="1:134" ht="19.149999999999999" customHeight="1" x14ac:dyDescent="0.4">
      <c r="A17" s="275" t="s">
        <v>210</v>
      </c>
      <c r="B17" s="275"/>
      <c r="C17" s="276">
        <f>IF(AND(C$10&gt;='Torrance Inputs'!$I$18,C$10&lt;='Torrance Inputs'!$R$18),0,IF(C$10&gt;='Torrance Inputs'!$N$38,0,-C$16))</f>
        <v>0</v>
      </c>
      <c r="D17" s="276">
        <f>IF(AND(D$10&gt;='Torrance Inputs'!$I$18,D$10&lt;='Torrance Inputs'!$R$18),0,IF(D$10&gt;='Torrance Inputs'!$N$38,0,-D$16))</f>
        <v>0</v>
      </c>
      <c r="E17" s="276">
        <f>IF(AND(E$10&gt;='Torrance Inputs'!$I$18,E$10&lt;='Torrance Inputs'!$R$18),0,IF(E$10&gt;='Torrance Inputs'!$N$38,0,-E$16))</f>
        <v>0</v>
      </c>
      <c r="F17" s="276">
        <f>IF(AND(F$10&gt;='Torrance Inputs'!$I$18,F$10&lt;='Torrance Inputs'!$R$18),0,IF(F$10&gt;='Torrance Inputs'!$N$38,0,-F$16))</f>
        <v>0</v>
      </c>
      <c r="G17" s="276">
        <f>IF(AND(G$10&gt;='Torrance Inputs'!$I$18,G$10&lt;='Torrance Inputs'!$R$18),0,IF(G$10&gt;='Torrance Inputs'!$N$38,0,-G$16))</f>
        <v>0</v>
      </c>
      <c r="H17" s="276">
        <f>IF(AND(H$10&gt;='Torrance Inputs'!$I$18,H$10&lt;='Torrance Inputs'!$R$18),0,IF(H$10&gt;='Torrance Inputs'!$N$38,0,-H$16))</f>
        <v>0</v>
      </c>
      <c r="I17" s="276">
        <f>IF(AND(I$10&gt;='Torrance Inputs'!$I$18,I$10&lt;='Torrance Inputs'!$R$18),0,IF(I$10&gt;='Torrance Inputs'!$N$38,0,-I$16))</f>
        <v>0</v>
      </c>
      <c r="J17" s="276">
        <f>IF(AND(J$10&gt;='Torrance Inputs'!$I$18,J$10&lt;='Torrance Inputs'!$R$18),0,IF(J$10&gt;='Torrance Inputs'!$N$38,0,-J$16))</f>
        <v>0</v>
      </c>
      <c r="K17" s="276">
        <f>IF(AND(K$10&gt;='Torrance Inputs'!$I$18,K$10&lt;='Torrance Inputs'!$R$18),0,IF(K$10&gt;='Torrance Inputs'!$N$38,0,-K$16))</f>
        <v>0</v>
      </c>
      <c r="L17" s="276">
        <f>IF(AND(L$10&gt;='Torrance Inputs'!$I$18,L$10&lt;='Torrance Inputs'!$R$18),0,IF(L$10&gt;='Torrance Inputs'!$N$38,0,-L$16))</f>
        <v>0</v>
      </c>
      <c r="M17" s="276">
        <f>IF(AND(M$10&gt;='Torrance Inputs'!$I$18,M$10&lt;='Torrance Inputs'!$R$18),0,IF(M$10&gt;='Torrance Inputs'!$N$38,0,-M$16))</f>
        <v>0</v>
      </c>
      <c r="N17" s="276">
        <f>IF(AND(N$10&gt;='Torrance Inputs'!$I$18,N$10&lt;='Torrance Inputs'!$R$18),0,IF(N$10&gt;='Torrance Inputs'!$N$38,0,-N$16))</f>
        <v>0</v>
      </c>
      <c r="O17" s="276">
        <f>IF(AND(O$10&gt;='Torrance Inputs'!$I$18,O$10&lt;='Torrance Inputs'!$R$18),0,IF(O$10&gt;='Torrance Inputs'!$N$38,0,-O$16))</f>
        <v>0</v>
      </c>
      <c r="P17" s="276">
        <f>IF(AND(P$10&gt;='Torrance Inputs'!$I$18,P$10&lt;='Torrance Inputs'!$R$18),0,IF(P$10&gt;='Torrance Inputs'!$N$38,0,-P$16))</f>
        <v>0</v>
      </c>
      <c r="Q17" s="276">
        <f>IF(AND(Q$10&gt;='Torrance Inputs'!$I$18,Q$10&lt;='Torrance Inputs'!$R$18),0,IF(Q$10&gt;='Torrance Inputs'!$N$38,0,-Q$16))</f>
        <v>0</v>
      </c>
      <c r="R17" s="276">
        <f>IF(AND(R$10&gt;='Torrance Inputs'!$I$18,R$10&lt;='Torrance Inputs'!$R$18),0,IF(R$10&gt;='Torrance Inputs'!$N$38,0,-R$16))</f>
        <v>0</v>
      </c>
      <c r="S17" s="276">
        <f>IF(AND(S$10&gt;='Torrance Inputs'!$I$18,S$10&lt;='Torrance Inputs'!$R$18),0,IF(S$10&gt;='Torrance Inputs'!$N$38,0,-S$16))</f>
        <v>0</v>
      </c>
      <c r="T17" s="276">
        <f>IF(AND(T$10&gt;='Torrance Inputs'!$I$18,T$10&lt;='Torrance Inputs'!$R$18),0,IF(T$10&gt;='Torrance Inputs'!$N$38,0,-T$16))</f>
        <v>0</v>
      </c>
      <c r="U17" s="276">
        <f>IF(AND(U$10&gt;='Torrance Inputs'!$I$18,U$10&lt;='Torrance Inputs'!$R$18),0,IF(U$10&gt;='Torrance Inputs'!$N$38,0,-U$16))</f>
        <v>0</v>
      </c>
      <c r="V17" s="276">
        <f>IF(AND(V$10&gt;='Torrance Inputs'!$I$18,V$10&lt;='Torrance Inputs'!$R$18),0,IF(V$10&gt;='Torrance Inputs'!$N$38,0,-V$16))</f>
        <v>0</v>
      </c>
      <c r="W17" s="276">
        <f>IF(AND(W$10&gt;='Torrance Inputs'!$I$18,W$10&lt;='Torrance Inputs'!$R$18),0,IF(W$10&gt;='Torrance Inputs'!$N$38,0,-W$16))</f>
        <v>0</v>
      </c>
      <c r="X17" s="276">
        <f>IF(AND(X$10&gt;='Torrance Inputs'!$I$18,X$10&lt;='Torrance Inputs'!$R$18),0,IF(X$10&gt;='Torrance Inputs'!$N$38,0,-X$16))</f>
        <v>0</v>
      </c>
      <c r="Y17" s="276">
        <f>IF(AND(Y$10&gt;='Torrance Inputs'!$I$18,Y$10&lt;='Torrance Inputs'!$R$18),0,IF(Y$10&gt;='Torrance Inputs'!$N$38,0,-Y$16))</f>
        <v>0</v>
      </c>
      <c r="Z17" s="276">
        <f>IF(AND(Z$10&gt;='Torrance Inputs'!$I$18,Z$10&lt;='Torrance Inputs'!$R$18),0,IF(Z$10&gt;='Torrance Inputs'!$N$38,0,-Z$16))</f>
        <v>0</v>
      </c>
      <c r="AA17" s="276">
        <f>IF(AND(AA$10&gt;='Torrance Inputs'!$I$18,AA$10&lt;='Torrance Inputs'!$R$18),0,IF(AA$10&gt;='Torrance Inputs'!$N$38,0,-AA$16))</f>
        <v>0</v>
      </c>
      <c r="AB17" s="276">
        <f>IF(AND(AB$10&gt;='Torrance Inputs'!$I$18,AB$10&lt;='Torrance Inputs'!$R$18),0,IF(AB$10&gt;='Torrance Inputs'!$N$38,0,-AB$16))</f>
        <v>0</v>
      </c>
      <c r="AC17" s="276">
        <f>IF(AND(AC$10&gt;='Torrance Inputs'!$I$18,AC$10&lt;='Torrance Inputs'!$R$18),0,IF(AC$10&gt;='Torrance Inputs'!$N$38,0,-AC$16))</f>
        <v>0</v>
      </c>
      <c r="AD17" s="276">
        <f>IF(AND(AD$10&gt;='Torrance Inputs'!$I$18,AD$10&lt;='Torrance Inputs'!$R$18),0,IF(AD$10&gt;='Torrance Inputs'!$N$38,0,-AD$16))</f>
        <v>0</v>
      </c>
      <c r="AE17" s="276">
        <f>IF(AND(AE$10&gt;='Torrance Inputs'!$I$18,AE$10&lt;='Torrance Inputs'!$R$18),0,IF(AE$10&gt;='Torrance Inputs'!$N$38,0,-AE$16))</f>
        <v>0</v>
      </c>
      <c r="AF17" s="276">
        <f>IF(AND(AF$10&gt;='Torrance Inputs'!$I$18,AF$10&lt;='Torrance Inputs'!$R$18),0,IF(AF$10&gt;='Torrance Inputs'!$N$38,0,-AF$16))</f>
        <v>0</v>
      </c>
      <c r="AG17" s="276">
        <f>IF(AND(AG$10&gt;='Torrance Inputs'!$I$18,AG$10&lt;='Torrance Inputs'!$R$18),0,IF(AG$10&gt;='Torrance Inputs'!$N$38,0,-AG$16))</f>
        <v>0</v>
      </c>
      <c r="AH17" s="276">
        <f>IF(AND(AH$10&gt;='Torrance Inputs'!$I$18,AH$10&lt;='Torrance Inputs'!$R$18),0,IF(AH$10&gt;='Torrance Inputs'!$N$38,0,-AH$16))</f>
        <v>0</v>
      </c>
      <c r="AI17" s="276">
        <f>IF(AND(AI$10&gt;='Torrance Inputs'!$I$18,AI$10&lt;='Torrance Inputs'!$R$18),0,IF(AI$10&gt;='Torrance Inputs'!$N$38,0,-AI$16))</f>
        <v>0</v>
      </c>
      <c r="AJ17" s="276">
        <f>IF(AND(AJ$10&gt;='Torrance Inputs'!$I$18,AJ$10&lt;='Torrance Inputs'!$R$18),0,IF(AJ$10&gt;='Torrance Inputs'!$N$38,0,-AJ$16))</f>
        <v>0</v>
      </c>
      <c r="AK17" s="276">
        <f>IF(AND(AK$10&gt;='Torrance Inputs'!$I$18,AK$10&lt;='Torrance Inputs'!$R$18),0,IF(AK$10&gt;='Torrance Inputs'!$N$38,0,-AK$16))</f>
        <v>0</v>
      </c>
      <c r="AL17" s="276">
        <f>IF(AND(AL$10&gt;='Torrance Inputs'!$I$18,AL$10&lt;='Torrance Inputs'!$R$18),0,IF(AL$10&gt;='Torrance Inputs'!$N$38,0,-AL$16))</f>
        <v>0</v>
      </c>
      <c r="AM17" s="276">
        <f>IF(AND(AM$10&gt;='Torrance Inputs'!$I$18,AM$10&lt;='Torrance Inputs'!$R$18),0,IF(AM$10&gt;='Torrance Inputs'!$N$38,0,-AM$16))</f>
        <v>0</v>
      </c>
      <c r="AN17" s="276">
        <f>IF(AND(AN$10&gt;='Torrance Inputs'!$I$18,AN$10&lt;='Torrance Inputs'!$R$18),0,IF(AN$10&gt;='Torrance Inputs'!$N$38,0,-AN$16))</f>
        <v>0</v>
      </c>
      <c r="AO17" s="276">
        <f>IF(AND(AO$10&gt;='Torrance Inputs'!$I$18,AO$10&lt;='Torrance Inputs'!$R$18),0,IF(AO$10&gt;='Torrance Inputs'!$N$38,0,-AO$16))</f>
        <v>0</v>
      </c>
      <c r="AP17" s="276">
        <f>IF(AND(AP$10&gt;='Torrance Inputs'!$I$18,AP$10&lt;='Torrance Inputs'!$R$18),0,IF(AP$10&gt;='Torrance Inputs'!$N$38,0,-AP$16))</f>
        <v>0</v>
      </c>
      <c r="AQ17" s="276">
        <f>IF(AND(AQ$10&gt;='Torrance Inputs'!$I$18,AQ$10&lt;='Torrance Inputs'!$R$18),0,IF(AQ$10&gt;='Torrance Inputs'!$N$38,0,-AQ$16))</f>
        <v>0</v>
      </c>
      <c r="AR17" s="276">
        <f>IF(AND(AR$10&gt;='Torrance Inputs'!$I$18,AR$10&lt;='Torrance Inputs'!$R$18),0,IF(AR$10&gt;='Torrance Inputs'!$N$38,0,-AR$16))</f>
        <v>0</v>
      </c>
      <c r="AS17" s="276">
        <f>IF(AND(AS$10&gt;='Torrance Inputs'!$I$18,AS$10&lt;='Torrance Inputs'!$R$18),0,IF(AS$10&gt;='Torrance Inputs'!$N$38,0,-AS$16))</f>
        <v>0</v>
      </c>
      <c r="AT17" s="276">
        <f>IF(AND(AT$10&gt;='Torrance Inputs'!$I$18,AT$10&lt;='Torrance Inputs'!$R$18),0,IF(AT$10&gt;='Torrance Inputs'!$N$38,0,-AT$16))</f>
        <v>0</v>
      </c>
      <c r="AU17" s="276">
        <f>IF(AND(AU$10&gt;='Torrance Inputs'!$I$18,AU$10&lt;='Torrance Inputs'!$R$18),0,IF(AU$10&gt;='Torrance Inputs'!$N$38,0,-AU$16))</f>
        <v>0</v>
      </c>
      <c r="AV17" s="276">
        <f>IF(AND(AV$10&gt;='Torrance Inputs'!$I$18,AV$10&lt;='Torrance Inputs'!$R$18),0,IF(AV$10&gt;='Torrance Inputs'!$N$38,0,-AV$16))</f>
        <v>0</v>
      </c>
      <c r="AW17" s="276">
        <f>IF(AND(AW$10&gt;='Torrance Inputs'!$I$18,AW$10&lt;='Torrance Inputs'!$R$18),0,IF(AW$10&gt;='Torrance Inputs'!$N$38,0,-AW$16))</f>
        <v>0</v>
      </c>
      <c r="AX17" s="276">
        <f>IF(AND(AX$10&gt;='Torrance Inputs'!$I$18,AX$10&lt;='Torrance Inputs'!$R$18),0,IF(AX$10&gt;='Torrance Inputs'!$N$38,0,-AX$16))</f>
        <v>0</v>
      </c>
      <c r="AY17" s="276">
        <f>IF(AND(AY$10&gt;='Torrance Inputs'!$I$18,AY$10&lt;='Torrance Inputs'!$R$18),0,IF(AY$10&gt;='Torrance Inputs'!$N$38,0,-AY$16))</f>
        <v>0</v>
      </c>
      <c r="AZ17" s="276">
        <f>IF(AND(AZ$10&gt;='Torrance Inputs'!$I$18,AZ$10&lt;='Torrance Inputs'!$R$18),0,IF(AZ$10&gt;='Torrance Inputs'!$N$38,0,-AZ$16))</f>
        <v>0</v>
      </c>
      <c r="BA17" s="276">
        <f>IF(AND(BA$10&gt;='Torrance Inputs'!$I$18,BA$10&lt;='Torrance Inputs'!$R$18),0,IF(BA$10&gt;='Torrance Inputs'!$N$38,0,-BA$16))</f>
        <v>0</v>
      </c>
      <c r="BB17" s="276">
        <f>IF(AND(BB$10&gt;='Torrance Inputs'!$I$18,BB$10&lt;='Torrance Inputs'!$R$18),0,IF(BB$10&gt;='Torrance Inputs'!$N$38,0,-BB$16))</f>
        <v>0</v>
      </c>
      <c r="BC17" s="276">
        <f>IF(AND(BC$10&gt;='Torrance Inputs'!$I$18,BC$10&lt;='Torrance Inputs'!$R$18),0,IF(BC$10&gt;='Torrance Inputs'!$N$38,0,-BC$16))</f>
        <v>0</v>
      </c>
      <c r="BD17" s="276">
        <f>IF(AND(BD$10&gt;='Torrance Inputs'!$I$18,BD$10&lt;='Torrance Inputs'!$R$18),0,IF(BD$10&gt;='Torrance Inputs'!$N$38,0,-BD$16))</f>
        <v>0</v>
      </c>
      <c r="BE17" s="276">
        <f>IF(AND(BE$10&gt;='Torrance Inputs'!$I$18,BE$10&lt;='Torrance Inputs'!$R$18),0,IF(BE$10&gt;='Torrance Inputs'!$N$38,0,-BE$16))</f>
        <v>0</v>
      </c>
      <c r="BF17" s="276">
        <f>IF(AND(BF$10&gt;='Torrance Inputs'!$I$18,BF$10&lt;='Torrance Inputs'!$R$18),0,IF(BF$10&gt;='Torrance Inputs'!$N$38,0,-BF$16))</f>
        <v>0</v>
      </c>
      <c r="BG17" s="276">
        <f>IF(AND(BG$10&gt;='Torrance Inputs'!$I$18,BG$10&lt;='Torrance Inputs'!$R$18),0,IF(BG$10&gt;='Torrance Inputs'!$N$38,0,-BG$16))</f>
        <v>0</v>
      </c>
      <c r="BH17" s="276">
        <f>IF(AND(BH$10&gt;='Torrance Inputs'!$I$18,BH$10&lt;='Torrance Inputs'!$R$18),0,IF(BH$10&gt;='Torrance Inputs'!$N$38,0,-BH$16))</f>
        <v>0</v>
      </c>
      <c r="BI17" s="276">
        <f>IF(AND(BI$10&gt;='Torrance Inputs'!$I$18,BI$10&lt;='Torrance Inputs'!$R$18),0,IF(BI$10&gt;='Torrance Inputs'!$N$38,0,-BI$16))</f>
        <v>0</v>
      </c>
      <c r="BJ17" s="276">
        <f>IF(AND(BJ$10&gt;='Torrance Inputs'!$I$18,BJ$10&lt;='Torrance Inputs'!$R$18),0,IF(BJ$10&gt;='Torrance Inputs'!$N$38,0,-BJ$16))</f>
        <v>0</v>
      </c>
      <c r="BK17" s="276">
        <f>IF(AND(BK$10&gt;='Torrance Inputs'!$I$18,BK$10&lt;='Torrance Inputs'!$R$18),0,IF(BK$10&gt;='Torrance Inputs'!$N$38,0,-BK$16))</f>
        <v>0</v>
      </c>
      <c r="BL17" s="276">
        <f>IF(AND(BL$10&gt;='Torrance Inputs'!$I$18,BL$10&lt;='Torrance Inputs'!$R$18),0,IF(BL$10&gt;='Torrance Inputs'!$N$38,0,-BL$16))</f>
        <v>0</v>
      </c>
      <c r="BM17" s="276">
        <f>IF(AND(BM$10&gt;='Torrance Inputs'!$I$18,BM$10&lt;='Torrance Inputs'!$R$18),0,IF(BM$10&gt;='Torrance Inputs'!$N$38,0,-BM$16))</f>
        <v>0</v>
      </c>
      <c r="BN17" s="276">
        <f>IF(AND(BN$10&gt;='Torrance Inputs'!$I$18,BN$10&lt;='Torrance Inputs'!$R$18),0,IF(BN$10&gt;='Torrance Inputs'!$N$38,0,-BN$16))</f>
        <v>0</v>
      </c>
      <c r="BO17" s="276">
        <f>IF(AND(BO$10&gt;='Torrance Inputs'!$I$18,BO$10&lt;='Torrance Inputs'!$R$18),0,IF(BO$10&gt;='Torrance Inputs'!$N$38,0,-BO$16))</f>
        <v>0</v>
      </c>
      <c r="BP17" s="276">
        <f>IF(AND(BP$10&gt;='Torrance Inputs'!$I$18,BP$10&lt;='Torrance Inputs'!$R$18),0,IF(BP$10&gt;='Torrance Inputs'!$N$38,0,-BP$16))</f>
        <v>0</v>
      </c>
      <c r="BQ17" s="276">
        <f>IF(AND(BQ$10&gt;='Torrance Inputs'!$I$18,BQ$10&lt;='Torrance Inputs'!$R$18),0,IF(BQ$10&gt;='Torrance Inputs'!$N$38,0,-BQ$16))</f>
        <v>0</v>
      </c>
      <c r="BR17" s="276">
        <f>IF(AND(BR$10&gt;='Torrance Inputs'!$I$18,BR$10&lt;='Torrance Inputs'!$R$18),0,IF(BR$10&gt;='Torrance Inputs'!$N$38,0,-BR$16))</f>
        <v>0</v>
      </c>
      <c r="BS17" s="276">
        <f>IF(AND(BS$10&gt;='Torrance Inputs'!$I$18,BS$10&lt;='Torrance Inputs'!$R$18),0,IF(BS$10&gt;='Torrance Inputs'!$N$38,0,-BS$16))</f>
        <v>0</v>
      </c>
      <c r="BT17" s="276">
        <f>IF(AND(BT$10&gt;='Torrance Inputs'!$I$18,BT$10&lt;='Torrance Inputs'!$R$18),0,IF(BT$10&gt;='Torrance Inputs'!$N$38,0,-BT$16))</f>
        <v>0</v>
      </c>
      <c r="BU17" s="276">
        <f>IF(AND(BU$10&gt;='Torrance Inputs'!$I$18,BU$10&lt;='Torrance Inputs'!$R$18),0,IF(BU$10&gt;='Torrance Inputs'!$N$38,0,-BU$16))</f>
        <v>0</v>
      </c>
      <c r="BV17" s="276">
        <f>IF(AND(BV$10&gt;='Torrance Inputs'!$I$18,BV$10&lt;='Torrance Inputs'!$R$18),0,IF(BV$10&gt;='Torrance Inputs'!$N$38,0,-BV$16))</f>
        <v>0</v>
      </c>
      <c r="BW17" s="276">
        <f>IF(AND(BW$10&gt;='Torrance Inputs'!$I$18,BW$10&lt;='Torrance Inputs'!$R$18),0,IF(BW$10&gt;='Torrance Inputs'!$N$38,0,-BW$16))</f>
        <v>0</v>
      </c>
      <c r="BX17" s="276">
        <f>IF(AND(BX$10&gt;='Torrance Inputs'!$I$18,BX$10&lt;='Torrance Inputs'!$R$18),0,IF(BX$10&gt;='Torrance Inputs'!$N$38,0,-BX$16))</f>
        <v>0</v>
      </c>
      <c r="BY17" s="276">
        <f>IF(AND(BY$10&gt;='Torrance Inputs'!$I$18,BY$10&lt;='Torrance Inputs'!$R$18),0,IF(BY$10&gt;='Torrance Inputs'!$N$38,0,-BY$16))</f>
        <v>0</v>
      </c>
      <c r="BZ17" s="276">
        <f>IF(AND(BZ$10&gt;='Torrance Inputs'!$I$18,BZ$10&lt;='Torrance Inputs'!$R$18),0,IF(BZ$10&gt;='Torrance Inputs'!$N$38,0,-BZ$16))</f>
        <v>0</v>
      </c>
      <c r="CA17" s="276">
        <f>IF(AND(CA$10&gt;='Torrance Inputs'!$I$18,CA$10&lt;='Torrance Inputs'!$R$18),0,IF(CA$10&gt;='Torrance Inputs'!$N$38,0,-CA$16))</f>
        <v>0</v>
      </c>
      <c r="CB17" s="276">
        <f>IF(AND(CB$10&gt;='Torrance Inputs'!$I$18,CB$10&lt;='Torrance Inputs'!$R$18),0,IF(CB$10&gt;='Torrance Inputs'!$N$38,0,-CB$16))</f>
        <v>0</v>
      </c>
      <c r="CC17" s="276">
        <f>IF(AND(CC$10&gt;='Torrance Inputs'!$I$18,CC$10&lt;='Torrance Inputs'!$R$18),0,IF(CC$10&gt;='Torrance Inputs'!$N$38,0,-CC$16))</f>
        <v>0</v>
      </c>
      <c r="CD17" s="276">
        <f>IF(AND(CD$10&gt;='Torrance Inputs'!$I$18,CD$10&lt;='Torrance Inputs'!$R$18),0,IF(CD$10&gt;='Torrance Inputs'!$N$38,0,-CD$16))</f>
        <v>0</v>
      </c>
      <c r="CE17" s="276">
        <f>IF(AND(CE$10&gt;='Torrance Inputs'!$I$18,CE$10&lt;='Torrance Inputs'!$R$18),0,IF(CE$10&gt;='Torrance Inputs'!$N$38,0,-CE$16))</f>
        <v>0</v>
      </c>
      <c r="CF17" s="276">
        <f>IF(AND(CF$10&gt;='Torrance Inputs'!$I$18,CF$10&lt;='Torrance Inputs'!$R$18),0,IF(CF$10&gt;='Torrance Inputs'!$N$38,0,-CF$16))</f>
        <v>0</v>
      </c>
      <c r="CG17" s="276">
        <f>IF(AND(CG$10&gt;='Torrance Inputs'!$I$18,CG$10&lt;='Torrance Inputs'!$R$18),0,IF(CG$10&gt;='Torrance Inputs'!$N$38,0,-CG$16))</f>
        <v>0</v>
      </c>
      <c r="CH17" s="276">
        <f>IF(AND(CH$10&gt;='Torrance Inputs'!$I$18,CH$10&lt;='Torrance Inputs'!$R$18),0,IF(CH$10&gt;='Torrance Inputs'!$N$38,0,-CH$16))</f>
        <v>0</v>
      </c>
      <c r="CI17" s="276">
        <f>IF(AND(CI$10&gt;='Torrance Inputs'!$I$18,CI$10&lt;='Torrance Inputs'!$R$18),0,IF(CI$10&gt;='Torrance Inputs'!$N$38,0,-CI$16))</f>
        <v>0</v>
      </c>
      <c r="CJ17" s="276">
        <f>IF(AND(CJ$10&gt;='Torrance Inputs'!$I$18,CJ$10&lt;='Torrance Inputs'!$R$18),0,IF(CJ$10&gt;='Torrance Inputs'!$N$38,0,-CJ$16))</f>
        <v>0</v>
      </c>
      <c r="CK17" s="276">
        <f>IF(AND(CK$10&gt;='Torrance Inputs'!$I$18,CK$10&lt;='Torrance Inputs'!$R$18),0,IF(CK$10&gt;='Torrance Inputs'!$N$38,0,-CK$16))</f>
        <v>0</v>
      </c>
      <c r="CL17" s="276">
        <f>IF(AND(CL$10&gt;='Torrance Inputs'!$I$18,CL$10&lt;='Torrance Inputs'!$R$18),0,IF(CL$10&gt;='Torrance Inputs'!$N$38,0,-CL$16))</f>
        <v>0</v>
      </c>
      <c r="CM17" s="276">
        <f>IF(AND(CM$10&gt;='Torrance Inputs'!$I$18,CM$10&lt;='Torrance Inputs'!$R$18),0,IF(CM$10&gt;='Torrance Inputs'!$N$38,0,-CM$16))</f>
        <v>0</v>
      </c>
      <c r="CN17" s="276">
        <f>IF(AND(CN$10&gt;='Torrance Inputs'!$I$18,CN$10&lt;='Torrance Inputs'!$R$18),0,IF(CN$10&gt;='Torrance Inputs'!$N$38,0,-CN$16))</f>
        <v>0</v>
      </c>
      <c r="CO17" s="276">
        <f>IF(AND(CO$10&gt;='Torrance Inputs'!$I$18,CO$10&lt;='Torrance Inputs'!$R$18),0,IF(CO$10&gt;='Torrance Inputs'!$N$38,0,-CO$16))</f>
        <v>0</v>
      </c>
      <c r="CP17" s="276">
        <f>IF(AND(CP$10&gt;='Torrance Inputs'!$I$18,CP$10&lt;='Torrance Inputs'!$R$18),0,IF(CP$10&gt;='Torrance Inputs'!$N$38,0,-CP$16))</f>
        <v>0</v>
      </c>
      <c r="CQ17" s="276">
        <f>IF(AND(CQ$10&gt;='Torrance Inputs'!$I$18,CQ$10&lt;='Torrance Inputs'!$R$18),0,IF(CQ$10&gt;='Torrance Inputs'!$N$38,0,-CQ$16))</f>
        <v>0</v>
      </c>
      <c r="CR17" s="276">
        <f>IF(AND(CR$10&gt;='Torrance Inputs'!$I$18,CR$10&lt;='Torrance Inputs'!$R$18),0,IF(CR$10&gt;='Torrance Inputs'!$N$38,0,-CR$16))</f>
        <v>0</v>
      </c>
      <c r="CS17" s="276">
        <f>IF(AND(CS$10&gt;='Torrance Inputs'!$I$18,CS$10&lt;='Torrance Inputs'!$R$18),0,IF(CS$10&gt;='Torrance Inputs'!$N$38,0,-CS$16))</f>
        <v>0</v>
      </c>
      <c r="CT17" s="276">
        <f>IF(AND(CT$10&gt;='Torrance Inputs'!$I$18,CT$10&lt;='Torrance Inputs'!$R$18),0,IF(CT$10&gt;='Torrance Inputs'!$N$38,0,-CT$16))</f>
        <v>0</v>
      </c>
      <c r="CU17" s="276">
        <f>IF(AND(CU$10&gt;='Torrance Inputs'!$I$18,CU$10&lt;='Torrance Inputs'!$R$18),0,IF(CU$10&gt;='Torrance Inputs'!$N$38,0,-CU$16))</f>
        <v>0</v>
      </c>
      <c r="CV17" s="276">
        <f>IF(AND(CV$10&gt;='Torrance Inputs'!$I$18,CV$10&lt;='Torrance Inputs'!$R$18),0,IF(CV$10&gt;='Torrance Inputs'!$N$38,0,-CV$16))</f>
        <v>0</v>
      </c>
      <c r="CW17" s="276">
        <f>IF(AND(CW$10&gt;='Torrance Inputs'!$I$18,CW$10&lt;='Torrance Inputs'!$R$18),0,IF(CW$10&gt;='Torrance Inputs'!$N$38,0,-CW$16))</f>
        <v>0</v>
      </c>
      <c r="CX17" s="276">
        <f>IF(AND(CX$10&gt;='Torrance Inputs'!$I$18,CX$10&lt;='Torrance Inputs'!$R$18),0,IF(CX$10&gt;='Torrance Inputs'!$N$38,0,-CX$16))</f>
        <v>0</v>
      </c>
      <c r="CY17" s="276">
        <f>IF(AND(CY$10&gt;='Torrance Inputs'!$I$18,CY$10&lt;='Torrance Inputs'!$R$18),0,IF(CY$10&gt;='Torrance Inputs'!$N$38,0,-CY$16))</f>
        <v>0</v>
      </c>
      <c r="CZ17" s="276">
        <f>IF(AND(CZ$10&gt;='Torrance Inputs'!$I$18,CZ$10&lt;='Torrance Inputs'!$R$18),0,IF(CZ$10&gt;='Torrance Inputs'!$N$38,0,-CZ$16))</f>
        <v>0</v>
      </c>
      <c r="DA17" s="276">
        <f>IF(AND(DA$10&gt;='Torrance Inputs'!$I$18,DA$10&lt;='Torrance Inputs'!$R$18),0,IF(DA$10&gt;='Torrance Inputs'!$N$38,0,-DA$16))</f>
        <v>0</v>
      </c>
      <c r="DB17" s="276">
        <f>IF(AND(DB$10&gt;='Torrance Inputs'!$I$18,DB$10&lt;='Torrance Inputs'!$R$18),0,IF(DB$10&gt;='Torrance Inputs'!$N$38,0,-DB$16))</f>
        <v>0</v>
      </c>
      <c r="DC17" s="276">
        <f>IF(AND(DC$10&gt;='Torrance Inputs'!$I$18,DC$10&lt;='Torrance Inputs'!$R$18),0,IF(DC$10&gt;='Torrance Inputs'!$N$38,0,-DC$16))</f>
        <v>0</v>
      </c>
      <c r="DD17" s="276">
        <f>IF(AND(DD$10&gt;='Torrance Inputs'!$I$18,DD$10&lt;='Torrance Inputs'!$R$18),0,IF(DD$10&gt;='Torrance Inputs'!$N$38,0,-DD$16))</f>
        <v>0</v>
      </c>
      <c r="DE17" s="276">
        <f>IF(AND(DE$10&gt;='Torrance Inputs'!$I$18,DE$10&lt;='Torrance Inputs'!$R$18),0,IF(DE$10&gt;='Torrance Inputs'!$N$38,0,-DE$16))</f>
        <v>0</v>
      </c>
      <c r="DF17" s="276">
        <f>IF(AND(DF$10&gt;='Torrance Inputs'!$I$18,DF$10&lt;='Torrance Inputs'!$R$18),0,IF(DF$10&gt;='Torrance Inputs'!$N$38,0,-DF$16))</f>
        <v>0</v>
      </c>
      <c r="DG17" s="276">
        <f>IF(AND(DG$10&gt;='Torrance Inputs'!$I$18,DG$10&lt;='Torrance Inputs'!$R$18),0,IF(DG$10&gt;='Torrance Inputs'!$N$38,0,-DG$16))</f>
        <v>0</v>
      </c>
      <c r="DH17" s="276">
        <f>IF(AND(DH$10&gt;='Torrance Inputs'!$I$18,DH$10&lt;='Torrance Inputs'!$R$18),0,IF(DH$10&gt;='Torrance Inputs'!$N$38,0,-DH$16))</f>
        <v>0</v>
      </c>
      <c r="DI17" s="276">
        <f>IF(AND(DI$10&gt;='Torrance Inputs'!$I$18,DI$10&lt;='Torrance Inputs'!$R$18),0,IF(DI$10&gt;='Torrance Inputs'!$N$38,0,-DI$16))</f>
        <v>0</v>
      </c>
      <c r="DJ17" s="276">
        <f>IF(AND(DJ$10&gt;='Torrance Inputs'!$I$18,DJ$10&lt;='Torrance Inputs'!$R$18),0,IF(DJ$10&gt;='Torrance Inputs'!$N$38,0,-DJ$16))</f>
        <v>0</v>
      </c>
      <c r="DK17" s="276">
        <f>IF(AND(DK$10&gt;='Torrance Inputs'!$I$18,DK$10&lt;='Torrance Inputs'!$R$18),0,IF(DK$10&gt;='Torrance Inputs'!$N$38,0,-DK$16))</f>
        <v>0</v>
      </c>
      <c r="DL17" s="276">
        <f>IF(AND(DL$10&gt;='Torrance Inputs'!$I$18,DL$10&lt;='Torrance Inputs'!$R$18),0,IF(DL$10&gt;='Torrance Inputs'!$N$38,0,-DL$16))</f>
        <v>0</v>
      </c>
      <c r="DM17" s="276">
        <f>IF(AND(DM$10&gt;='Torrance Inputs'!$I$18,DM$10&lt;='Torrance Inputs'!$R$18),0,IF(DM$10&gt;='Torrance Inputs'!$N$38,0,-DM$16))</f>
        <v>0</v>
      </c>
      <c r="DN17" s="276">
        <f>IF(AND(DN$10&gt;='Torrance Inputs'!$I$18,DN$10&lt;='Torrance Inputs'!$R$18),0,IF(DN$10&gt;='Torrance Inputs'!$N$38,0,-DN$16))</f>
        <v>0</v>
      </c>
      <c r="DO17" s="276">
        <f>IF(AND(DO$10&gt;='Torrance Inputs'!$I$18,DO$10&lt;='Torrance Inputs'!$R$18),0,IF(DO$10&gt;='Torrance Inputs'!$N$38,0,-DO$16))</f>
        <v>0</v>
      </c>
      <c r="DP17" s="276">
        <f>IF(AND(DP$10&gt;='Torrance Inputs'!$I$18,DP$10&lt;='Torrance Inputs'!$R$18),0,IF(DP$10&gt;='Torrance Inputs'!$N$38,0,-DP$16))</f>
        <v>0</v>
      </c>
      <c r="DQ17" s="276">
        <f>IF(AND(DQ$10&gt;='Torrance Inputs'!$I$18,DQ$10&lt;='Torrance Inputs'!$R$18),0,IF(DQ$10&gt;='Torrance Inputs'!$N$38,0,-DQ$16))</f>
        <v>0</v>
      </c>
      <c r="DR17" s="276">
        <f>IF(AND(DR$10&gt;='Torrance Inputs'!$I$18,DR$10&lt;='Torrance Inputs'!$R$18),0,IF(DR$10&gt;='Torrance Inputs'!$N$38,0,-DR$16))</f>
        <v>0</v>
      </c>
      <c r="DS17" s="276">
        <f>IF(AND(DS$10&gt;='Torrance Inputs'!$I$18,DS$10&lt;='Torrance Inputs'!$R$18),0,IF(DS$10&gt;='Torrance Inputs'!$N$38,0,-DS$16))</f>
        <v>0</v>
      </c>
      <c r="DT17" s="276">
        <f>IF(AND(DT$10&gt;='Torrance Inputs'!$I$18,DT$10&lt;='Torrance Inputs'!$R$18),0,IF(DT$10&gt;='Torrance Inputs'!$N$38,0,-DT$16))</f>
        <v>0</v>
      </c>
      <c r="DU17" s="276">
        <f>IF(AND(DU$10&gt;='Torrance Inputs'!$I$18,DU$10&lt;='Torrance Inputs'!$R$18),0,IF(DU$10&gt;='Torrance Inputs'!$N$38,0,-DU$16))</f>
        <v>0</v>
      </c>
      <c r="DV17" s="276">
        <f>IF(AND(DV$10&gt;='Torrance Inputs'!$I$18,DV$10&lt;='Torrance Inputs'!$R$18),0,IF(DV$10&gt;='Torrance Inputs'!$N$38,0,-DV$16))</f>
        <v>0</v>
      </c>
      <c r="DW17" s="276">
        <f>IF(AND(DW$10&gt;='Torrance Inputs'!$I$18,DW$10&lt;='Torrance Inputs'!$R$18),0,IF(DW$10&gt;='Torrance Inputs'!$N$38,0,-DW$16))</f>
        <v>0</v>
      </c>
      <c r="DX17" s="276">
        <f>IF(AND(DX$10&gt;='Torrance Inputs'!$I$18,DX$10&lt;='Torrance Inputs'!$R$18),0,IF(DX$10&gt;='Torrance Inputs'!$N$38,0,-DX$16))</f>
        <v>0</v>
      </c>
      <c r="DY17" s="276">
        <f>IF(AND(DY$10&gt;='Torrance Inputs'!$I$18,DY$10&lt;='Torrance Inputs'!$R$18),0,IF(DY$10&gt;='Torrance Inputs'!$N$38,0,-DY$16))</f>
        <v>0</v>
      </c>
      <c r="DZ17" s="276">
        <f>IF(AND(DZ$10&gt;='Torrance Inputs'!$I$18,DZ$10&lt;='Torrance Inputs'!$R$18),0,IF(DZ$10&gt;='Torrance Inputs'!$N$38,0,-DZ$16))</f>
        <v>0</v>
      </c>
      <c r="EA17" s="276">
        <f>IF(AND(EA$10&gt;='Torrance Inputs'!$I$18,EA$10&lt;='Torrance Inputs'!$R$18),0,IF(EA$10&gt;='Torrance Inputs'!$N$38,0,-EA$16))</f>
        <v>0</v>
      </c>
      <c r="EB17" s="276">
        <f>IF(AND(EB$10&gt;='Torrance Inputs'!$I$18,EB$10&lt;='Torrance Inputs'!$R$18),0,IF(EB$10&gt;='Torrance Inputs'!$N$38,0,-EB$16))</f>
        <v>0</v>
      </c>
      <c r="EC17" s="276">
        <f>IF(AND(EC$10&gt;='Torrance Inputs'!$I$18,EC$10&lt;='Torrance Inputs'!$R$18),0,IF(EC$10&gt;='Torrance Inputs'!$N$38,0,-EC$16))</f>
        <v>0</v>
      </c>
      <c r="ED17" s="276">
        <f>IF(AND(ED$10&gt;='Torrance Inputs'!$I$18,ED$10&lt;='Torrance Inputs'!$R$18),0,IF(ED$10&gt;='Torrance Inputs'!$N$38,0,-ED$16))</f>
        <v>0</v>
      </c>
    </row>
    <row r="18" spans="1:134" ht="19.149999999999999" customHeight="1" x14ac:dyDescent="0.4">
      <c r="A18" s="275" t="s">
        <v>75</v>
      </c>
      <c r="B18" s="275"/>
      <c r="C18" s="276">
        <f>IF('Torrance Pro Forma'!C$9='Torrance Inputs'!$G$18,'Torrance Inputs'!$C$39,0)</f>
        <v>0</v>
      </c>
      <c r="D18" s="276">
        <f>IF('Torrance Pro Forma'!D$9='Torrance Inputs'!$G$18,'Torrance Inputs'!$C$39,0)</f>
        <v>0</v>
      </c>
      <c r="E18" s="276">
        <f>IF('Torrance Pro Forma'!E$9='Torrance Inputs'!$G$18,'Torrance Inputs'!$C$39,0)</f>
        <v>0</v>
      </c>
      <c r="F18" s="276">
        <f>IF('Torrance Pro Forma'!F$9='Torrance Inputs'!$G$18,'Torrance Inputs'!$C$39,0)</f>
        <v>0</v>
      </c>
      <c r="G18" s="276">
        <f>IF('Torrance Pro Forma'!G$9='Torrance Inputs'!$G$18,'Torrance Inputs'!$C$39,0)</f>
        <v>0</v>
      </c>
      <c r="H18" s="276">
        <f>IF('Torrance Pro Forma'!H$9='Torrance Inputs'!$G$18,'Torrance Inputs'!$C$39,0)</f>
        <v>0</v>
      </c>
      <c r="I18" s="276">
        <f>IF('Torrance Pro Forma'!I$9='Torrance Inputs'!$G$18,'Torrance Inputs'!$C$39,0)</f>
        <v>0</v>
      </c>
      <c r="J18" s="276">
        <f>IF('Torrance Pro Forma'!J$9='Torrance Inputs'!$G$18,'Torrance Inputs'!$C$39,0)</f>
        <v>0</v>
      </c>
      <c r="K18" s="276">
        <f>IF('Torrance Pro Forma'!K$9='Torrance Inputs'!$G$18,'Torrance Inputs'!$C$39,0)</f>
        <v>0</v>
      </c>
      <c r="L18" s="276">
        <f>IF('Torrance Pro Forma'!L$9='Torrance Inputs'!$G$18,'Torrance Inputs'!$C$39,0)</f>
        <v>0</v>
      </c>
      <c r="M18" s="276">
        <f>IF('Torrance Pro Forma'!M$9='Torrance Inputs'!$G$18,'Torrance Inputs'!$C$39,0)</f>
        <v>0</v>
      </c>
      <c r="N18" s="276">
        <f>IF('Torrance Pro Forma'!N$9='Torrance Inputs'!$G$18,'Torrance Inputs'!$C$39,0)</f>
        <v>0</v>
      </c>
      <c r="O18" s="276">
        <f>IF('Torrance Pro Forma'!O$9='Torrance Inputs'!$G$18,'Torrance Inputs'!$C$39,0)</f>
        <v>0</v>
      </c>
      <c r="P18" s="276">
        <f>IF('Torrance Pro Forma'!P$9='Torrance Inputs'!$G$18,'Torrance Inputs'!$C$39,0)</f>
        <v>0</v>
      </c>
      <c r="Q18" s="276">
        <f>IF('Torrance Pro Forma'!Q$9='Torrance Inputs'!$G$18,'Torrance Inputs'!$C$39,0)</f>
        <v>0</v>
      </c>
      <c r="R18" s="276">
        <f>IF('Torrance Pro Forma'!R$9='Torrance Inputs'!$G$18,'Torrance Inputs'!$C$39,0)</f>
        <v>0</v>
      </c>
      <c r="S18" s="276">
        <f>IF('Torrance Pro Forma'!S$9='Torrance Inputs'!$G$18,'Torrance Inputs'!$C$39,0)</f>
        <v>0</v>
      </c>
      <c r="T18" s="276">
        <f>IF('Torrance Pro Forma'!T$9='Torrance Inputs'!$G$18,'Torrance Inputs'!$C$39,0)</f>
        <v>0</v>
      </c>
      <c r="U18" s="276">
        <f>IF('Torrance Pro Forma'!U$9='Torrance Inputs'!$G$18,'Torrance Inputs'!$C$39,0)</f>
        <v>0</v>
      </c>
      <c r="V18" s="276">
        <f>IF('Torrance Pro Forma'!V$9='Torrance Inputs'!$G$18,'Torrance Inputs'!$C$39,0)</f>
        <v>0</v>
      </c>
      <c r="W18" s="276">
        <f>IF('Torrance Pro Forma'!W$9='Torrance Inputs'!$G$18,'Torrance Inputs'!$C$39,0)</f>
        <v>0</v>
      </c>
      <c r="X18" s="276">
        <f>IF('Torrance Pro Forma'!X$9='Torrance Inputs'!$G$18,'Torrance Inputs'!$C$39,0)</f>
        <v>0</v>
      </c>
      <c r="Y18" s="276">
        <f>IF('Torrance Pro Forma'!Y$9='Torrance Inputs'!$G$18,'Torrance Inputs'!$C$39,0)</f>
        <v>0</v>
      </c>
      <c r="Z18" s="276">
        <f>IF('Torrance Pro Forma'!Z$9='Torrance Inputs'!$G$18,'Torrance Inputs'!$C$39,0)</f>
        <v>0</v>
      </c>
      <c r="AA18" s="276">
        <f>IF('Torrance Pro Forma'!AA$9='Torrance Inputs'!$G$18,'Torrance Inputs'!$C$39,0)</f>
        <v>0</v>
      </c>
      <c r="AB18" s="276">
        <f>IF('Torrance Pro Forma'!AB$9='Torrance Inputs'!$G$18,'Torrance Inputs'!$C$39,0)</f>
        <v>0</v>
      </c>
      <c r="AC18" s="276">
        <f>IF('Torrance Pro Forma'!AC$9='Torrance Inputs'!$G$18,'Torrance Inputs'!$C$39,0)</f>
        <v>0</v>
      </c>
      <c r="AD18" s="276">
        <f>IF('Torrance Pro Forma'!AD$9='Torrance Inputs'!$G$18,'Torrance Inputs'!$C$39,0)</f>
        <v>0</v>
      </c>
      <c r="AE18" s="276">
        <f>IF('Torrance Pro Forma'!AE$9='Torrance Inputs'!$G$18,'Torrance Inputs'!$C$39,0)</f>
        <v>0</v>
      </c>
      <c r="AF18" s="276">
        <f>IF('Torrance Pro Forma'!AF$9='Torrance Inputs'!$G$18,'Torrance Inputs'!$C$39,0)</f>
        <v>0</v>
      </c>
      <c r="AG18" s="276">
        <f>IF('Torrance Pro Forma'!AG$9='Torrance Inputs'!$G$18,'Torrance Inputs'!$C$39,0)</f>
        <v>0</v>
      </c>
      <c r="AH18" s="276">
        <f>IF('Torrance Pro Forma'!AH$9='Torrance Inputs'!$G$18,'Torrance Inputs'!$C$39,0)</f>
        <v>0</v>
      </c>
      <c r="AI18" s="276">
        <f>IF('Torrance Pro Forma'!AI$9='Torrance Inputs'!$G$18,'Torrance Inputs'!$C$39,0)</f>
        <v>0</v>
      </c>
      <c r="AJ18" s="276">
        <f>IF('Torrance Pro Forma'!AJ$9='Torrance Inputs'!$G$18,'Torrance Inputs'!$C$39,0)</f>
        <v>0</v>
      </c>
      <c r="AK18" s="276">
        <f>IF('Torrance Pro Forma'!AK$9='Torrance Inputs'!$G$18,'Torrance Inputs'!$C$39,0)</f>
        <v>0</v>
      </c>
      <c r="AL18" s="276">
        <f>IF('Torrance Pro Forma'!AL$9='Torrance Inputs'!$G$18,'Torrance Inputs'!$C$39,0)</f>
        <v>0</v>
      </c>
      <c r="AM18" s="276">
        <f>IF('Torrance Pro Forma'!AM$9='Torrance Inputs'!$G$18,'Torrance Inputs'!$C$39,0)</f>
        <v>0</v>
      </c>
      <c r="AN18" s="276">
        <f>IF('Torrance Pro Forma'!AN$9='Torrance Inputs'!$G$18,'Torrance Inputs'!$C$39,0)</f>
        <v>0</v>
      </c>
      <c r="AO18" s="276">
        <f>IF('Torrance Pro Forma'!AO$9='Torrance Inputs'!$G$18,'Torrance Inputs'!$C$39,0)</f>
        <v>0</v>
      </c>
      <c r="AP18" s="276">
        <f>IF('Torrance Pro Forma'!AP$9='Torrance Inputs'!$G$18,'Torrance Inputs'!$C$39,0)</f>
        <v>0</v>
      </c>
      <c r="AQ18" s="276">
        <f>IF('Torrance Pro Forma'!AQ$9='Torrance Inputs'!$G$18,'Torrance Inputs'!$C$39,0)</f>
        <v>0</v>
      </c>
      <c r="AR18" s="276">
        <f>IF('Torrance Pro Forma'!AR$9='Torrance Inputs'!$G$18,'Torrance Inputs'!$C$39,0)</f>
        <v>0</v>
      </c>
      <c r="AS18" s="276">
        <f>IF('Torrance Pro Forma'!AS$9='Torrance Inputs'!$G$18,'Torrance Inputs'!$C$39,0)</f>
        <v>0</v>
      </c>
      <c r="AT18" s="276">
        <f>IF('Torrance Pro Forma'!AT$9='Torrance Inputs'!$G$18,'Torrance Inputs'!$C$39,0)</f>
        <v>0</v>
      </c>
      <c r="AU18" s="276">
        <f>IF('Torrance Pro Forma'!AU$9='Torrance Inputs'!$G$18,'Torrance Inputs'!$C$39,0)</f>
        <v>0</v>
      </c>
      <c r="AV18" s="276">
        <f>IF('Torrance Pro Forma'!AV$9='Torrance Inputs'!$G$18,'Torrance Inputs'!$C$39,0)</f>
        <v>0</v>
      </c>
      <c r="AW18" s="276">
        <f>IF('Torrance Pro Forma'!AW$9='Torrance Inputs'!$G$18,'Torrance Inputs'!$C$39,0)</f>
        <v>0</v>
      </c>
      <c r="AX18" s="276">
        <f>IF('Torrance Pro Forma'!AX$9='Torrance Inputs'!$G$18,'Torrance Inputs'!$C$39,0)</f>
        <v>0</v>
      </c>
      <c r="AY18" s="276">
        <f>IF('Torrance Pro Forma'!AY$9='Torrance Inputs'!$G$18,'Torrance Inputs'!$C$39,0)</f>
        <v>0</v>
      </c>
      <c r="AZ18" s="276">
        <f>IF('Torrance Pro Forma'!AZ$9='Torrance Inputs'!$G$18,'Torrance Inputs'!$C$39,0)</f>
        <v>0</v>
      </c>
      <c r="BA18" s="276">
        <f>IF('Torrance Pro Forma'!BA$9='Torrance Inputs'!$G$18,'Torrance Inputs'!$C$39,0)</f>
        <v>0</v>
      </c>
      <c r="BB18" s="276">
        <f>IF('Torrance Pro Forma'!BB$9='Torrance Inputs'!$G$18,'Torrance Inputs'!$C$39,0)</f>
        <v>0</v>
      </c>
      <c r="BC18" s="276">
        <f>IF('Torrance Pro Forma'!BC$9='Torrance Inputs'!$G$18,'Torrance Inputs'!$C$39,0)</f>
        <v>0</v>
      </c>
      <c r="BD18" s="276">
        <f>IF('Torrance Pro Forma'!BD$9='Torrance Inputs'!$G$18,'Torrance Inputs'!$C$39,0)</f>
        <v>0</v>
      </c>
      <c r="BE18" s="276">
        <f>IF('Torrance Pro Forma'!BE$9='Torrance Inputs'!$G$18,'Torrance Inputs'!$C$39,0)</f>
        <v>0</v>
      </c>
      <c r="BF18" s="276">
        <f>IF('Torrance Pro Forma'!BF$9='Torrance Inputs'!$G$18,'Torrance Inputs'!$C$39,0)</f>
        <v>0</v>
      </c>
      <c r="BG18" s="276">
        <f>IF('Torrance Pro Forma'!BG$9='Torrance Inputs'!$G$18,'Torrance Inputs'!$C$39,0)</f>
        <v>0</v>
      </c>
      <c r="BH18" s="276">
        <f>IF('Torrance Pro Forma'!BH$9='Torrance Inputs'!$G$18,'Torrance Inputs'!$C$39,0)</f>
        <v>0</v>
      </c>
      <c r="BI18" s="276">
        <f>IF('Torrance Pro Forma'!BI$9='Torrance Inputs'!$G$18,'Torrance Inputs'!$C$39,0)</f>
        <v>0</v>
      </c>
      <c r="BJ18" s="276">
        <f>IF('Torrance Pro Forma'!BJ$9='Torrance Inputs'!$G$18,'Torrance Inputs'!$C$39,0)</f>
        <v>0</v>
      </c>
      <c r="BK18" s="276">
        <f>IF('Torrance Pro Forma'!BK$9='Torrance Inputs'!$G$18,'Torrance Inputs'!$C$39,0)</f>
        <v>504166.66666666669</v>
      </c>
      <c r="BL18" s="276">
        <f>IF('Torrance Pro Forma'!BL$9='Torrance Inputs'!$G$18,'Torrance Inputs'!$C$39,0)</f>
        <v>0</v>
      </c>
      <c r="BM18" s="276">
        <f>IF('Torrance Pro Forma'!BM$9='Torrance Inputs'!$G$18,'Torrance Inputs'!$C$39,0)</f>
        <v>0</v>
      </c>
      <c r="BN18" s="276">
        <f>IF('Torrance Pro Forma'!BN$9='Torrance Inputs'!$G$18,'Torrance Inputs'!$C$39,0)</f>
        <v>0</v>
      </c>
      <c r="BO18" s="276">
        <f>IF('Torrance Pro Forma'!BO$9='Torrance Inputs'!$G$18,'Torrance Inputs'!$C$39,0)</f>
        <v>0</v>
      </c>
      <c r="BP18" s="276">
        <f>IF('Torrance Pro Forma'!BP$9='Torrance Inputs'!$G$18,'Torrance Inputs'!$C$39,0)</f>
        <v>0</v>
      </c>
      <c r="BQ18" s="276">
        <f>IF('Torrance Pro Forma'!BQ$9='Torrance Inputs'!$G$18,'Torrance Inputs'!$C$39,0)</f>
        <v>0</v>
      </c>
      <c r="BR18" s="276">
        <f>IF('Torrance Pro Forma'!BR$9='Torrance Inputs'!$G$18,'Torrance Inputs'!$C$39,0)</f>
        <v>0</v>
      </c>
      <c r="BS18" s="276">
        <f>IF('Torrance Pro Forma'!BS$9='Torrance Inputs'!$G$18,'Torrance Inputs'!$C$39,0)</f>
        <v>0</v>
      </c>
      <c r="BT18" s="276">
        <f>IF('Torrance Pro Forma'!BT$9='Torrance Inputs'!$G$18,'Torrance Inputs'!$C$39,0)</f>
        <v>0</v>
      </c>
      <c r="BU18" s="276">
        <f>IF('Torrance Pro Forma'!BU$9='Torrance Inputs'!$G$18,'Torrance Inputs'!$C$39,0)</f>
        <v>0</v>
      </c>
      <c r="BV18" s="276">
        <f>IF('Torrance Pro Forma'!BV$9='Torrance Inputs'!$G$18,'Torrance Inputs'!$C$39,0)</f>
        <v>0</v>
      </c>
      <c r="BW18" s="276">
        <f>IF('Torrance Pro Forma'!BW$9='Torrance Inputs'!$G$18,'Torrance Inputs'!$C$39,0)</f>
        <v>0</v>
      </c>
      <c r="BX18" s="276">
        <f>IF('Torrance Pro Forma'!BX$9='Torrance Inputs'!$G$18,'Torrance Inputs'!$C$39,0)</f>
        <v>0</v>
      </c>
      <c r="BY18" s="276">
        <f>IF('Torrance Pro Forma'!BY$9='Torrance Inputs'!$G$18,'Torrance Inputs'!$C$39,0)</f>
        <v>0</v>
      </c>
      <c r="BZ18" s="276">
        <f>IF('Torrance Pro Forma'!BZ$9='Torrance Inputs'!$G$18,'Torrance Inputs'!$C$39,0)</f>
        <v>0</v>
      </c>
      <c r="CA18" s="276">
        <f>IF('Torrance Pro Forma'!CA$9='Torrance Inputs'!$G$18,'Torrance Inputs'!$C$39,0)</f>
        <v>0</v>
      </c>
      <c r="CB18" s="276">
        <f>IF('Torrance Pro Forma'!CB$9='Torrance Inputs'!$G$18,'Torrance Inputs'!$C$39,0)</f>
        <v>0</v>
      </c>
      <c r="CC18" s="276">
        <f>IF('Torrance Pro Forma'!CC$9='Torrance Inputs'!$G$18,'Torrance Inputs'!$C$39,0)</f>
        <v>0</v>
      </c>
      <c r="CD18" s="276">
        <f>IF('Torrance Pro Forma'!CD$9='Torrance Inputs'!$G$18,'Torrance Inputs'!$C$39,0)</f>
        <v>0</v>
      </c>
      <c r="CE18" s="276">
        <f>IF('Torrance Pro Forma'!CE$9='Torrance Inputs'!$G$18,'Torrance Inputs'!$C$39,0)</f>
        <v>0</v>
      </c>
      <c r="CF18" s="276">
        <f>IF('Torrance Pro Forma'!CF$9='Torrance Inputs'!$G$18,'Torrance Inputs'!$C$39,0)</f>
        <v>0</v>
      </c>
      <c r="CG18" s="276">
        <f>IF('Torrance Pro Forma'!CG$9='Torrance Inputs'!$G$18,'Torrance Inputs'!$C$39,0)</f>
        <v>0</v>
      </c>
      <c r="CH18" s="276">
        <f>IF('Torrance Pro Forma'!CH$9='Torrance Inputs'!$G$18,'Torrance Inputs'!$C$39,0)</f>
        <v>0</v>
      </c>
      <c r="CI18" s="276">
        <f>IF('Torrance Pro Forma'!CI$9='Torrance Inputs'!$G$18,'Torrance Inputs'!$C$39,0)</f>
        <v>0</v>
      </c>
      <c r="CJ18" s="276">
        <f>IF('Torrance Pro Forma'!CJ$9='Torrance Inputs'!$G$18,'Torrance Inputs'!$C$39,0)</f>
        <v>0</v>
      </c>
      <c r="CK18" s="276">
        <f>IF('Torrance Pro Forma'!CK$9='Torrance Inputs'!$G$18,'Torrance Inputs'!$C$39,0)</f>
        <v>0</v>
      </c>
      <c r="CL18" s="276">
        <f>IF('Torrance Pro Forma'!CL$9='Torrance Inputs'!$G$18,'Torrance Inputs'!$C$39,0)</f>
        <v>0</v>
      </c>
      <c r="CM18" s="276">
        <f>IF('Torrance Pro Forma'!CM$9='Torrance Inputs'!$G$18,'Torrance Inputs'!$C$39,0)</f>
        <v>0</v>
      </c>
      <c r="CN18" s="276">
        <f>IF('Torrance Pro Forma'!CN$9='Torrance Inputs'!$G$18,'Torrance Inputs'!$C$39,0)</f>
        <v>0</v>
      </c>
      <c r="CO18" s="276">
        <f>IF('Torrance Pro Forma'!CO$9='Torrance Inputs'!$G$18,'Torrance Inputs'!$C$39,0)</f>
        <v>0</v>
      </c>
      <c r="CP18" s="276">
        <f>IF('Torrance Pro Forma'!CP$9='Torrance Inputs'!$G$18,'Torrance Inputs'!$C$39,0)</f>
        <v>0</v>
      </c>
      <c r="CQ18" s="276">
        <f>IF('Torrance Pro Forma'!CQ$9='Torrance Inputs'!$G$18,'Torrance Inputs'!$C$39,0)</f>
        <v>0</v>
      </c>
      <c r="CR18" s="276">
        <f>IF('Torrance Pro Forma'!CR$9='Torrance Inputs'!$G$18,'Torrance Inputs'!$C$39,0)</f>
        <v>0</v>
      </c>
      <c r="CS18" s="276">
        <f>IF('Torrance Pro Forma'!CS$9='Torrance Inputs'!$G$18,'Torrance Inputs'!$C$39,0)</f>
        <v>0</v>
      </c>
      <c r="CT18" s="276">
        <f>IF('Torrance Pro Forma'!CT$9='Torrance Inputs'!$G$18,'Torrance Inputs'!$C$39,0)</f>
        <v>0</v>
      </c>
      <c r="CU18" s="276">
        <f>IF('Torrance Pro Forma'!CU$9='Torrance Inputs'!$G$18,'Torrance Inputs'!$C$39,0)</f>
        <v>0</v>
      </c>
      <c r="CV18" s="276">
        <f>IF('Torrance Pro Forma'!CV$9='Torrance Inputs'!$G$18,'Torrance Inputs'!$C$39,0)</f>
        <v>0</v>
      </c>
      <c r="CW18" s="276">
        <f>IF('Torrance Pro Forma'!CW$9='Torrance Inputs'!$G$18,'Torrance Inputs'!$C$39,0)</f>
        <v>0</v>
      </c>
      <c r="CX18" s="276">
        <f>IF('Torrance Pro Forma'!CX$9='Torrance Inputs'!$G$18,'Torrance Inputs'!$C$39,0)</f>
        <v>0</v>
      </c>
      <c r="CY18" s="276">
        <f>IF('Torrance Pro Forma'!CY$9='Torrance Inputs'!$G$18,'Torrance Inputs'!$C$39,0)</f>
        <v>0</v>
      </c>
      <c r="CZ18" s="276">
        <f>IF('Torrance Pro Forma'!CZ$9='Torrance Inputs'!$G$18,'Torrance Inputs'!$C$39,0)</f>
        <v>0</v>
      </c>
      <c r="DA18" s="276">
        <f>IF('Torrance Pro Forma'!DA$9='Torrance Inputs'!$G$18,'Torrance Inputs'!$C$39,0)</f>
        <v>0</v>
      </c>
      <c r="DB18" s="276">
        <f>IF('Torrance Pro Forma'!DB$9='Torrance Inputs'!$G$18,'Torrance Inputs'!$C$39,0)</f>
        <v>0</v>
      </c>
      <c r="DC18" s="276">
        <f>IF('Torrance Pro Forma'!DC$9='Torrance Inputs'!$G$18,'Torrance Inputs'!$C$39,0)</f>
        <v>0</v>
      </c>
      <c r="DD18" s="276">
        <f>IF('Torrance Pro Forma'!DD$9='Torrance Inputs'!$G$18,'Torrance Inputs'!$C$39,0)</f>
        <v>0</v>
      </c>
      <c r="DE18" s="276">
        <f>IF('Torrance Pro Forma'!DE$9='Torrance Inputs'!$G$18,'Torrance Inputs'!$C$39,0)</f>
        <v>0</v>
      </c>
      <c r="DF18" s="276">
        <f>IF('Torrance Pro Forma'!DF$9='Torrance Inputs'!$G$18,'Torrance Inputs'!$C$39,0)</f>
        <v>0</v>
      </c>
      <c r="DG18" s="276">
        <f>IF('Torrance Pro Forma'!DG$9='Torrance Inputs'!$G$18,'Torrance Inputs'!$C$39,0)</f>
        <v>0</v>
      </c>
      <c r="DH18" s="276">
        <f>IF('Torrance Pro Forma'!DH$9='Torrance Inputs'!$G$18,'Torrance Inputs'!$C$39,0)</f>
        <v>0</v>
      </c>
      <c r="DI18" s="276">
        <f>IF('Torrance Pro Forma'!DI$9='Torrance Inputs'!$G$18,'Torrance Inputs'!$C$39,0)</f>
        <v>0</v>
      </c>
      <c r="DJ18" s="276">
        <f>IF('Torrance Pro Forma'!DJ$9='Torrance Inputs'!$G$18,'Torrance Inputs'!$C$39,0)</f>
        <v>0</v>
      </c>
      <c r="DK18" s="276">
        <f>IF('Torrance Pro Forma'!DK$9='Torrance Inputs'!$G$18,'Torrance Inputs'!$C$39,0)</f>
        <v>0</v>
      </c>
      <c r="DL18" s="276">
        <f>IF('Torrance Pro Forma'!DL$9='Torrance Inputs'!$G$18,'Torrance Inputs'!$C$39,0)</f>
        <v>0</v>
      </c>
      <c r="DM18" s="276">
        <f>IF('Torrance Pro Forma'!DM$9='Torrance Inputs'!$G$18,'Torrance Inputs'!$C$39,0)</f>
        <v>0</v>
      </c>
      <c r="DN18" s="276">
        <f>IF('Torrance Pro Forma'!DN$9='Torrance Inputs'!$G$18,'Torrance Inputs'!$C$39,0)</f>
        <v>0</v>
      </c>
      <c r="DO18" s="276">
        <f>IF('Torrance Pro Forma'!DO$9='Torrance Inputs'!$G$18,'Torrance Inputs'!$C$39,0)</f>
        <v>0</v>
      </c>
      <c r="DP18" s="276">
        <f>IF('Torrance Pro Forma'!DP$9='Torrance Inputs'!$G$18,'Torrance Inputs'!$C$39,0)</f>
        <v>0</v>
      </c>
      <c r="DQ18" s="276">
        <f>IF('Torrance Pro Forma'!DQ$9='Torrance Inputs'!$G$18,'Torrance Inputs'!$C$39,0)</f>
        <v>0</v>
      </c>
      <c r="DR18" s="276">
        <f>IF('Torrance Pro Forma'!DR$9='Torrance Inputs'!$G$18,'Torrance Inputs'!$C$39,0)</f>
        <v>0</v>
      </c>
      <c r="DS18" s="276">
        <f>IF('Torrance Pro Forma'!DS$9='Torrance Inputs'!$G$18,'Torrance Inputs'!$C$39,0)</f>
        <v>0</v>
      </c>
      <c r="DT18" s="276">
        <f>IF('Torrance Pro Forma'!DT$9='Torrance Inputs'!$G$18,'Torrance Inputs'!$C$39,0)</f>
        <v>0</v>
      </c>
      <c r="DU18" s="276">
        <f>IF('Torrance Pro Forma'!DU$9='Torrance Inputs'!$G$18,'Torrance Inputs'!$C$39,0)</f>
        <v>0</v>
      </c>
      <c r="DV18" s="276">
        <f>IF('Torrance Pro Forma'!DV$9='Torrance Inputs'!$G$18,'Torrance Inputs'!$C$39,0)</f>
        <v>0</v>
      </c>
      <c r="DW18" s="276">
        <f>IF('Torrance Pro Forma'!DW$9='Torrance Inputs'!$G$18,'Torrance Inputs'!$C$39,0)</f>
        <v>0</v>
      </c>
      <c r="DX18" s="276">
        <f>IF('Torrance Pro Forma'!DX$9='Torrance Inputs'!$G$18,'Torrance Inputs'!$C$39,0)</f>
        <v>0</v>
      </c>
      <c r="DY18" s="276">
        <f>IF('Torrance Pro Forma'!DY$9='Torrance Inputs'!$G$18,'Torrance Inputs'!$C$39,0)</f>
        <v>0</v>
      </c>
      <c r="DZ18" s="276">
        <f>IF('Torrance Pro Forma'!DZ$9='Torrance Inputs'!$G$18,'Torrance Inputs'!$C$39,0)</f>
        <v>0</v>
      </c>
      <c r="EA18" s="276">
        <f>IF('Torrance Pro Forma'!EA$9='Torrance Inputs'!$G$18,'Torrance Inputs'!$C$39,0)</f>
        <v>0</v>
      </c>
      <c r="EB18" s="276">
        <f>IF('Torrance Pro Forma'!EB$9='Torrance Inputs'!$G$18,'Torrance Inputs'!$C$39,0)</f>
        <v>0</v>
      </c>
      <c r="EC18" s="276">
        <f>IF('Torrance Pro Forma'!EC$9='Torrance Inputs'!$G$18,'Torrance Inputs'!$C$39,0)</f>
        <v>0</v>
      </c>
      <c r="ED18" s="276">
        <f>IF('Torrance Pro Forma'!ED$9='Torrance Inputs'!$G$18,'Torrance Inputs'!$C$39,0)</f>
        <v>0</v>
      </c>
    </row>
    <row r="19" spans="1:134" ht="19.149999999999999" customHeight="1" x14ac:dyDescent="0.4">
      <c r="A19" s="275" t="s">
        <v>209</v>
      </c>
      <c r="B19" s="275"/>
      <c r="C19" s="263">
        <f>-IF(AND(C$10&gt;='Torrance Inputs'!$I$18,C$10&lt;'Torrance Inputs'!$R$18),('Torrance Inputs'!$D$37*'Torrance Inputs'!$H$22)/DATEDIF('Torrance Inputs'!$I$18,'Torrance Inputs'!$R$18,"m"),0)</f>
        <v>0</v>
      </c>
      <c r="D19" s="263">
        <f>-IF(AND(D$10&gt;='Torrance Inputs'!$I$18,D$10&lt;'Torrance Inputs'!$R$18),('Torrance Inputs'!$D$37*'Torrance Inputs'!$H$22)/DATEDIF('Torrance Inputs'!$I$18,'Torrance Inputs'!$R$18,"m"),0)</f>
        <v>0</v>
      </c>
      <c r="E19" s="263">
        <f>-IF(AND(E$10&gt;='Torrance Inputs'!$I$18,E$10&lt;'Torrance Inputs'!$R$18),('Torrance Inputs'!$D$37*'Torrance Inputs'!$H$22)/DATEDIF('Torrance Inputs'!$I$18,'Torrance Inputs'!$R$18,"m"),0)</f>
        <v>0</v>
      </c>
      <c r="F19" s="263">
        <f>-IF(AND(F$10&gt;='Torrance Inputs'!$I$18,F$10&lt;'Torrance Inputs'!$R$18),('Torrance Inputs'!$D$37*'Torrance Inputs'!$H$22)/DATEDIF('Torrance Inputs'!$I$18,'Torrance Inputs'!$R$18,"m"),0)</f>
        <v>0</v>
      </c>
      <c r="G19" s="263">
        <f>-IF(AND(G$10&gt;='Torrance Inputs'!$I$18,G$10&lt;'Torrance Inputs'!$R$18),('Torrance Inputs'!$D$37*'Torrance Inputs'!$H$22)/DATEDIF('Torrance Inputs'!$I$18,'Torrance Inputs'!$R$18,"m"),0)</f>
        <v>0</v>
      </c>
      <c r="H19" s="263">
        <f>-IF(AND(H$10&gt;='Torrance Inputs'!$I$18,H$10&lt;'Torrance Inputs'!$R$18),('Torrance Inputs'!$D$37*'Torrance Inputs'!$H$22)/DATEDIF('Torrance Inputs'!$I$18,'Torrance Inputs'!$R$18,"m"),0)</f>
        <v>0</v>
      </c>
      <c r="I19" s="263">
        <f>-IF(AND(I$10&gt;='Torrance Inputs'!$I$18,I$10&lt;'Torrance Inputs'!$R$18),('Torrance Inputs'!$D$37*'Torrance Inputs'!$H$22)/DATEDIF('Torrance Inputs'!$I$18,'Torrance Inputs'!$R$18,"m"),0)</f>
        <v>0</v>
      </c>
      <c r="J19" s="263">
        <f>-IF(AND(J$10&gt;='Torrance Inputs'!$I$18,J$10&lt;'Torrance Inputs'!$R$18),('Torrance Inputs'!$D$37*'Torrance Inputs'!$H$22)/DATEDIF('Torrance Inputs'!$I$18,'Torrance Inputs'!$R$18,"m"),0)</f>
        <v>0</v>
      </c>
      <c r="K19" s="263">
        <f>-IF(AND(K$10&gt;='Torrance Inputs'!$I$18,K$10&lt;'Torrance Inputs'!$R$18),('Torrance Inputs'!$D$37*'Torrance Inputs'!$H$22)/DATEDIF('Torrance Inputs'!$I$18,'Torrance Inputs'!$R$18,"m"),0)</f>
        <v>0</v>
      </c>
      <c r="L19" s="263">
        <f>-IF(AND(L$10&gt;='Torrance Inputs'!$I$18,L$10&lt;'Torrance Inputs'!$R$18),('Torrance Inputs'!$D$37*'Torrance Inputs'!$H$22)/DATEDIF('Torrance Inputs'!$I$18,'Torrance Inputs'!$R$18,"m"),0)</f>
        <v>0</v>
      </c>
      <c r="M19" s="263">
        <f>-IF(AND(M$10&gt;='Torrance Inputs'!$I$18,M$10&lt;'Torrance Inputs'!$R$18),('Torrance Inputs'!$D$37*'Torrance Inputs'!$H$22)/DATEDIF('Torrance Inputs'!$I$18,'Torrance Inputs'!$R$18,"m"),0)</f>
        <v>0</v>
      </c>
      <c r="N19" s="263">
        <f>-IF(AND(N$10&gt;='Torrance Inputs'!$I$18,N$10&lt;'Torrance Inputs'!$R$18),('Torrance Inputs'!$D$37*'Torrance Inputs'!$H$22)/DATEDIF('Torrance Inputs'!$I$18,'Torrance Inputs'!$R$18,"m"),0)</f>
        <v>0</v>
      </c>
      <c r="O19" s="263">
        <f>-IF(AND(O$10&gt;='Torrance Inputs'!$I$18,O$10&lt;'Torrance Inputs'!$R$18),('Torrance Inputs'!$D$37*'Torrance Inputs'!$H$22)/DATEDIF('Torrance Inputs'!$I$18,'Torrance Inputs'!$R$18,"m"),0)</f>
        <v>0</v>
      </c>
      <c r="P19" s="263">
        <f>-IF(AND(P$10&gt;='Torrance Inputs'!$I$18,P$10&lt;'Torrance Inputs'!$R$18),('Torrance Inputs'!$D$37*'Torrance Inputs'!$H$22)/DATEDIF('Torrance Inputs'!$I$18,'Torrance Inputs'!$R$18,"m"),0)</f>
        <v>0</v>
      </c>
      <c r="Q19" s="263">
        <f>-IF(AND(Q$10&gt;='Torrance Inputs'!$I$18,Q$10&lt;'Torrance Inputs'!$R$18),('Torrance Inputs'!$D$37*'Torrance Inputs'!$H$22)/DATEDIF('Torrance Inputs'!$I$18,'Torrance Inputs'!$R$18,"m"),0)</f>
        <v>0</v>
      </c>
      <c r="R19" s="263">
        <f>-IF(AND(R$10&gt;='Torrance Inputs'!$I$18,R$10&lt;'Torrance Inputs'!$R$18),('Torrance Inputs'!$D$37*'Torrance Inputs'!$H$22)/DATEDIF('Torrance Inputs'!$I$18,'Torrance Inputs'!$R$18,"m"),0)</f>
        <v>0</v>
      </c>
      <c r="S19" s="263">
        <f>-IF(AND(S$10&gt;='Torrance Inputs'!$I$18,S$10&lt;'Torrance Inputs'!$R$18),('Torrance Inputs'!$D$37*'Torrance Inputs'!$H$22)/DATEDIF('Torrance Inputs'!$I$18,'Torrance Inputs'!$R$18,"m"),0)</f>
        <v>0</v>
      </c>
      <c r="T19" s="263">
        <f>-IF(AND(T$10&gt;='Torrance Inputs'!$I$18,T$10&lt;'Torrance Inputs'!$R$18),('Torrance Inputs'!$D$37*'Torrance Inputs'!$H$22)/DATEDIF('Torrance Inputs'!$I$18,'Torrance Inputs'!$R$18,"m"),0)</f>
        <v>0</v>
      </c>
      <c r="U19" s="263">
        <f>-IF(AND(U$10&gt;='Torrance Inputs'!$I$18,U$10&lt;'Torrance Inputs'!$R$18),('Torrance Inputs'!$D$37*'Torrance Inputs'!$H$22)/DATEDIF('Torrance Inputs'!$I$18,'Torrance Inputs'!$R$18,"m"),0)</f>
        <v>0</v>
      </c>
      <c r="V19" s="263">
        <f>-IF(AND(V$10&gt;='Torrance Inputs'!$I$18,V$10&lt;'Torrance Inputs'!$R$18),('Torrance Inputs'!$D$37*'Torrance Inputs'!$H$22)/DATEDIF('Torrance Inputs'!$I$18,'Torrance Inputs'!$R$18,"m"),0)</f>
        <v>0</v>
      </c>
      <c r="W19" s="263">
        <f>-IF(AND(W$10&gt;='Torrance Inputs'!$I$18,W$10&lt;'Torrance Inputs'!$R$18),('Torrance Inputs'!$D$37*'Torrance Inputs'!$H$22)/DATEDIF('Torrance Inputs'!$I$18,'Torrance Inputs'!$R$18,"m"),0)</f>
        <v>0</v>
      </c>
      <c r="X19" s="263">
        <f>-IF(AND(X$10&gt;='Torrance Inputs'!$I$18,X$10&lt;'Torrance Inputs'!$R$18),('Torrance Inputs'!$D$37*'Torrance Inputs'!$H$22)/DATEDIF('Torrance Inputs'!$I$18,'Torrance Inputs'!$R$18,"m"),0)</f>
        <v>0</v>
      </c>
      <c r="Y19" s="263">
        <f>-IF(AND(Y$10&gt;='Torrance Inputs'!$I$18,Y$10&lt;'Torrance Inputs'!$R$18),('Torrance Inputs'!$D$37*'Torrance Inputs'!$H$22)/DATEDIF('Torrance Inputs'!$I$18,'Torrance Inputs'!$R$18,"m"),0)</f>
        <v>0</v>
      </c>
      <c r="Z19" s="263">
        <f>-IF(AND(Z$10&gt;='Torrance Inputs'!$I$18,Z$10&lt;'Torrance Inputs'!$R$18),('Torrance Inputs'!$D$37*'Torrance Inputs'!$H$22)/DATEDIF('Torrance Inputs'!$I$18,'Torrance Inputs'!$R$18,"m"),0)</f>
        <v>0</v>
      </c>
      <c r="AA19" s="263">
        <f>-IF(AND(AA$10&gt;='Torrance Inputs'!$I$18,AA$10&lt;'Torrance Inputs'!$R$18),('Torrance Inputs'!$D$37*'Torrance Inputs'!$H$22)/DATEDIF('Torrance Inputs'!$I$18,'Torrance Inputs'!$R$18,"m"),0)</f>
        <v>0</v>
      </c>
      <c r="AB19" s="263">
        <f>-IF(AND(AB$10&gt;='Torrance Inputs'!$I$18,AB$10&lt;'Torrance Inputs'!$R$18),('Torrance Inputs'!$D$37*'Torrance Inputs'!$H$22)/DATEDIF('Torrance Inputs'!$I$18,'Torrance Inputs'!$R$18,"m"),0)</f>
        <v>0</v>
      </c>
      <c r="AC19" s="263">
        <f>-IF(AND(AC$10&gt;='Torrance Inputs'!$I$18,AC$10&lt;'Torrance Inputs'!$R$18),('Torrance Inputs'!$D$37*'Torrance Inputs'!$H$22)/DATEDIF('Torrance Inputs'!$I$18,'Torrance Inputs'!$R$18,"m"),0)</f>
        <v>0</v>
      </c>
      <c r="AD19" s="263">
        <f>-IF(AND(AD$10&gt;='Torrance Inputs'!$I$18,AD$10&lt;'Torrance Inputs'!$R$18),('Torrance Inputs'!$D$37*'Torrance Inputs'!$H$22)/DATEDIF('Torrance Inputs'!$I$18,'Torrance Inputs'!$R$18,"m"),0)</f>
        <v>0</v>
      </c>
      <c r="AE19" s="263">
        <f>-IF(AND(AE$10&gt;='Torrance Inputs'!$I$18,AE$10&lt;'Torrance Inputs'!$R$18),('Torrance Inputs'!$D$37*'Torrance Inputs'!$H$22)/DATEDIF('Torrance Inputs'!$I$18,'Torrance Inputs'!$R$18,"m"),0)</f>
        <v>0</v>
      </c>
      <c r="AF19" s="263">
        <f>-IF(AND(AF$10&gt;='Torrance Inputs'!$I$18,AF$10&lt;'Torrance Inputs'!$R$18),('Torrance Inputs'!$D$37*'Torrance Inputs'!$H$22)/DATEDIF('Torrance Inputs'!$I$18,'Torrance Inputs'!$R$18,"m"),0)</f>
        <v>0</v>
      </c>
      <c r="AG19" s="263">
        <f>-IF(AND(AG$10&gt;='Torrance Inputs'!$I$18,AG$10&lt;'Torrance Inputs'!$R$18),('Torrance Inputs'!$D$37*'Torrance Inputs'!$H$22)/DATEDIF('Torrance Inputs'!$I$18,'Torrance Inputs'!$R$18,"m"),0)</f>
        <v>0</v>
      </c>
      <c r="AH19" s="263">
        <f>-IF(AND(AH$10&gt;='Torrance Inputs'!$I$18,AH$10&lt;'Torrance Inputs'!$R$18),('Torrance Inputs'!$D$37*'Torrance Inputs'!$H$22)/DATEDIF('Torrance Inputs'!$I$18,'Torrance Inputs'!$R$18,"m"),0)</f>
        <v>0</v>
      </c>
      <c r="AI19" s="263">
        <f>-IF(AND(AI$10&gt;='Torrance Inputs'!$I$18,AI$10&lt;'Torrance Inputs'!$R$18),('Torrance Inputs'!$D$37*'Torrance Inputs'!$H$22)/DATEDIF('Torrance Inputs'!$I$18,'Torrance Inputs'!$R$18,"m"),0)</f>
        <v>0</v>
      </c>
      <c r="AJ19" s="263">
        <f>-IF(AND(AJ$10&gt;='Torrance Inputs'!$I$18,AJ$10&lt;'Torrance Inputs'!$R$18),('Torrance Inputs'!$D$37*'Torrance Inputs'!$H$22)/DATEDIF('Torrance Inputs'!$I$18,'Torrance Inputs'!$R$18,"m"),0)</f>
        <v>0</v>
      </c>
      <c r="AK19" s="263">
        <f>-IF(AND(AK$10&gt;='Torrance Inputs'!$I$18,AK$10&lt;'Torrance Inputs'!$R$18),('Torrance Inputs'!$D$37*'Torrance Inputs'!$H$22)/DATEDIF('Torrance Inputs'!$I$18,'Torrance Inputs'!$R$18,"m"),0)</f>
        <v>0</v>
      </c>
      <c r="AL19" s="263">
        <f>-IF(AND(AL$10&gt;='Torrance Inputs'!$I$18,AL$10&lt;'Torrance Inputs'!$R$18),('Torrance Inputs'!$D$37*'Torrance Inputs'!$H$22)/DATEDIF('Torrance Inputs'!$I$18,'Torrance Inputs'!$R$18,"m"),0)</f>
        <v>0</v>
      </c>
      <c r="AM19" s="263">
        <f>-IF(AND(AM$10&gt;='Torrance Inputs'!$I$18,AM$10&lt;'Torrance Inputs'!$R$18),('Torrance Inputs'!$D$37*'Torrance Inputs'!$H$22)/DATEDIF('Torrance Inputs'!$I$18,'Torrance Inputs'!$R$18,"m"),0)</f>
        <v>0</v>
      </c>
      <c r="AN19" s="263">
        <f>-IF(AND(AN$10&gt;='Torrance Inputs'!$I$18,AN$10&lt;'Torrance Inputs'!$R$18),('Torrance Inputs'!$D$37*'Torrance Inputs'!$H$22)/DATEDIF('Torrance Inputs'!$I$18,'Torrance Inputs'!$R$18,"m"),0)</f>
        <v>0</v>
      </c>
      <c r="AO19" s="263">
        <f>-IF(AND(AO$10&gt;='Torrance Inputs'!$I$18,AO$10&lt;'Torrance Inputs'!$R$18),('Torrance Inputs'!$D$37*'Torrance Inputs'!$H$22)/DATEDIF('Torrance Inputs'!$I$18,'Torrance Inputs'!$R$18,"m"),0)</f>
        <v>0</v>
      </c>
      <c r="AP19" s="263">
        <f>-IF(AND(AP$10&gt;='Torrance Inputs'!$I$18,AP$10&lt;'Torrance Inputs'!$R$18),('Torrance Inputs'!$D$37*'Torrance Inputs'!$H$22)/DATEDIF('Torrance Inputs'!$I$18,'Torrance Inputs'!$R$18,"m"),0)</f>
        <v>0</v>
      </c>
      <c r="AQ19" s="263">
        <f>-IF(AND(AQ$10&gt;='Torrance Inputs'!$I$18,AQ$10&lt;'Torrance Inputs'!$R$18),('Torrance Inputs'!$D$37*'Torrance Inputs'!$H$22)/DATEDIF('Torrance Inputs'!$I$18,'Torrance Inputs'!$R$18,"m"),0)</f>
        <v>0</v>
      </c>
      <c r="AR19" s="263">
        <f>-IF(AND(AR$10&gt;='Torrance Inputs'!$I$18,AR$10&lt;'Torrance Inputs'!$R$18),('Torrance Inputs'!$D$37*'Torrance Inputs'!$H$22)/DATEDIF('Torrance Inputs'!$I$18,'Torrance Inputs'!$R$18,"m"),0)</f>
        <v>0</v>
      </c>
      <c r="AS19" s="263">
        <f>-IF(AND(AS$10&gt;='Torrance Inputs'!$I$18,AS$10&lt;'Torrance Inputs'!$R$18),('Torrance Inputs'!$D$37*'Torrance Inputs'!$H$22)/DATEDIF('Torrance Inputs'!$I$18,'Torrance Inputs'!$R$18,"m"),0)</f>
        <v>0</v>
      </c>
      <c r="AT19" s="263">
        <f>-IF(AND(AT$10&gt;='Torrance Inputs'!$I$18,AT$10&lt;'Torrance Inputs'!$R$18),('Torrance Inputs'!$D$37*'Torrance Inputs'!$H$22)/DATEDIF('Torrance Inputs'!$I$18,'Torrance Inputs'!$R$18,"m"),0)</f>
        <v>0</v>
      </c>
      <c r="AU19" s="263">
        <f>-IF(AND(AU$10&gt;='Torrance Inputs'!$I$18,AU$10&lt;'Torrance Inputs'!$R$18),('Torrance Inputs'!$D$37*'Torrance Inputs'!$H$22)/DATEDIF('Torrance Inputs'!$I$18,'Torrance Inputs'!$R$18,"m"),0)</f>
        <v>0</v>
      </c>
      <c r="AV19" s="263">
        <f>-IF(AND(AV$10&gt;='Torrance Inputs'!$I$18,AV$10&lt;'Torrance Inputs'!$R$18),('Torrance Inputs'!$D$37*'Torrance Inputs'!$H$22)/DATEDIF('Torrance Inputs'!$I$18,'Torrance Inputs'!$R$18,"m"),0)</f>
        <v>0</v>
      </c>
      <c r="AW19" s="263">
        <f>-IF(AND(AW$10&gt;='Torrance Inputs'!$I$18,AW$10&lt;'Torrance Inputs'!$R$18),('Torrance Inputs'!$D$37*'Torrance Inputs'!$H$22)/DATEDIF('Torrance Inputs'!$I$18,'Torrance Inputs'!$R$18,"m"),0)</f>
        <v>0</v>
      </c>
      <c r="AX19" s="263">
        <f>-IF(AND(AX$10&gt;='Torrance Inputs'!$I$18,AX$10&lt;'Torrance Inputs'!$R$18),('Torrance Inputs'!$D$37*'Torrance Inputs'!$H$22)/DATEDIF('Torrance Inputs'!$I$18,'Torrance Inputs'!$R$18,"m"),0)</f>
        <v>0</v>
      </c>
      <c r="AY19" s="263">
        <f>-IF(AND(AY$10&gt;='Torrance Inputs'!$I$18,AY$10&lt;'Torrance Inputs'!$R$18),('Torrance Inputs'!$D$37*'Torrance Inputs'!$H$22)/DATEDIF('Torrance Inputs'!$I$18,'Torrance Inputs'!$R$18,"m"),0)</f>
        <v>0</v>
      </c>
      <c r="AZ19" s="263">
        <f>-IF(AND(AZ$10&gt;='Torrance Inputs'!$I$18,AZ$10&lt;'Torrance Inputs'!$R$18),('Torrance Inputs'!$D$37*'Torrance Inputs'!$H$22)/DATEDIF('Torrance Inputs'!$I$18,'Torrance Inputs'!$R$18,"m"),0)</f>
        <v>0</v>
      </c>
      <c r="BA19" s="263">
        <f>-IF(AND(BA$10&gt;='Torrance Inputs'!$I$18,BA$10&lt;'Torrance Inputs'!$R$18),('Torrance Inputs'!$D$37*'Torrance Inputs'!$H$22)/DATEDIF('Torrance Inputs'!$I$18,'Torrance Inputs'!$R$18,"m"),0)</f>
        <v>0</v>
      </c>
      <c r="BB19" s="263">
        <f>-IF(AND(BB$10&gt;='Torrance Inputs'!$I$18,BB$10&lt;'Torrance Inputs'!$R$18),('Torrance Inputs'!$D$37*'Torrance Inputs'!$H$22)/DATEDIF('Torrance Inputs'!$I$18,'Torrance Inputs'!$R$18,"m"),0)</f>
        <v>0</v>
      </c>
      <c r="BC19" s="263">
        <f>-IF(AND(BC$10&gt;='Torrance Inputs'!$I$18,BC$10&lt;'Torrance Inputs'!$R$18),('Torrance Inputs'!$D$37*'Torrance Inputs'!$H$22)/DATEDIF('Torrance Inputs'!$I$18,'Torrance Inputs'!$R$18,"m"),0)</f>
        <v>0</v>
      </c>
      <c r="BD19" s="263">
        <f>-IF(AND(BD$10&gt;='Torrance Inputs'!$I$18,BD$10&lt;'Torrance Inputs'!$R$18),('Torrance Inputs'!$D$37*'Torrance Inputs'!$H$22)/DATEDIF('Torrance Inputs'!$I$18,'Torrance Inputs'!$R$18,"m"),0)</f>
        <v>0</v>
      </c>
      <c r="BE19" s="263">
        <f>-IF(AND(BE$10&gt;='Torrance Inputs'!$I$18,BE$10&lt;'Torrance Inputs'!$R$18),('Torrance Inputs'!$D$37*'Torrance Inputs'!$H$22)/DATEDIF('Torrance Inputs'!$I$18,'Torrance Inputs'!$R$18,"m"),0)</f>
        <v>0</v>
      </c>
      <c r="BF19" s="263">
        <f>-IF(AND(BF$10&gt;='Torrance Inputs'!$I$18,BF$10&lt;'Torrance Inputs'!$R$18),('Torrance Inputs'!$D$37*'Torrance Inputs'!$H$22)/DATEDIF('Torrance Inputs'!$I$18,'Torrance Inputs'!$R$18,"m"),0)</f>
        <v>0</v>
      </c>
      <c r="BG19" s="263">
        <f>-IF(AND(BG$10&gt;='Torrance Inputs'!$I$18,BG$10&lt;'Torrance Inputs'!$R$18),('Torrance Inputs'!$D$37*'Torrance Inputs'!$H$22)/DATEDIF('Torrance Inputs'!$I$18,'Torrance Inputs'!$R$18,"m"),0)</f>
        <v>0</v>
      </c>
      <c r="BH19" s="263">
        <f>-IF(AND(BH$10&gt;='Torrance Inputs'!$I$18,BH$10&lt;'Torrance Inputs'!$R$18),('Torrance Inputs'!$D$37*'Torrance Inputs'!$H$22)/DATEDIF('Torrance Inputs'!$I$18,'Torrance Inputs'!$R$18,"m"),0)</f>
        <v>0</v>
      </c>
      <c r="BI19" s="263">
        <f>-IF(AND(BI$10&gt;='Torrance Inputs'!$I$18,BI$10&lt;'Torrance Inputs'!$R$18),('Torrance Inputs'!$D$37*'Torrance Inputs'!$H$22)/DATEDIF('Torrance Inputs'!$I$18,'Torrance Inputs'!$R$18,"m"),0)</f>
        <v>0</v>
      </c>
      <c r="BJ19" s="263">
        <f>-IF(AND(BJ$10&gt;='Torrance Inputs'!$I$18,BJ$10&lt;'Torrance Inputs'!$R$18),('Torrance Inputs'!$D$37*'Torrance Inputs'!$H$22)/DATEDIF('Torrance Inputs'!$I$18,'Torrance Inputs'!$R$18,"m"),0)</f>
        <v>0</v>
      </c>
      <c r="BK19" s="263">
        <f>-IF(AND(BK$10&gt;='Torrance Inputs'!$I$18,BK$10&lt;'Torrance Inputs'!$R$18),('Torrance Inputs'!$D$37*'Torrance Inputs'!$H$22)/DATEDIF('Torrance Inputs'!$I$18,'Torrance Inputs'!$R$18,"m"),0)</f>
        <v>-4801.2103980798183</v>
      </c>
      <c r="BL19" s="263">
        <f>-IF(AND(BL$10&gt;='Torrance Inputs'!$I$18,BL$10&lt;'Torrance Inputs'!$R$18),('Torrance Inputs'!$D$37*'Torrance Inputs'!$H$22)/DATEDIF('Torrance Inputs'!$I$18,'Torrance Inputs'!$R$18,"m"),0)</f>
        <v>-4801.2103980798183</v>
      </c>
      <c r="BM19" s="263">
        <f>-IF(AND(BM$10&gt;='Torrance Inputs'!$I$18,BM$10&lt;'Torrance Inputs'!$R$18),('Torrance Inputs'!$D$37*'Torrance Inputs'!$H$22)/DATEDIF('Torrance Inputs'!$I$18,'Torrance Inputs'!$R$18,"m"),0)</f>
        <v>-4801.2103980798183</v>
      </c>
      <c r="BN19" s="263">
        <f>-IF(AND(BN$10&gt;='Torrance Inputs'!$I$18,BN$10&lt;'Torrance Inputs'!$R$18),('Torrance Inputs'!$D$37*'Torrance Inputs'!$H$22)/DATEDIF('Torrance Inputs'!$I$18,'Torrance Inputs'!$R$18,"m"),0)</f>
        <v>-4801.2103980798183</v>
      </c>
      <c r="BO19" s="263">
        <f>-IF(AND(BO$10&gt;='Torrance Inputs'!$I$18,BO$10&lt;'Torrance Inputs'!$R$18),('Torrance Inputs'!$D$37*'Torrance Inputs'!$H$22)/DATEDIF('Torrance Inputs'!$I$18,'Torrance Inputs'!$R$18,"m"),0)</f>
        <v>-4801.2103980798183</v>
      </c>
      <c r="BP19" s="263">
        <f>-IF(AND(BP$10&gt;='Torrance Inputs'!$I$18,BP$10&lt;'Torrance Inputs'!$R$18),('Torrance Inputs'!$D$37*'Torrance Inputs'!$H$22)/DATEDIF('Torrance Inputs'!$I$18,'Torrance Inputs'!$R$18,"m"),0)</f>
        <v>-4801.2103980798183</v>
      </c>
      <c r="BQ19" s="263">
        <f>-IF(AND(BQ$10&gt;='Torrance Inputs'!$I$18,BQ$10&lt;'Torrance Inputs'!$R$18),('Torrance Inputs'!$D$37*'Torrance Inputs'!$H$22)/DATEDIF('Torrance Inputs'!$I$18,'Torrance Inputs'!$R$18,"m"),0)</f>
        <v>-4801.2103980798183</v>
      </c>
      <c r="BR19" s="263">
        <f>-IF(AND(BR$10&gt;='Torrance Inputs'!$I$18,BR$10&lt;'Torrance Inputs'!$R$18),('Torrance Inputs'!$D$37*'Torrance Inputs'!$H$22)/DATEDIF('Torrance Inputs'!$I$18,'Torrance Inputs'!$R$18,"m"),0)</f>
        <v>-4801.2103980798183</v>
      </c>
      <c r="BS19" s="263">
        <f>-IF(AND(BS$10&gt;='Torrance Inputs'!$I$18,BS$10&lt;'Torrance Inputs'!$R$18),('Torrance Inputs'!$D$37*'Torrance Inputs'!$H$22)/DATEDIF('Torrance Inputs'!$I$18,'Torrance Inputs'!$R$18,"m"),0)</f>
        <v>-4801.2103980798183</v>
      </c>
      <c r="BT19" s="263">
        <f>-IF(AND(BT$10&gt;='Torrance Inputs'!$I$18,BT$10&lt;'Torrance Inputs'!$R$18),('Torrance Inputs'!$D$37*'Torrance Inputs'!$H$22)/DATEDIF('Torrance Inputs'!$I$18,'Torrance Inputs'!$R$18,"m"),0)</f>
        <v>-4801.2103980798183</v>
      </c>
      <c r="BU19" s="263">
        <f>-IF(AND(BU$10&gt;='Torrance Inputs'!$I$18,BU$10&lt;'Torrance Inputs'!$R$18),('Torrance Inputs'!$D$37*'Torrance Inputs'!$H$22)/DATEDIF('Torrance Inputs'!$I$18,'Torrance Inputs'!$R$18,"m"),0)</f>
        <v>-4801.2103980798183</v>
      </c>
      <c r="BV19" s="263">
        <f>-IF(AND(BV$10&gt;='Torrance Inputs'!$I$18,BV$10&lt;'Torrance Inputs'!$R$18),('Torrance Inputs'!$D$37*'Torrance Inputs'!$H$22)/DATEDIF('Torrance Inputs'!$I$18,'Torrance Inputs'!$R$18,"m"),0)</f>
        <v>-4801.2103980798183</v>
      </c>
      <c r="BW19" s="263">
        <f>-IF(AND(BW$10&gt;='Torrance Inputs'!$I$18,BW$10&lt;'Torrance Inputs'!$R$18),('Torrance Inputs'!$D$37*'Torrance Inputs'!$H$22)/DATEDIF('Torrance Inputs'!$I$18,'Torrance Inputs'!$R$18,"m"),0)</f>
        <v>-4801.2103980798183</v>
      </c>
      <c r="BX19" s="263">
        <f>-IF(AND(BX$10&gt;='Torrance Inputs'!$I$18,BX$10&lt;'Torrance Inputs'!$R$18),('Torrance Inputs'!$D$37*'Torrance Inputs'!$H$22)/DATEDIF('Torrance Inputs'!$I$18,'Torrance Inputs'!$R$18,"m"),0)</f>
        <v>-4801.2103980798183</v>
      </c>
      <c r="BY19" s="263">
        <f>-IF(AND(BY$10&gt;='Torrance Inputs'!$I$18,BY$10&lt;'Torrance Inputs'!$R$18),('Torrance Inputs'!$D$37*'Torrance Inputs'!$H$22)/DATEDIF('Torrance Inputs'!$I$18,'Torrance Inputs'!$R$18,"m"),0)</f>
        <v>-4801.2103980798183</v>
      </c>
      <c r="BZ19" s="263">
        <f>-IF(AND(BZ$10&gt;='Torrance Inputs'!$I$18,BZ$10&lt;'Torrance Inputs'!$R$18),('Torrance Inputs'!$D$37*'Torrance Inputs'!$H$22)/DATEDIF('Torrance Inputs'!$I$18,'Torrance Inputs'!$R$18,"m"),0)</f>
        <v>-4801.2103980798183</v>
      </c>
      <c r="CA19" s="263">
        <f>-IF(AND(CA$10&gt;='Torrance Inputs'!$I$18,CA$10&lt;'Torrance Inputs'!$R$18),('Torrance Inputs'!$D$37*'Torrance Inputs'!$H$22)/DATEDIF('Torrance Inputs'!$I$18,'Torrance Inputs'!$R$18,"m"),0)</f>
        <v>-4801.2103980798183</v>
      </c>
      <c r="CB19" s="263">
        <f>-IF(AND(CB$10&gt;='Torrance Inputs'!$I$18,CB$10&lt;'Torrance Inputs'!$R$18),('Torrance Inputs'!$D$37*'Torrance Inputs'!$H$22)/DATEDIF('Torrance Inputs'!$I$18,'Torrance Inputs'!$R$18,"m"),0)</f>
        <v>-4801.2103980798183</v>
      </c>
      <c r="CC19" s="263">
        <f>-IF(AND(CC$10&gt;='Torrance Inputs'!$I$18,CC$10&lt;'Torrance Inputs'!$R$18),('Torrance Inputs'!$D$37*'Torrance Inputs'!$H$22)/DATEDIF('Torrance Inputs'!$I$18,'Torrance Inputs'!$R$18,"m"),0)</f>
        <v>-4801.2103980798183</v>
      </c>
      <c r="CD19" s="263">
        <f>-IF(AND(CD$10&gt;='Torrance Inputs'!$I$18,CD$10&lt;'Torrance Inputs'!$R$18),('Torrance Inputs'!$D$37*'Torrance Inputs'!$H$22)/DATEDIF('Torrance Inputs'!$I$18,'Torrance Inputs'!$R$18,"m"),0)</f>
        <v>-4801.2103980798183</v>
      </c>
      <c r="CE19" s="263">
        <f>-IF(AND(CE$10&gt;='Torrance Inputs'!$I$18,CE$10&lt;'Torrance Inputs'!$R$18),('Torrance Inputs'!$D$37*'Torrance Inputs'!$H$22)/DATEDIF('Torrance Inputs'!$I$18,'Torrance Inputs'!$R$18,"m"),0)</f>
        <v>-4801.2103980798183</v>
      </c>
      <c r="CF19" s="263">
        <f>-IF(AND(CF$10&gt;='Torrance Inputs'!$I$18,CF$10&lt;'Torrance Inputs'!$R$18),('Torrance Inputs'!$D$37*'Torrance Inputs'!$H$22)/DATEDIF('Torrance Inputs'!$I$18,'Torrance Inputs'!$R$18,"m"),0)</f>
        <v>-4801.2103980798183</v>
      </c>
      <c r="CG19" s="263">
        <f>-IF(AND(CG$10&gt;='Torrance Inputs'!$I$18,CG$10&lt;'Torrance Inputs'!$R$18),('Torrance Inputs'!$D$37*'Torrance Inputs'!$H$22)/DATEDIF('Torrance Inputs'!$I$18,'Torrance Inputs'!$R$18,"m"),0)</f>
        <v>-4801.2103980798183</v>
      </c>
      <c r="CH19" s="263">
        <f>-IF(AND(CH$10&gt;='Torrance Inputs'!$I$18,CH$10&lt;'Torrance Inputs'!$R$18),('Torrance Inputs'!$D$37*'Torrance Inputs'!$H$22)/DATEDIF('Torrance Inputs'!$I$18,'Torrance Inputs'!$R$18,"m"),0)</f>
        <v>-4801.2103980798183</v>
      </c>
      <c r="CI19" s="263">
        <f>-IF(AND(CI$10&gt;='Torrance Inputs'!$I$18,CI$10&lt;'Torrance Inputs'!$R$18),('Torrance Inputs'!$D$37*'Torrance Inputs'!$H$22)/DATEDIF('Torrance Inputs'!$I$18,'Torrance Inputs'!$R$18,"m"),0)</f>
        <v>-4801.2103980798183</v>
      </c>
      <c r="CJ19" s="263">
        <f>-IF(AND(CJ$10&gt;='Torrance Inputs'!$I$18,CJ$10&lt;'Torrance Inputs'!$R$18),('Torrance Inputs'!$D$37*'Torrance Inputs'!$H$22)/DATEDIF('Torrance Inputs'!$I$18,'Torrance Inputs'!$R$18,"m"),0)</f>
        <v>-4801.2103980798183</v>
      </c>
      <c r="CK19" s="263">
        <f>-IF(AND(CK$10&gt;='Torrance Inputs'!$I$18,CK$10&lt;'Torrance Inputs'!$R$18),('Torrance Inputs'!$D$37*'Torrance Inputs'!$H$22)/DATEDIF('Torrance Inputs'!$I$18,'Torrance Inputs'!$R$18,"m"),0)</f>
        <v>-4801.2103980798183</v>
      </c>
      <c r="CL19" s="263">
        <f>-IF(AND(CL$10&gt;='Torrance Inputs'!$I$18,CL$10&lt;'Torrance Inputs'!$R$18),('Torrance Inputs'!$D$37*'Torrance Inputs'!$H$22)/DATEDIF('Torrance Inputs'!$I$18,'Torrance Inputs'!$R$18,"m"),0)</f>
        <v>-4801.2103980798183</v>
      </c>
      <c r="CM19" s="263">
        <f>-IF(AND(CM$10&gt;='Torrance Inputs'!$I$18,CM$10&lt;'Torrance Inputs'!$R$18),('Torrance Inputs'!$D$37*'Torrance Inputs'!$H$22)/DATEDIF('Torrance Inputs'!$I$18,'Torrance Inputs'!$R$18,"m"),0)</f>
        <v>-4801.2103980798183</v>
      </c>
      <c r="CN19" s="263">
        <f>-IF(AND(CN$10&gt;='Torrance Inputs'!$I$18,CN$10&lt;'Torrance Inputs'!$R$18),('Torrance Inputs'!$D$37*'Torrance Inputs'!$H$22)/DATEDIF('Torrance Inputs'!$I$18,'Torrance Inputs'!$R$18,"m"),0)</f>
        <v>-4801.2103980798183</v>
      </c>
      <c r="CO19" s="263">
        <f>-IF(AND(CO$10&gt;='Torrance Inputs'!$I$18,CO$10&lt;'Torrance Inputs'!$R$18),('Torrance Inputs'!$D$37*'Torrance Inputs'!$H$22)/DATEDIF('Torrance Inputs'!$I$18,'Torrance Inputs'!$R$18,"m"),0)</f>
        <v>-4801.2103980798183</v>
      </c>
      <c r="CP19" s="263">
        <f>-IF(AND(CP$10&gt;='Torrance Inputs'!$I$18,CP$10&lt;'Torrance Inputs'!$R$18),('Torrance Inputs'!$D$37*'Torrance Inputs'!$H$22)/DATEDIF('Torrance Inputs'!$I$18,'Torrance Inputs'!$R$18,"m"),0)</f>
        <v>-4801.2103980798183</v>
      </c>
      <c r="CQ19" s="263">
        <f>-IF(AND(CQ$10&gt;='Torrance Inputs'!$I$18,CQ$10&lt;'Torrance Inputs'!$R$18),('Torrance Inputs'!$D$37*'Torrance Inputs'!$H$22)/DATEDIF('Torrance Inputs'!$I$18,'Torrance Inputs'!$R$18,"m"),0)</f>
        <v>-4801.2103980798183</v>
      </c>
      <c r="CR19" s="263">
        <f>-IF(AND(CR$10&gt;='Torrance Inputs'!$I$18,CR$10&lt;'Torrance Inputs'!$R$18),('Torrance Inputs'!$D$37*'Torrance Inputs'!$H$22)/DATEDIF('Torrance Inputs'!$I$18,'Torrance Inputs'!$R$18,"m"),0)</f>
        <v>-4801.2103980798183</v>
      </c>
      <c r="CS19" s="263">
        <f>-IF(AND(CS$10&gt;='Torrance Inputs'!$I$18,CS$10&lt;'Torrance Inputs'!$R$18),('Torrance Inputs'!$D$37*'Torrance Inputs'!$H$22)/DATEDIF('Torrance Inputs'!$I$18,'Torrance Inputs'!$R$18,"m"),0)</f>
        <v>-4801.2103980798183</v>
      </c>
      <c r="CT19" s="263">
        <f>-IF(AND(CT$10&gt;='Torrance Inputs'!$I$18,CT$10&lt;'Torrance Inputs'!$R$18),('Torrance Inputs'!$D$37*'Torrance Inputs'!$H$22)/DATEDIF('Torrance Inputs'!$I$18,'Torrance Inputs'!$R$18,"m"),0)</f>
        <v>-4801.2103980798183</v>
      </c>
      <c r="CU19" s="263">
        <f>-IF(AND(CU$10&gt;='Torrance Inputs'!$I$18,CU$10&lt;'Torrance Inputs'!$R$18),('Torrance Inputs'!$D$37*'Torrance Inputs'!$H$22)/DATEDIF('Torrance Inputs'!$I$18,'Torrance Inputs'!$R$18,"m"),0)</f>
        <v>-4801.2103980798183</v>
      </c>
      <c r="CV19" s="263">
        <f>-IF(AND(CV$10&gt;='Torrance Inputs'!$I$18,CV$10&lt;'Torrance Inputs'!$R$18),('Torrance Inputs'!$D$37*'Torrance Inputs'!$H$22)/DATEDIF('Torrance Inputs'!$I$18,'Torrance Inputs'!$R$18,"m"),0)</f>
        <v>-4801.2103980798183</v>
      </c>
      <c r="CW19" s="263">
        <f>-IF(AND(CW$10&gt;='Torrance Inputs'!$I$18,CW$10&lt;'Torrance Inputs'!$R$18),('Torrance Inputs'!$D$37*'Torrance Inputs'!$H$22)/DATEDIF('Torrance Inputs'!$I$18,'Torrance Inputs'!$R$18,"m"),0)</f>
        <v>-4801.2103980798183</v>
      </c>
      <c r="CX19" s="263">
        <f>-IF(AND(CX$10&gt;='Torrance Inputs'!$I$18,CX$10&lt;'Torrance Inputs'!$R$18),('Torrance Inputs'!$D$37*'Torrance Inputs'!$H$22)/DATEDIF('Torrance Inputs'!$I$18,'Torrance Inputs'!$R$18,"m"),0)</f>
        <v>-4801.2103980798183</v>
      </c>
      <c r="CY19" s="263">
        <f>-IF(AND(CY$10&gt;='Torrance Inputs'!$I$18,CY$10&lt;'Torrance Inputs'!$R$18),('Torrance Inputs'!$D$37*'Torrance Inputs'!$H$22)/DATEDIF('Torrance Inputs'!$I$18,'Torrance Inputs'!$R$18,"m"),0)</f>
        <v>-4801.2103980798183</v>
      </c>
      <c r="CZ19" s="263">
        <f>-IF(AND(CZ$10&gt;='Torrance Inputs'!$I$18,CZ$10&lt;'Torrance Inputs'!$R$18),('Torrance Inputs'!$D$37*'Torrance Inputs'!$H$22)/DATEDIF('Torrance Inputs'!$I$18,'Torrance Inputs'!$R$18,"m"),0)</f>
        <v>-4801.2103980798183</v>
      </c>
      <c r="DA19" s="263">
        <f>-IF(AND(DA$10&gt;='Torrance Inputs'!$I$18,DA$10&lt;'Torrance Inputs'!$R$18),('Torrance Inputs'!$D$37*'Torrance Inputs'!$H$22)/DATEDIF('Torrance Inputs'!$I$18,'Torrance Inputs'!$R$18,"m"),0)</f>
        <v>-4801.2103980798183</v>
      </c>
      <c r="DB19" s="263">
        <f>-IF(AND(DB$10&gt;='Torrance Inputs'!$I$18,DB$10&lt;'Torrance Inputs'!$R$18),('Torrance Inputs'!$D$37*'Torrance Inputs'!$H$22)/DATEDIF('Torrance Inputs'!$I$18,'Torrance Inputs'!$R$18,"m"),0)</f>
        <v>-4801.2103980798183</v>
      </c>
      <c r="DC19" s="263">
        <f>-IF(AND(DC$10&gt;='Torrance Inputs'!$I$18,DC$10&lt;'Torrance Inputs'!$R$18),('Torrance Inputs'!$D$37*'Torrance Inputs'!$H$22)/DATEDIF('Torrance Inputs'!$I$18,'Torrance Inputs'!$R$18,"m"),0)</f>
        <v>-4801.2103980798183</v>
      </c>
      <c r="DD19" s="263">
        <f>-IF(AND(DD$10&gt;='Torrance Inputs'!$I$18,DD$10&lt;'Torrance Inputs'!$R$18),('Torrance Inputs'!$D$37*'Torrance Inputs'!$H$22)/DATEDIF('Torrance Inputs'!$I$18,'Torrance Inputs'!$R$18,"m"),0)</f>
        <v>-4801.2103980798183</v>
      </c>
      <c r="DE19" s="263">
        <f>-IF(AND(DE$10&gt;='Torrance Inputs'!$I$18,DE$10&lt;'Torrance Inputs'!$R$18),('Torrance Inputs'!$D$37*'Torrance Inputs'!$H$22)/DATEDIF('Torrance Inputs'!$I$18,'Torrance Inputs'!$R$18,"m"),0)</f>
        <v>-4801.2103980798183</v>
      </c>
      <c r="DF19" s="263">
        <f>-IF(AND(DF$10&gt;='Torrance Inputs'!$I$18,DF$10&lt;'Torrance Inputs'!$R$18),('Torrance Inputs'!$D$37*'Torrance Inputs'!$H$22)/DATEDIF('Torrance Inputs'!$I$18,'Torrance Inputs'!$R$18,"m"),0)</f>
        <v>-4801.2103980798183</v>
      </c>
      <c r="DG19" s="263">
        <f>-IF(AND(DG$10&gt;='Torrance Inputs'!$I$18,DG$10&lt;'Torrance Inputs'!$R$18),('Torrance Inputs'!$D$37*'Torrance Inputs'!$H$22)/DATEDIF('Torrance Inputs'!$I$18,'Torrance Inputs'!$R$18,"m"),0)</f>
        <v>-4801.2103980798183</v>
      </c>
      <c r="DH19" s="263">
        <f>-IF(AND(DH$10&gt;='Torrance Inputs'!$I$18,DH$10&lt;'Torrance Inputs'!$R$18),('Torrance Inputs'!$D$37*'Torrance Inputs'!$H$22)/DATEDIF('Torrance Inputs'!$I$18,'Torrance Inputs'!$R$18,"m"),0)</f>
        <v>-4801.2103980798183</v>
      </c>
      <c r="DI19" s="263">
        <f>-IF(AND(DI$10&gt;='Torrance Inputs'!$I$18,DI$10&lt;'Torrance Inputs'!$R$18),('Torrance Inputs'!$D$37*'Torrance Inputs'!$H$22)/DATEDIF('Torrance Inputs'!$I$18,'Torrance Inputs'!$R$18,"m"),0)</f>
        <v>-4801.2103980798183</v>
      </c>
      <c r="DJ19" s="263">
        <f>-IF(AND(DJ$10&gt;='Torrance Inputs'!$I$18,DJ$10&lt;'Torrance Inputs'!$R$18),('Torrance Inputs'!$D$37*'Torrance Inputs'!$H$22)/DATEDIF('Torrance Inputs'!$I$18,'Torrance Inputs'!$R$18,"m"),0)</f>
        <v>-4801.2103980798183</v>
      </c>
      <c r="DK19" s="263">
        <f>-IF(AND(DK$10&gt;='Torrance Inputs'!$I$18,DK$10&lt;'Torrance Inputs'!$R$18),('Torrance Inputs'!$D$37*'Torrance Inputs'!$H$22)/DATEDIF('Torrance Inputs'!$I$18,'Torrance Inputs'!$R$18,"m"),0)</f>
        <v>-4801.2103980798183</v>
      </c>
      <c r="DL19" s="263">
        <f>-IF(AND(DL$10&gt;='Torrance Inputs'!$I$18,DL$10&lt;'Torrance Inputs'!$R$18),('Torrance Inputs'!$D$37*'Torrance Inputs'!$H$22)/DATEDIF('Torrance Inputs'!$I$18,'Torrance Inputs'!$R$18,"m"),0)</f>
        <v>-4801.2103980798183</v>
      </c>
      <c r="DM19" s="263">
        <f>-IF(AND(DM$10&gt;='Torrance Inputs'!$I$18,DM$10&lt;'Torrance Inputs'!$R$18),('Torrance Inputs'!$D$37*'Torrance Inputs'!$H$22)/DATEDIF('Torrance Inputs'!$I$18,'Torrance Inputs'!$R$18,"m"),0)</f>
        <v>-4801.2103980798183</v>
      </c>
      <c r="DN19" s="263">
        <f>-IF(AND(DN$10&gt;='Torrance Inputs'!$I$18,DN$10&lt;'Torrance Inputs'!$R$18),('Torrance Inputs'!$D$37*'Torrance Inputs'!$H$22)/DATEDIF('Torrance Inputs'!$I$18,'Torrance Inputs'!$R$18,"m"),0)</f>
        <v>-4801.2103980798183</v>
      </c>
      <c r="DO19" s="263">
        <f>-IF(AND(DO$10&gt;='Torrance Inputs'!$I$18,DO$10&lt;'Torrance Inputs'!$R$18),('Torrance Inputs'!$D$37*'Torrance Inputs'!$H$22)/DATEDIF('Torrance Inputs'!$I$18,'Torrance Inputs'!$R$18,"m"),0)</f>
        <v>-4801.2103980798183</v>
      </c>
      <c r="DP19" s="263">
        <f>-IF(AND(DP$10&gt;='Torrance Inputs'!$I$18,DP$10&lt;'Torrance Inputs'!$R$18),('Torrance Inputs'!$D$37*'Torrance Inputs'!$H$22)/DATEDIF('Torrance Inputs'!$I$18,'Torrance Inputs'!$R$18,"m"),0)</f>
        <v>-4801.2103980798183</v>
      </c>
      <c r="DQ19" s="263">
        <f>-IF(AND(DQ$10&gt;='Torrance Inputs'!$I$18,DQ$10&lt;'Torrance Inputs'!$R$18),('Torrance Inputs'!$D$37*'Torrance Inputs'!$H$22)/DATEDIF('Torrance Inputs'!$I$18,'Torrance Inputs'!$R$18,"m"),0)</f>
        <v>-4801.2103980798183</v>
      </c>
      <c r="DR19" s="263">
        <f>-IF(AND(DR$10&gt;='Torrance Inputs'!$I$18,DR$10&lt;'Torrance Inputs'!$R$18),('Torrance Inputs'!$D$37*'Torrance Inputs'!$H$22)/DATEDIF('Torrance Inputs'!$I$18,'Torrance Inputs'!$R$18,"m"),0)</f>
        <v>-4801.2103980798183</v>
      </c>
      <c r="DS19" s="263">
        <f>-IF(AND(DS$10&gt;='Torrance Inputs'!$I$18,DS$10&lt;'Torrance Inputs'!$R$18),('Torrance Inputs'!$D$37*'Torrance Inputs'!$H$22)/DATEDIF('Torrance Inputs'!$I$18,'Torrance Inputs'!$R$18,"m"),0)</f>
        <v>-4801.2103980798183</v>
      </c>
      <c r="DT19" s="263">
        <f>-IF(AND(DT$10&gt;='Torrance Inputs'!$I$18,DT$10&lt;'Torrance Inputs'!$R$18),('Torrance Inputs'!$D$37*'Torrance Inputs'!$H$22)/DATEDIF('Torrance Inputs'!$I$18,'Torrance Inputs'!$R$18,"m"),0)</f>
        <v>-4801.2103980798183</v>
      </c>
      <c r="DU19" s="263">
        <f>-IF(AND(DU$10&gt;='Torrance Inputs'!$I$18,DU$10&lt;'Torrance Inputs'!$R$18),('Torrance Inputs'!$D$37*'Torrance Inputs'!$H$22)/DATEDIF('Torrance Inputs'!$I$18,'Torrance Inputs'!$R$18,"m"),0)</f>
        <v>-4801.2103980798183</v>
      </c>
      <c r="DV19" s="263">
        <f>-IF(AND(DV$10&gt;='Torrance Inputs'!$I$18,DV$10&lt;'Torrance Inputs'!$R$18),('Torrance Inputs'!$D$37*'Torrance Inputs'!$H$22)/DATEDIF('Torrance Inputs'!$I$18,'Torrance Inputs'!$R$18,"m"),0)</f>
        <v>-4801.2103980798183</v>
      </c>
      <c r="DW19" s="263">
        <f>-IF(AND(DW$10&gt;='Torrance Inputs'!$I$18,DW$10&lt;'Torrance Inputs'!$R$18),('Torrance Inputs'!$D$37*'Torrance Inputs'!$H$22)/DATEDIF('Torrance Inputs'!$I$18,'Torrance Inputs'!$R$18,"m"),0)</f>
        <v>-4801.2103980798183</v>
      </c>
      <c r="DX19" s="263">
        <f>-IF(AND(DX$10&gt;='Torrance Inputs'!$I$18,DX$10&lt;'Torrance Inputs'!$R$18),('Torrance Inputs'!$D$37*'Torrance Inputs'!$H$22)/DATEDIF('Torrance Inputs'!$I$18,'Torrance Inputs'!$R$18,"m"),0)</f>
        <v>-4801.2103980798183</v>
      </c>
      <c r="DY19" s="263">
        <f>-IF(AND(DY$10&gt;='Torrance Inputs'!$I$18,DY$10&lt;'Torrance Inputs'!$R$18),('Torrance Inputs'!$D$37*'Torrance Inputs'!$H$22)/DATEDIF('Torrance Inputs'!$I$18,'Torrance Inputs'!$R$18,"m"),0)</f>
        <v>-4801.2103980798183</v>
      </c>
      <c r="DZ19" s="263">
        <f>-IF(AND(DZ$10&gt;='Torrance Inputs'!$I$18,DZ$10&lt;'Torrance Inputs'!$R$18),('Torrance Inputs'!$D$37*'Torrance Inputs'!$H$22)/DATEDIF('Torrance Inputs'!$I$18,'Torrance Inputs'!$R$18,"m"),0)</f>
        <v>-4801.2103980798183</v>
      </c>
      <c r="EA19" s="263">
        <f>-IF(AND(EA$10&gt;='Torrance Inputs'!$I$18,EA$10&lt;'Torrance Inputs'!$R$18),('Torrance Inputs'!$D$37*'Torrance Inputs'!$H$22)/DATEDIF('Torrance Inputs'!$I$18,'Torrance Inputs'!$R$18,"m"),0)</f>
        <v>-4801.2103980798183</v>
      </c>
      <c r="EB19" s="263">
        <f>-IF(AND(EB$10&gt;='Torrance Inputs'!$I$18,EB$10&lt;'Torrance Inputs'!$R$18),('Torrance Inputs'!$D$37*'Torrance Inputs'!$H$22)/DATEDIF('Torrance Inputs'!$I$18,'Torrance Inputs'!$R$18,"m"),0)</f>
        <v>-4801.2103980798183</v>
      </c>
      <c r="EC19" s="263">
        <f>-IF(AND(EC$10&gt;='Torrance Inputs'!$I$18,EC$10&lt;'Torrance Inputs'!$R$18),('Torrance Inputs'!$D$37*'Torrance Inputs'!$H$22)/DATEDIF('Torrance Inputs'!$I$18,'Torrance Inputs'!$R$18,"m"),0)</f>
        <v>-4801.2103980798183</v>
      </c>
      <c r="ED19" s="263">
        <f>-IF(AND(ED$10&gt;='Torrance Inputs'!$I$18,ED$10&lt;'Torrance Inputs'!$R$18),('Torrance Inputs'!$D$37*'Torrance Inputs'!$H$22)/DATEDIF('Torrance Inputs'!$I$18,'Torrance Inputs'!$R$18,"m"),0)</f>
        <v>-4801.2103980798183</v>
      </c>
    </row>
    <row r="20" spans="1:134" ht="19.149999999999999" customHeight="1" x14ac:dyDescent="0.4">
      <c r="A20" s="274" t="s">
        <v>208</v>
      </c>
      <c r="B20" s="274"/>
      <c r="C20" s="263">
        <f t="shared" ref="C20:AH20" si="13">SUM(C16:C19)</f>
        <v>91666.666666666672</v>
      </c>
      <c r="D20" s="263">
        <f t="shared" si="13"/>
        <v>91666.666666666672</v>
      </c>
      <c r="E20" s="263">
        <f t="shared" si="13"/>
        <v>91666.666666666672</v>
      </c>
      <c r="F20" s="263">
        <f t="shared" si="13"/>
        <v>91666.666666666672</v>
      </c>
      <c r="G20" s="263">
        <f t="shared" si="13"/>
        <v>91666.666666666672</v>
      </c>
      <c r="H20" s="263">
        <f t="shared" si="13"/>
        <v>91666.666666666672</v>
      </c>
      <c r="I20" s="263">
        <f t="shared" si="13"/>
        <v>91666.666666666672</v>
      </c>
      <c r="J20" s="263">
        <f t="shared" si="13"/>
        <v>91666.666666666672</v>
      </c>
      <c r="K20" s="263">
        <f t="shared" si="13"/>
        <v>91666.666666666672</v>
      </c>
      <c r="L20" s="263">
        <f t="shared" si="13"/>
        <v>91666.666666666672</v>
      </c>
      <c r="M20" s="263">
        <f t="shared" si="13"/>
        <v>91666.666666666672</v>
      </c>
      <c r="N20" s="263">
        <f t="shared" si="13"/>
        <v>91666.666666666672</v>
      </c>
      <c r="O20" s="263">
        <f t="shared" si="13"/>
        <v>93500</v>
      </c>
      <c r="P20" s="263">
        <f t="shared" si="13"/>
        <v>93500</v>
      </c>
      <c r="Q20" s="263">
        <f t="shared" si="13"/>
        <v>93500</v>
      </c>
      <c r="R20" s="263">
        <f t="shared" si="13"/>
        <v>93500</v>
      </c>
      <c r="S20" s="263">
        <f t="shared" si="13"/>
        <v>93500</v>
      </c>
      <c r="T20" s="263">
        <f t="shared" si="13"/>
        <v>93500</v>
      </c>
      <c r="U20" s="263">
        <f t="shared" si="13"/>
        <v>93500</v>
      </c>
      <c r="V20" s="263">
        <f t="shared" si="13"/>
        <v>93500</v>
      </c>
      <c r="W20" s="263">
        <f t="shared" si="13"/>
        <v>93500</v>
      </c>
      <c r="X20" s="263">
        <f t="shared" si="13"/>
        <v>93500</v>
      </c>
      <c r="Y20" s="263">
        <f t="shared" si="13"/>
        <v>93500</v>
      </c>
      <c r="Z20" s="263">
        <f t="shared" si="13"/>
        <v>93500</v>
      </c>
      <c r="AA20" s="263">
        <f t="shared" si="13"/>
        <v>95370</v>
      </c>
      <c r="AB20" s="263">
        <f t="shared" si="13"/>
        <v>95370</v>
      </c>
      <c r="AC20" s="263">
        <f t="shared" si="13"/>
        <v>95370</v>
      </c>
      <c r="AD20" s="263">
        <f t="shared" si="13"/>
        <v>95370</v>
      </c>
      <c r="AE20" s="263">
        <f t="shared" si="13"/>
        <v>95370</v>
      </c>
      <c r="AF20" s="263">
        <f t="shared" si="13"/>
        <v>95370</v>
      </c>
      <c r="AG20" s="263">
        <f t="shared" si="13"/>
        <v>95370</v>
      </c>
      <c r="AH20" s="263">
        <f t="shared" si="13"/>
        <v>95370</v>
      </c>
      <c r="AI20" s="263">
        <f t="shared" ref="AI20:BN20" si="14">SUM(AI16:AI19)</f>
        <v>95370</v>
      </c>
      <c r="AJ20" s="263">
        <f t="shared" si="14"/>
        <v>95370</v>
      </c>
      <c r="AK20" s="263">
        <f t="shared" si="14"/>
        <v>95370</v>
      </c>
      <c r="AL20" s="263">
        <f t="shared" si="14"/>
        <v>95370</v>
      </c>
      <c r="AM20" s="263">
        <f t="shared" si="14"/>
        <v>97277.4</v>
      </c>
      <c r="AN20" s="263">
        <f t="shared" si="14"/>
        <v>97277.4</v>
      </c>
      <c r="AO20" s="263">
        <f t="shared" si="14"/>
        <v>97277.4</v>
      </c>
      <c r="AP20" s="263">
        <f t="shared" si="14"/>
        <v>97277.4</v>
      </c>
      <c r="AQ20" s="263">
        <f t="shared" si="14"/>
        <v>97277.4</v>
      </c>
      <c r="AR20" s="263">
        <f t="shared" si="14"/>
        <v>97277.4</v>
      </c>
      <c r="AS20" s="263">
        <f t="shared" si="14"/>
        <v>97277.4</v>
      </c>
      <c r="AT20" s="263">
        <f t="shared" si="14"/>
        <v>97277.4</v>
      </c>
      <c r="AU20" s="263">
        <f t="shared" si="14"/>
        <v>97277.4</v>
      </c>
      <c r="AV20" s="263">
        <f t="shared" si="14"/>
        <v>97277.4</v>
      </c>
      <c r="AW20" s="263">
        <f t="shared" si="14"/>
        <v>97277.4</v>
      </c>
      <c r="AX20" s="263">
        <f t="shared" si="14"/>
        <v>97277.4</v>
      </c>
      <c r="AY20" s="263">
        <f t="shared" si="14"/>
        <v>0</v>
      </c>
      <c r="AZ20" s="263">
        <f t="shared" si="14"/>
        <v>0</v>
      </c>
      <c r="BA20" s="263">
        <f t="shared" si="14"/>
        <v>0</v>
      </c>
      <c r="BB20" s="263">
        <f t="shared" si="14"/>
        <v>0</v>
      </c>
      <c r="BC20" s="263">
        <f t="shared" si="14"/>
        <v>0</v>
      </c>
      <c r="BD20" s="263">
        <f t="shared" si="14"/>
        <v>0</v>
      </c>
      <c r="BE20" s="263">
        <f t="shared" si="14"/>
        <v>0</v>
      </c>
      <c r="BF20" s="263">
        <f t="shared" si="14"/>
        <v>0</v>
      </c>
      <c r="BG20" s="263">
        <f t="shared" si="14"/>
        <v>0</v>
      </c>
      <c r="BH20" s="263">
        <f t="shared" si="14"/>
        <v>0</v>
      </c>
      <c r="BI20" s="263">
        <f t="shared" si="14"/>
        <v>0</v>
      </c>
      <c r="BJ20" s="263">
        <f t="shared" si="14"/>
        <v>0</v>
      </c>
      <c r="BK20" s="263">
        <f t="shared" si="14"/>
        <v>905835.9285700242</v>
      </c>
      <c r="BL20" s="263">
        <f t="shared" si="14"/>
        <v>401669.26190335758</v>
      </c>
      <c r="BM20" s="263">
        <f t="shared" si="14"/>
        <v>401669.26190335758</v>
      </c>
      <c r="BN20" s="263">
        <f t="shared" si="14"/>
        <v>401669.26190335758</v>
      </c>
      <c r="BO20" s="263">
        <f t="shared" ref="BO20:CT20" si="15">SUM(BO16:BO19)</f>
        <v>401669.26190335758</v>
      </c>
      <c r="BP20" s="263">
        <f t="shared" si="15"/>
        <v>401669.26190335758</v>
      </c>
      <c r="BQ20" s="263">
        <f t="shared" si="15"/>
        <v>401669.26190335758</v>
      </c>
      <c r="BR20" s="263">
        <f t="shared" si="15"/>
        <v>401669.26190335758</v>
      </c>
      <c r="BS20" s="263">
        <f t="shared" si="15"/>
        <v>401669.26190335758</v>
      </c>
      <c r="BT20" s="263">
        <f t="shared" si="15"/>
        <v>401669.26190335758</v>
      </c>
      <c r="BU20" s="263">
        <f t="shared" si="15"/>
        <v>401669.26190335758</v>
      </c>
      <c r="BV20" s="263">
        <f t="shared" si="15"/>
        <v>401669.26190335758</v>
      </c>
      <c r="BW20" s="263">
        <f t="shared" si="15"/>
        <v>409798.67134938634</v>
      </c>
      <c r="BX20" s="263">
        <f t="shared" si="15"/>
        <v>409798.67134938634</v>
      </c>
      <c r="BY20" s="263">
        <f t="shared" si="15"/>
        <v>409798.67134938634</v>
      </c>
      <c r="BZ20" s="263">
        <f t="shared" si="15"/>
        <v>409798.67134938634</v>
      </c>
      <c r="CA20" s="263">
        <f t="shared" si="15"/>
        <v>409798.67134938634</v>
      </c>
      <c r="CB20" s="263">
        <f t="shared" si="15"/>
        <v>409798.67134938634</v>
      </c>
      <c r="CC20" s="263">
        <f t="shared" si="15"/>
        <v>409798.67134938634</v>
      </c>
      <c r="CD20" s="263">
        <f t="shared" si="15"/>
        <v>409798.67134938634</v>
      </c>
      <c r="CE20" s="263">
        <f t="shared" si="15"/>
        <v>409798.67134938634</v>
      </c>
      <c r="CF20" s="263">
        <f t="shared" si="15"/>
        <v>409798.67134938634</v>
      </c>
      <c r="CG20" s="263">
        <f t="shared" si="15"/>
        <v>409798.67134938634</v>
      </c>
      <c r="CH20" s="263">
        <f t="shared" si="15"/>
        <v>409798.67134938634</v>
      </c>
      <c r="CI20" s="263">
        <f t="shared" si="15"/>
        <v>418090.66898433561</v>
      </c>
      <c r="CJ20" s="263">
        <f t="shared" si="15"/>
        <v>418090.66898433561</v>
      </c>
      <c r="CK20" s="263">
        <f t="shared" si="15"/>
        <v>418090.66898433561</v>
      </c>
      <c r="CL20" s="263">
        <f t="shared" si="15"/>
        <v>418090.66898433561</v>
      </c>
      <c r="CM20" s="263">
        <f t="shared" si="15"/>
        <v>418090.66898433561</v>
      </c>
      <c r="CN20" s="263">
        <f t="shared" si="15"/>
        <v>418090.66898433561</v>
      </c>
      <c r="CO20" s="263">
        <f t="shared" si="15"/>
        <v>418090.66898433561</v>
      </c>
      <c r="CP20" s="263">
        <f t="shared" si="15"/>
        <v>418090.66898433561</v>
      </c>
      <c r="CQ20" s="263">
        <f t="shared" si="15"/>
        <v>418090.66898433561</v>
      </c>
      <c r="CR20" s="263">
        <f t="shared" si="15"/>
        <v>418090.66898433561</v>
      </c>
      <c r="CS20" s="263">
        <f t="shared" si="15"/>
        <v>418090.66898433561</v>
      </c>
      <c r="CT20" s="263">
        <f t="shared" si="15"/>
        <v>418090.66898433561</v>
      </c>
      <c r="CU20" s="263">
        <f t="shared" ref="CU20:DZ20" si="16">SUM(CU16:CU19)</f>
        <v>426548.50657198398</v>
      </c>
      <c r="CV20" s="263">
        <f t="shared" si="16"/>
        <v>426548.50657198398</v>
      </c>
      <c r="CW20" s="263">
        <f t="shared" si="16"/>
        <v>426548.50657198398</v>
      </c>
      <c r="CX20" s="263">
        <f t="shared" si="16"/>
        <v>426548.50657198398</v>
      </c>
      <c r="CY20" s="263">
        <f t="shared" si="16"/>
        <v>426548.50657198398</v>
      </c>
      <c r="CZ20" s="263">
        <f t="shared" si="16"/>
        <v>426548.50657198398</v>
      </c>
      <c r="DA20" s="263">
        <f t="shared" si="16"/>
        <v>426548.50657198398</v>
      </c>
      <c r="DB20" s="263">
        <f t="shared" si="16"/>
        <v>426548.50657198398</v>
      </c>
      <c r="DC20" s="263">
        <f t="shared" si="16"/>
        <v>426548.50657198398</v>
      </c>
      <c r="DD20" s="263">
        <f t="shared" si="16"/>
        <v>426548.50657198398</v>
      </c>
      <c r="DE20" s="263">
        <f t="shared" si="16"/>
        <v>426548.50657198398</v>
      </c>
      <c r="DF20" s="263">
        <f t="shared" si="16"/>
        <v>426548.50657198398</v>
      </c>
      <c r="DG20" s="263">
        <f t="shared" si="16"/>
        <v>435175.50091138523</v>
      </c>
      <c r="DH20" s="263">
        <f t="shared" si="16"/>
        <v>435175.50091138523</v>
      </c>
      <c r="DI20" s="263">
        <f t="shared" si="16"/>
        <v>435175.50091138523</v>
      </c>
      <c r="DJ20" s="263">
        <f t="shared" si="16"/>
        <v>435175.50091138523</v>
      </c>
      <c r="DK20" s="263">
        <f t="shared" si="16"/>
        <v>435175.50091138523</v>
      </c>
      <c r="DL20" s="263">
        <f t="shared" si="16"/>
        <v>435175.50091138523</v>
      </c>
      <c r="DM20" s="263">
        <f t="shared" si="16"/>
        <v>435175.50091138523</v>
      </c>
      <c r="DN20" s="263">
        <f t="shared" si="16"/>
        <v>435175.50091138523</v>
      </c>
      <c r="DO20" s="263">
        <f t="shared" si="16"/>
        <v>435175.50091138523</v>
      </c>
      <c r="DP20" s="263">
        <f t="shared" si="16"/>
        <v>435175.50091138523</v>
      </c>
      <c r="DQ20" s="263">
        <f t="shared" si="16"/>
        <v>435175.50091138523</v>
      </c>
      <c r="DR20" s="263">
        <f t="shared" si="16"/>
        <v>435175.50091138523</v>
      </c>
      <c r="DS20" s="263">
        <f t="shared" si="16"/>
        <v>443975.0351375746</v>
      </c>
      <c r="DT20" s="263">
        <f t="shared" si="16"/>
        <v>443975.0351375746</v>
      </c>
      <c r="DU20" s="263">
        <f t="shared" si="16"/>
        <v>443975.0351375746</v>
      </c>
      <c r="DV20" s="263">
        <f t="shared" si="16"/>
        <v>443975.0351375746</v>
      </c>
      <c r="DW20" s="263">
        <f t="shared" si="16"/>
        <v>443975.0351375746</v>
      </c>
      <c r="DX20" s="263">
        <f t="shared" si="16"/>
        <v>443975.0351375746</v>
      </c>
      <c r="DY20" s="263">
        <f t="shared" si="16"/>
        <v>443975.0351375746</v>
      </c>
      <c r="DZ20" s="263">
        <f t="shared" si="16"/>
        <v>443975.0351375746</v>
      </c>
      <c r="EA20" s="263">
        <f t="shared" ref="EA20:ED20" si="17">SUM(EA16:EA19)</f>
        <v>443975.0351375746</v>
      </c>
      <c r="EB20" s="263">
        <f t="shared" si="17"/>
        <v>443975.0351375746</v>
      </c>
      <c r="EC20" s="263">
        <f t="shared" si="17"/>
        <v>443975.0351375746</v>
      </c>
      <c r="ED20" s="263">
        <f t="shared" si="17"/>
        <v>443975.0351375746</v>
      </c>
    </row>
    <row r="21" spans="1:134" ht="19.149999999999999" customHeight="1" x14ac:dyDescent="0.4">
      <c r="A21" s="273" t="s">
        <v>207</v>
      </c>
      <c r="B21" s="273"/>
      <c r="C21" s="263">
        <f t="shared" ref="C21:AH21" si="18">C20</f>
        <v>91666.666666666672</v>
      </c>
      <c r="D21" s="263">
        <f t="shared" si="18"/>
        <v>91666.666666666672</v>
      </c>
      <c r="E21" s="263">
        <f t="shared" si="18"/>
        <v>91666.666666666672</v>
      </c>
      <c r="F21" s="263">
        <f t="shared" si="18"/>
        <v>91666.666666666672</v>
      </c>
      <c r="G21" s="263">
        <f t="shared" si="18"/>
        <v>91666.666666666672</v>
      </c>
      <c r="H21" s="263">
        <f t="shared" si="18"/>
        <v>91666.666666666672</v>
      </c>
      <c r="I21" s="263">
        <f t="shared" si="18"/>
        <v>91666.666666666672</v>
      </c>
      <c r="J21" s="263">
        <f t="shared" si="18"/>
        <v>91666.666666666672</v>
      </c>
      <c r="K21" s="263">
        <f t="shared" si="18"/>
        <v>91666.666666666672</v>
      </c>
      <c r="L21" s="263">
        <f t="shared" si="18"/>
        <v>91666.666666666672</v>
      </c>
      <c r="M21" s="263">
        <f t="shared" si="18"/>
        <v>91666.666666666672</v>
      </c>
      <c r="N21" s="263">
        <f t="shared" si="18"/>
        <v>91666.666666666672</v>
      </c>
      <c r="O21" s="263">
        <f t="shared" si="18"/>
        <v>93500</v>
      </c>
      <c r="P21" s="263">
        <f t="shared" si="18"/>
        <v>93500</v>
      </c>
      <c r="Q21" s="263">
        <f t="shared" si="18"/>
        <v>93500</v>
      </c>
      <c r="R21" s="263">
        <f t="shared" si="18"/>
        <v>93500</v>
      </c>
      <c r="S21" s="263">
        <f t="shared" si="18"/>
        <v>93500</v>
      </c>
      <c r="T21" s="263">
        <f t="shared" si="18"/>
        <v>93500</v>
      </c>
      <c r="U21" s="263">
        <f t="shared" si="18"/>
        <v>93500</v>
      </c>
      <c r="V21" s="263">
        <f t="shared" si="18"/>
        <v>93500</v>
      </c>
      <c r="W21" s="263">
        <f t="shared" si="18"/>
        <v>93500</v>
      </c>
      <c r="X21" s="263">
        <f t="shared" si="18"/>
        <v>93500</v>
      </c>
      <c r="Y21" s="263">
        <f t="shared" si="18"/>
        <v>93500</v>
      </c>
      <c r="Z21" s="263">
        <f t="shared" si="18"/>
        <v>93500</v>
      </c>
      <c r="AA21" s="263">
        <f t="shared" si="18"/>
        <v>95370</v>
      </c>
      <c r="AB21" s="263">
        <f t="shared" si="18"/>
        <v>95370</v>
      </c>
      <c r="AC21" s="263">
        <f t="shared" si="18"/>
        <v>95370</v>
      </c>
      <c r="AD21" s="263">
        <f t="shared" si="18"/>
        <v>95370</v>
      </c>
      <c r="AE21" s="263">
        <f t="shared" si="18"/>
        <v>95370</v>
      </c>
      <c r="AF21" s="263">
        <f t="shared" si="18"/>
        <v>95370</v>
      </c>
      <c r="AG21" s="263">
        <f t="shared" si="18"/>
        <v>95370</v>
      </c>
      <c r="AH21" s="263">
        <f t="shared" si="18"/>
        <v>95370</v>
      </c>
      <c r="AI21" s="263">
        <f t="shared" ref="AI21:BN21" si="19">AI20</f>
        <v>95370</v>
      </c>
      <c r="AJ21" s="263">
        <f t="shared" si="19"/>
        <v>95370</v>
      </c>
      <c r="AK21" s="263">
        <f t="shared" si="19"/>
        <v>95370</v>
      </c>
      <c r="AL21" s="263">
        <f t="shared" si="19"/>
        <v>95370</v>
      </c>
      <c r="AM21" s="263">
        <f t="shared" si="19"/>
        <v>97277.4</v>
      </c>
      <c r="AN21" s="263">
        <f t="shared" si="19"/>
        <v>97277.4</v>
      </c>
      <c r="AO21" s="263">
        <f t="shared" si="19"/>
        <v>97277.4</v>
      </c>
      <c r="AP21" s="263">
        <f t="shared" si="19"/>
        <v>97277.4</v>
      </c>
      <c r="AQ21" s="263">
        <f t="shared" si="19"/>
        <v>97277.4</v>
      </c>
      <c r="AR21" s="263">
        <f t="shared" si="19"/>
        <v>97277.4</v>
      </c>
      <c r="AS21" s="263">
        <f t="shared" si="19"/>
        <v>97277.4</v>
      </c>
      <c r="AT21" s="263">
        <f t="shared" si="19"/>
        <v>97277.4</v>
      </c>
      <c r="AU21" s="263">
        <f t="shared" si="19"/>
        <v>97277.4</v>
      </c>
      <c r="AV21" s="263">
        <f t="shared" si="19"/>
        <v>97277.4</v>
      </c>
      <c r="AW21" s="263">
        <f t="shared" si="19"/>
        <v>97277.4</v>
      </c>
      <c r="AX21" s="263">
        <f t="shared" si="19"/>
        <v>97277.4</v>
      </c>
      <c r="AY21" s="263">
        <f t="shared" si="19"/>
        <v>0</v>
      </c>
      <c r="AZ21" s="263">
        <f t="shared" si="19"/>
        <v>0</v>
      </c>
      <c r="BA21" s="263">
        <f t="shared" si="19"/>
        <v>0</v>
      </c>
      <c r="BB21" s="263">
        <f t="shared" si="19"/>
        <v>0</v>
      </c>
      <c r="BC21" s="263">
        <f t="shared" si="19"/>
        <v>0</v>
      </c>
      <c r="BD21" s="263">
        <f t="shared" si="19"/>
        <v>0</v>
      </c>
      <c r="BE21" s="263">
        <f t="shared" si="19"/>
        <v>0</v>
      </c>
      <c r="BF21" s="263">
        <f t="shared" si="19"/>
        <v>0</v>
      </c>
      <c r="BG21" s="263">
        <f t="shared" si="19"/>
        <v>0</v>
      </c>
      <c r="BH21" s="263">
        <f t="shared" si="19"/>
        <v>0</v>
      </c>
      <c r="BI21" s="263">
        <f t="shared" si="19"/>
        <v>0</v>
      </c>
      <c r="BJ21" s="263">
        <f t="shared" si="19"/>
        <v>0</v>
      </c>
      <c r="BK21" s="263">
        <f t="shared" si="19"/>
        <v>905835.9285700242</v>
      </c>
      <c r="BL21" s="263">
        <f t="shared" si="19"/>
        <v>401669.26190335758</v>
      </c>
      <c r="BM21" s="263">
        <f t="shared" si="19"/>
        <v>401669.26190335758</v>
      </c>
      <c r="BN21" s="263">
        <f t="shared" si="19"/>
        <v>401669.26190335758</v>
      </c>
      <c r="BO21" s="263">
        <f t="shared" ref="BO21:CT21" si="20">BO20</f>
        <v>401669.26190335758</v>
      </c>
      <c r="BP21" s="263">
        <f t="shared" si="20"/>
        <v>401669.26190335758</v>
      </c>
      <c r="BQ21" s="263">
        <f t="shared" si="20"/>
        <v>401669.26190335758</v>
      </c>
      <c r="BR21" s="263">
        <f t="shared" si="20"/>
        <v>401669.26190335758</v>
      </c>
      <c r="BS21" s="263">
        <f t="shared" si="20"/>
        <v>401669.26190335758</v>
      </c>
      <c r="BT21" s="263">
        <f t="shared" si="20"/>
        <v>401669.26190335758</v>
      </c>
      <c r="BU21" s="263">
        <f t="shared" si="20"/>
        <v>401669.26190335758</v>
      </c>
      <c r="BV21" s="263">
        <f t="shared" si="20"/>
        <v>401669.26190335758</v>
      </c>
      <c r="BW21" s="263">
        <f t="shared" si="20"/>
        <v>409798.67134938634</v>
      </c>
      <c r="BX21" s="263">
        <f t="shared" si="20"/>
        <v>409798.67134938634</v>
      </c>
      <c r="BY21" s="263">
        <f t="shared" si="20"/>
        <v>409798.67134938634</v>
      </c>
      <c r="BZ21" s="263">
        <f t="shared" si="20"/>
        <v>409798.67134938634</v>
      </c>
      <c r="CA21" s="263">
        <f t="shared" si="20"/>
        <v>409798.67134938634</v>
      </c>
      <c r="CB21" s="263">
        <f t="shared" si="20"/>
        <v>409798.67134938634</v>
      </c>
      <c r="CC21" s="263">
        <f t="shared" si="20"/>
        <v>409798.67134938634</v>
      </c>
      <c r="CD21" s="263">
        <f t="shared" si="20"/>
        <v>409798.67134938634</v>
      </c>
      <c r="CE21" s="263">
        <f t="shared" si="20"/>
        <v>409798.67134938634</v>
      </c>
      <c r="CF21" s="263">
        <f t="shared" si="20"/>
        <v>409798.67134938634</v>
      </c>
      <c r="CG21" s="263">
        <f t="shared" si="20"/>
        <v>409798.67134938634</v>
      </c>
      <c r="CH21" s="263">
        <f t="shared" si="20"/>
        <v>409798.67134938634</v>
      </c>
      <c r="CI21" s="263">
        <f t="shared" si="20"/>
        <v>418090.66898433561</v>
      </c>
      <c r="CJ21" s="263">
        <f t="shared" si="20"/>
        <v>418090.66898433561</v>
      </c>
      <c r="CK21" s="263">
        <f t="shared" si="20"/>
        <v>418090.66898433561</v>
      </c>
      <c r="CL21" s="263">
        <f t="shared" si="20"/>
        <v>418090.66898433561</v>
      </c>
      <c r="CM21" s="263">
        <f t="shared" si="20"/>
        <v>418090.66898433561</v>
      </c>
      <c r="CN21" s="263">
        <f t="shared" si="20"/>
        <v>418090.66898433561</v>
      </c>
      <c r="CO21" s="263">
        <f t="shared" si="20"/>
        <v>418090.66898433561</v>
      </c>
      <c r="CP21" s="263">
        <f t="shared" si="20"/>
        <v>418090.66898433561</v>
      </c>
      <c r="CQ21" s="263">
        <f t="shared" si="20"/>
        <v>418090.66898433561</v>
      </c>
      <c r="CR21" s="263">
        <f t="shared" si="20"/>
        <v>418090.66898433561</v>
      </c>
      <c r="CS21" s="263">
        <f t="shared" si="20"/>
        <v>418090.66898433561</v>
      </c>
      <c r="CT21" s="263">
        <f t="shared" si="20"/>
        <v>418090.66898433561</v>
      </c>
      <c r="CU21" s="263">
        <f t="shared" ref="CU21:DZ21" si="21">CU20</f>
        <v>426548.50657198398</v>
      </c>
      <c r="CV21" s="263">
        <f t="shared" si="21"/>
        <v>426548.50657198398</v>
      </c>
      <c r="CW21" s="263">
        <f t="shared" si="21"/>
        <v>426548.50657198398</v>
      </c>
      <c r="CX21" s="263">
        <f t="shared" si="21"/>
        <v>426548.50657198398</v>
      </c>
      <c r="CY21" s="263">
        <f t="shared" si="21"/>
        <v>426548.50657198398</v>
      </c>
      <c r="CZ21" s="263">
        <f t="shared" si="21"/>
        <v>426548.50657198398</v>
      </c>
      <c r="DA21" s="263">
        <f t="shared" si="21"/>
        <v>426548.50657198398</v>
      </c>
      <c r="DB21" s="263">
        <f t="shared" si="21"/>
        <v>426548.50657198398</v>
      </c>
      <c r="DC21" s="263">
        <f t="shared" si="21"/>
        <v>426548.50657198398</v>
      </c>
      <c r="DD21" s="263">
        <f t="shared" si="21"/>
        <v>426548.50657198398</v>
      </c>
      <c r="DE21" s="263">
        <f t="shared" si="21"/>
        <v>426548.50657198398</v>
      </c>
      <c r="DF21" s="263">
        <f t="shared" si="21"/>
        <v>426548.50657198398</v>
      </c>
      <c r="DG21" s="263">
        <f t="shared" si="21"/>
        <v>435175.50091138523</v>
      </c>
      <c r="DH21" s="263">
        <f t="shared" si="21"/>
        <v>435175.50091138523</v>
      </c>
      <c r="DI21" s="263">
        <f t="shared" si="21"/>
        <v>435175.50091138523</v>
      </c>
      <c r="DJ21" s="263">
        <f t="shared" si="21"/>
        <v>435175.50091138523</v>
      </c>
      <c r="DK21" s="263">
        <f t="shared" si="21"/>
        <v>435175.50091138523</v>
      </c>
      <c r="DL21" s="263">
        <f t="shared" si="21"/>
        <v>435175.50091138523</v>
      </c>
      <c r="DM21" s="263">
        <f t="shared" si="21"/>
        <v>435175.50091138523</v>
      </c>
      <c r="DN21" s="263">
        <f t="shared" si="21"/>
        <v>435175.50091138523</v>
      </c>
      <c r="DO21" s="263">
        <f t="shared" si="21"/>
        <v>435175.50091138523</v>
      </c>
      <c r="DP21" s="263">
        <f t="shared" si="21"/>
        <v>435175.50091138523</v>
      </c>
      <c r="DQ21" s="263">
        <f t="shared" si="21"/>
        <v>435175.50091138523</v>
      </c>
      <c r="DR21" s="263">
        <f t="shared" si="21"/>
        <v>435175.50091138523</v>
      </c>
      <c r="DS21" s="263">
        <f t="shared" si="21"/>
        <v>443975.0351375746</v>
      </c>
      <c r="DT21" s="263">
        <f t="shared" si="21"/>
        <v>443975.0351375746</v>
      </c>
      <c r="DU21" s="263">
        <f t="shared" si="21"/>
        <v>443975.0351375746</v>
      </c>
      <c r="DV21" s="263">
        <f t="shared" si="21"/>
        <v>443975.0351375746</v>
      </c>
      <c r="DW21" s="263">
        <f t="shared" si="21"/>
        <v>443975.0351375746</v>
      </c>
      <c r="DX21" s="263">
        <f t="shared" si="21"/>
        <v>443975.0351375746</v>
      </c>
      <c r="DY21" s="263">
        <f t="shared" si="21"/>
        <v>443975.0351375746</v>
      </c>
      <c r="DZ21" s="263">
        <f t="shared" si="21"/>
        <v>443975.0351375746</v>
      </c>
      <c r="EA21" s="263">
        <f t="shared" ref="EA21:ED21" si="22">EA20</f>
        <v>443975.0351375746</v>
      </c>
      <c r="EB21" s="263">
        <f t="shared" si="22"/>
        <v>443975.0351375746</v>
      </c>
      <c r="EC21" s="263">
        <f t="shared" si="22"/>
        <v>443975.0351375746</v>
      </c>
      <c r="ED21" s="263">
        <f t="shared" si="22"/>
        <v>443975.0351375746</v>
      </c>
    </row>
    <row r="22" spans="1:134" ht="19.149999999999999" customHeight="1" x14ac:dyDescent="0.4">
      <c r="A22" s="259" t="s">
        <v>182</v>
      </c>
      <c r="C22" s="267"/>
      <c r="D22" s="267"/>
      <c r="E22" s="267"/>
      <c r="F22" s="267"/>
      <c r="G22" s="267"/>
      <c r="H22" s="267"/>
      <c r="I22" s="267"/>
      <c r="J22" s="267"/>
      <c r="K22" s="267"/>
      <c r="L22" s="267"/>
      <c r="M22" s="267"/>
      <c r="N22" s="267"/>
      <c r="O22" s="267"/>
      <c r="P22" s="267"/>
      <c r="Q22" s="267"/>
      <c r="R22" s="267"/>
      <c r="S22" s="267"/>
      <c r="T22" s="267"/>
      <c r="U22" s="267"/>
      <c r="V22" s="267"/>
      <c r="W22" s="267"/>
      <c r="X22" s="267"/>
      <c r="Y22" s="267"/>
      <c r="Z22" s="267"/>
      <c r="AA22" s="267"/>
      <c r="AB22" s="267"/>
      <c r="AC22" s="267"/>
      <c r="AD22" s="267"/>
      <c r="AE22" s="267"/>
      <c r="AF22" s="267"/>
      <c r="AG22" s="267"/>
      <c r="AH22" s="267"/>
      <c r="AI22" s="267"/>
      <c r="AJ22" s="267"/>
      <c r="AK22" s="267"/>
      <c r="AL22" s="267"/>
      <c r="AM22" s="267"/>
      <c r="AN22" s="267"/>
      <c r="AO22" s="267"/>
      <c r="AP22" s="267"/>
      <c r="AQ22" s="267"/>
      <c r="AR22" s="267"/>
      <c r="AS22" s="267"/>
      <c r="AT22" s="267"/>
      <c r="AU22" s="267"/>
      <c r="AV22" s="267"/>
      <c r="AW22" s="267"/>
      <c r="AX22" s="267"/>
      <c r="AY22" s="267"/>
      <c r="AZ22" s="267"/>
      <c r="BA22" s="267"/>
      <c r="BB22" s="267"/>
      <c r="BC22" s="267"/>
      <c r="BD22" s="267"/>
      <c r="BE22" s="267"/>
      <c r="BF22" s="267"/>
      <c r="BG22" s="267"/>
      <c r="BH22" s="267"/>
      <c r="BI22" s="267"/>
      <c r="BJ22" s="267"/>
      <c r="BK22" s="267"/>
      <c r="BL22" s="267"/>
      <c r="BM22" s="267"/>
      <c r="BN22" s="267"/>
      <c r="BO22" s="267"/>
      <c r="BP22" s="267"/>
      <c r="BQ22" s="267"/>
      <c r="BR22" s="267"/>
      <c r="BS22" s="267"/>
      <c r="BT22" s="267"/>
      <c r="BU22" s="267"/>
      <c r="BV22" s="267"/>
      <c r="BW22" s="267"/>
      <c r="BX22" s="267"/>
      <c r="BY22" s="267"/>
      <c r="BZ22" s="267"/>
      <c r="CA22" s="267"/>
      <c r="CB22" s="267"/>
      <c r="CC22" s="267"/>
      <c r="CD22" s="267"/>
      <c r="CE22" s="267"/>
      <c r="CF22" s="267"/>
      <c r="CG22" s="267"/>
      <c r="CH22" s="267"/>
      <c r="CI22" s="267"/>
      <c r="CJ22" s="267"/>
      <c r="CK22" s="267"/>
      <c r="CL22" s="267"/>
      <c r="CM22" s="267"/>
      <c r="CN22" s="267"/>
      <c r="CO22" s="267"/>
      <c r="CP22" s="267"/>
      <c r="CQ22" s="267"/>
      <c r="CR22" s="267"/>
      <c r="CS22" s="267"/>
      <c r="CT22" s="267"/>
      <c r="CU22" s="267"/>
      <c r="CV22" s="267"/>
      <c r="CW22" s="267"/>
      <c r="CX22" s="267"/>
      <c r="CY22" s="267"/>
      <c r="CZ22" s="267"/>
      <c r="DA22" s="267"/>
      <c r="DB22" s="267"/>
      <c r="DC22" s="267"/>
      <c r="DD22" s="267"/>
      <c r="DE22" s="267"/>
      <c r="DF22" s="267"/>
      <c r="DG22" s="267"/>
      <c r="DH22" s="267"/>
      <c r="DI22" s="267"/>
      <c r="DJ22" s="267"/>
      <c r="DK22" s="267"/>
      <c r="DL22" s="267"/>
      <c r="DM22" s="267"/>
      <c r="DN22" s="267"/>
      <c r="DO22" s="267"/>
      <c r="DP22" s="267"/>
      <c r="DQ22" s="267"/>
      <c r="DR22" s="267"/>
      <c r="DS22" s="267"/>
      <c r="DT22" s="267"/>
      <c r="DU22" s="267"/>
      <c r="DV22" s="267"/>
      <c r="DW22" s="267"/>
      <c r="DX22" s="267"/>
      <c r="DY22" s="267"/>
      <c r="DZ22" s="267"/>
      <c r="EA22" s="267"/>
      <c r="EB22" s="267"/>
      <c r="EC22" s="267"/>
      <c r="ED22" s="267"/>
    </row>
    <row r="23" spans="1:134" ht="19.149999999999999" customHeight="1" x14ac:dyDescent="0.4">
      <c r="A23" s="268" t="s">
        <v>206</v>
      </c>
      <c r="B23" s="268"/>
      <c r="C23" s="267"/>
      <c r="D23" s="267"/>
      <c r="E23" s="267"/>
      <c r="F23" s="267"/>
      <c r="G23" s="267"/>
      <c r="H23" s="267"/>
      <c r="I23" s="267"/>
      <c r="J23" s="267"/>
      <c r="K23" s="267"/>
      <c r="L23" s="267"/>
      <c r="M23" s="267"/>
      <c r="N23" s="267"/>
      <c r="O23" s="267"/>
      <c r="P23" s="267"/>
      <c r="Q23" s="267"/>
      <c r="R23" s="267"/>
      <c r="S23" s="267"/>
      <c r="T23" s="267"/>
      <c r="U23" s="267"/>
      <c r="V23" s="267"/>
      <c r="W23" s="267"/>
      <c r="X23" s="267"/>
      <c r="Y23" s="267"/>
      <c r="Z23" s="267"/>
      <c r="AA23" s="267"/>
      <c r="AB23" s="267"/>
      <c r="AC23" s="267"/>
      <c r="AD23" s="267"/>
      <c r="AE23" s="267"/>
      <c r="AF23" s="267"/>
      <c r="AG23" s="267"/>
      <c r="AH23" s="267"/>
      <c r="AI23" s="267"/>
      <c r="AJ23" s="267"/>
      <c r="AK23" s="267"/>
      <c r="AL23" s="267"/>
      <c r="AM23" s="267"/>
      <c r="AN23" s="267"/>
      <c r="AO23" s="267"/>
      <c r="AP23" s="267"/>
      <c r="AQ23" s="267"/>
      <c r="AR23" s="267"/>
      <c r="AS23" s="267"/>
      <c r="AT23" s="267"/>
      <c r="AU23" s="267"/>
      <c r="AV23" s="267"/>
      <c r="AW23" s="267"/>
      <c r="AX23" s="267"/>
      <c r="AY23" s="267"/>
      <c r="AZ23" s="267"/>
      <c r="BA23" s="267"/>
      <c r="BB23" s="267"/>
      <c r="BC23" s="267"/>
      <c r="BD23" s="267"/>
      <c r="BE23" s="267"/>
      <c r="BF23" s="267"/>
      <c r="BG23" s="267"/>
      <c r="BH23" s="267"/>
      <c r="BI23" s="267"/>
      <c r="BJ23" s="267"/>
      <c r="BK23" s="267"/>
      <c r="BL23" s="267"/>
      <c r="BM23" s="267"/>
      <c r="BN23" s="267"/>
      <c r="BO23" s="267"/>
      <c r="BP23" s="267"/>
      <c r="BQ23" s="267"/>
      <c r="BR23" s="267"/>
      <c r="BS23" s="267"/>
      <c r="BT23" s="267"/>
      <c r="BU23" s="267"/>
      <c r="BV23" s="267"/>
      <c r="BW23" s="267"/>
      <c r="BX23" s="267"/>
      <c r="BY23" s="267"/>
      <c r="BZ23" s="267"/>
      <c r="CA23" s="267"/>
      <c r="CB23" s="267"/>
      <c r="CC23" s="267"/>
      <c r="CD23" s="267"/>
      <c r="CE23" s="267"/>
      <c r="CF23" s="267"/>
      <c r="CG23" s="267"/>
      <c r="CH23" s="267"/>
      <c r="CI23" s="267"/>
      <c r="CJ23" s="267"/>
      <c r="CK23" s="267"/>
      <c r="CL23" s="267"/>
      <c r="CM23" s="267"/>
      <c r="CN23" s="267"/>
      <c r="CO23" s="267"/>
      <c r="CP23" s="267"/>
      <c r="CQ23" s="267"/>
      <c r="CR23" s="267"/>
      <c r="CS23" s="267"/>
      <c r="CT23" s="267"/>
      <c r="CU23" s="267"/>
      <c r="CV23" s="267"/>
      <c r="CW23" s="267"/>
      <c r="CX23" s="267"/>
      <c r="CY23" s="267"/>
      <c r="CZ23" s="267"/>
      <c r="DA23" s="267"/>
      <c r="DB23" s="267"/>
      <c r="DC23" s="267"/>
      <c r="DD23" s="267"/>
      <c r="DE23" s="267"/>
      <c r="DF23" s="267"/>
      <c r="DG23" s="267"/>
      <c r="DH23" s="267"/>
      <c r="DI23" s="267"/>
      <c r="DJ23" s="267"/>
      <c r="DK23" s="267"/>
      <c r="DL23" s="267"/>
      <c r="DM23" s="267"/>
      <c r="DN23" s="267"/>
      <c r="DO23" s="267"/>
      <c r="DP23" s="267"/>
      <c r="DQ23" s="267"/>
      <c r="DR23" s="267"/>
      <c r="DS23" s="267"/>
      <c r="DT23" s="267"/>
      <c r="DU23" s="267"/>
      <c r="DV23" s="267"/>
      <c r="DW23" s="267"/>
      <c r="DX23" s="267"/>
      <c r="DY23" s="267"/>
      <c r="DZ23" s="267"/>
      <c r="EA23" s="267"/>
      <c r="EB23" s="267"/>
      <c r="EC23" s="267"/>
      <c r="ED23" s="267"/>
    </row>
    <row r="24" spans="1:134" ht="19.149999999999999" customHeight="1" x14ac:dyDescent="0.4">
      <c r="A24" s="270" t="s">
        <v>82</v>
      </c>
      <c r="B24" s="270"/>
      <c r="C24" s="266">
        <f>IF(AND(C$10&gt;='Torrance Inputs'!$N$38,C$10&lt;'Torrance Inputs'!$N$40),'Torrance Inputs'!$Q3*'Torrance Pro Forma'!$C46,IF(C$10&gt;='Torrance Inputs'!$I$18,'Torrance Inputs'!$M$3*'Torrance Pro Forma'!$C46,0))</f>
        <v>1250</v>
      </c>
      <c r="D24" s="266">
        <f>IF(AND(D$10&gt;='Torrance Inputs'!$N$38,D$10&lt;'Torrance Inputs'!$N$40),'Torrance Inputs'!$Q3*'Torrance Pro Forma'!$C46,IF(D$10&gt;='Torrance Inputs'!$I$18,'Torrance Inputs'!$M$3*'Torrance Pro Forma'!$C46,0))</f>
        <v>1250</v>
      </c>
      <c r="E24" s="266">
        <f>IF(AND(E$10&gt;='Torrance Inputs'!$N$38,E$10&lt;'Torrance Inputs'!$N$40),'Torrance Inputs'!$Q3*'Torrance Pro Forma'!$C46,IF(E$10&gt;='Torrance Inputs'!$I$18,'Torrance Inputs'!$M$3*'Torrance Pro Forma'!$C46,0))</f>
        <v>1250</v>
      </c>
      <c r="F24" s="266">
        <f>IF(AND(F$10&gt;='Torrance Inputs'!$N$38,F$10&lt;'Torrance Inputs'!$N$40),'Torrance Inputs'!$Q3*'Torrance Pro Forma'!$C46,IF(F$10&gt;='Torrance Inputs'!$I$18,'Torrance Inputs'!$M$3*'Torrance Pro Forma'!$C46,0))</f>
        <v>1250</v>
      </c>
      <c r="G24" s="266">
        <f>IF(AND(G$10&gt;='Torrance Inputs'!$N$38,G$10&lt;'Torrance Inputs'!$N$40),'Torrance Inputs'!$Q3*'Torrance Pro Forma'!$C46,IF(G$10&gt;='Torrance Inputs'!$I$18,'Torrance Inputs'!$M$3*'Torrance Pro Forma'!$C46,0))</f>
        <v>1250</v>
      </c>
      <c r="H24" s="266">
        <f>IF(AND(H$10&gt;='Torrance Inputs'!$N$38,H$10&lt;'Torrance Inputs'!$N$40),'Torrance Inputs'!$Q3*'Torrance Pro Forma'!$C46,IF(H$10&gt;='Torrance Inputs'!$I$18,'Torrance Inputs'!$M$3*'Torrance Pro Forma'!$C46,0))</f>
        <v>1250</v>
      </c>
      <c r="I24" s="266">
        <f>IF(AND(I$10&gt;='Torrance Inputs'!$N$38,I$10&lt;'Torrance Inputs'!$N$40),'Torrance Inputs'!$Q3*'Torrance Pro Forma'!$C46,IF(I$10&gt;='Torrance Inputs'!$I$18,'Torrance Inputs'!$M$3*'Torrance Pro Forma'!$C46,0))</f>
        <v>1250</v>
      </c>
      <c r="J24" s="266">
        <f>IF(AND(J$10&gt;='Torrance Inputs'!$N$38,J$10&lt;'Torrance Inputs'!$N$40),'Torrance Inputs'!$Q3*'Torrance Pro Forma'!$C46,IF(J$10&gt;='Torrance Inputs'!$I$18,'Torrance Inputs'!$M$3*'Torrance Pro Forma'!$C46,0))</f>
        <v>1250</v>
      </c>
      <c r="K24" s="266">
        <f>IF(AND(K$10&gt;='Torrance Inputs'!$N$38,K$10&lt;'Torrance Inputs'!$N$40),'Torrance Inputs'!$Q3*'Torrance Pro Forma'!$C46,IF(K$10&gt;='Torrance Inputs'!$I$18,'Torrance Inputs'!$M$3*'Torrance Pro Forma'!$C46,0))</f>
        <v>1250</v>
      </c>
      <c r="L24" s="266">
        <f>IF(AND(L$10&gt;='Torrance Inputs'!$N$38,L$10&lt;'Torrance Inputs'!$N$40),'Torrance Inputs'!$Q3*'Torrance Pro Forma'!$C46,IF(L$10&gt;='Torrance Inputs'!$I$18,'Torrance Inputs'!$M$3*'Torrance Pro Forma'!$C46,0))</f>
        <v>1250</v>
      </c>
      <c r="M24" s="266">
        <f>IF(AND(M$10&gt;='Torrance Inputs'!$N$38,M$10&lt;'Torrance Inputs'!$N$40),'Torrance Inputs'!$Q3*'Torrance Pro Forma'!$C46,IF(M$10&gt;='Torrance Inputs'!$I$18,'Torrance Inputs'!$M$3*'Torrance Pro Forma'!$C46,0))</f>
        <v>1250</v>
      </c>
      <c r="N24" s="266">
        <f>IF(AND(N$10&gt;='Torrance Inputs'!$N$38,N$10&lt;'Torrance Inputs'!$N$40),'Torrance Inputs'!$Q3*'Torrance Pro Forma'!$C46,IF(N$10&gt;='Torrance Inputs'!$I$18,'Torrance Inputs'!$M$3*'Torrance Pro Forma'!$C46,0))</f>
        <v>1250</v>
      </c>
      <c r="O24" s="266">
        <f>IF(AND(O$10&gt;='Torrance Inputs'!$N$38,O$10&lt;'Torrance Inputs'!$N$40),'Torrance Inputs'!$Q3*'Torrance Pro Forma'!$C46,IF(O$10&gt;='Torrance Inputs'!$I$18,'Torrance Inputs'!$M$3*'Torrance Pro Forma'!$C46,0))</f>
        <v>1250</v>
      </c>
      <c r="P24" s="266">
        <f>IF(AND(P$10&gt;='Torrance Inputs'!$N$38,P$10&lt;'Torrance Inputs'!$N$40),'Torrance Inputs'!$Q3*'Torrance Pro Forma'!$C46,IF(P$10&gt;='Torrance Inputs'!$I$18,'Torrance Inputs'!$M$3*'Torrance Pro Forma'!$C46,0))</f>
        <v>1250</v>
      </c>
      <c r="Q24" s="266">
        <f>IF(AND(Q$10&gt;='Torrance Inputs'!$N$38,Q$10&lt;'Torrance Inputs'!$N$40),'Torrance Inputs'!$Q3*'Torrance Pro Forma'!$C46,IF(Q$10&gt;='Torrance Inputs'!$I$18,'Torrance Inputs'!$M$3*'Torrance Pro Forma'!$C46,0))</f>
        <v>1250</v>
      </c>
      <c r="R24" s="266">
        <f>IF(AND(R$10&gt;='Torrance Inputs'!$N$38,R$10&lt;'Torrance Inputs'!$N$40),'Torrance Inputs'!$Q3*'Torrance Pro Forma'!$C46,IF(R$10&gt;='Torrance Inputs'!$I$18,'Torrance Inputs'!$M$3*'Torrance Pro Forma'!$C46,0))</f>
        <v>1250</v>
      </c>
      <c r="S24" s="266">
        <f>IF(AND(S$10&gt;='Torrance Inputs'!$N$38,S$10&lt;'Torrance Inputs'!$N$40),'Torrance Inputs'!$Q3*'Torrance Pro Forma'!$C46,IF(S$10&gt;='Torrance Inputs'!$I$18,'Torrance Inputs'!$M$3*'Torrance Pro Forma'!$C46,0))</f>
        <v>1250</v>
      </c>
      <c r="T24" s="266">
        <f>IF(AND(T$10&gt;='Torrance Inputs'!$N$38,T$10&lt;'Torrance Inputs'!$N$40),'Torrance Inputs'!$Q3*'Torrance Pro Forma'!$C46,IF(T$10&gt;='Torrance Inputs'!$I$18,'Torrance Inputs'!$M$3*'Torrance Pro Forma'!$C46,0))</f>
        <v>1250</v>
      </c>
      <c r="U24" s="266">
        <f>IF(AND(U$10&gt;='Torrance Inputs'!$N$38,U$10&lt;'Torrance Inputs'!$N$40),'Torrance Inputs'!$Q3*'Torrance Pro Forma'!$C46,IF(U$10&gt;='Torrance Inputs'!$I$18,'Torrance Inputs'!$M$3*'Torrance Pro Forma'!$C46,0))</f>
        <v>1250</v>
      </c>
      <c r="V24" s="266">
        <f>IF(AND(V$10&gt;='Torrance Inputs'!$N$38,V$10&lt;'Torrance Inputs'!$N$40),'Torrance Inputs'!$Q3*'Torrance Pro Forma'!$C46,IF(V$10&gt;='Torrance Inputs'!$I$18,'Torrance Inputs'!$M$3*'Torrance Pro Forma'!$C46,0))</f>
        <v>1250</v>
      </c>
      <c r="W24" s="266">
        <f>IF(AND(W$10&gt;='Torrance Inputs'!$N$38,W$10&lt;'Torrance Inputs'!$N$40),'Torrance Inputs'!$Q3*'Torrance Pro Forma'!$C46,IF(W$10&gt;='Torrance Inputs'!$I$18,'Torrance Inputs'!$M$3*'Torrance Pro Forma'!$C46,0))</f>
        <v>1250</v>
      </c>
      <c r="X24" s="266">
        <f>IF(AND(X$10&gt;='Torrance Inputs'!$N$38,X$10&lt;'Torrance Inputs'!$N$40),'Torrance Inputs'!$Q3*'Torrance Pro Forma'!$C46,IF(X$10&gt;='Torrance Inputs'!$I$18,'Torrance Inputs'!$M$3*'Torrance Pro Forma'!$C46,0))</f>
        <v>1250</v>
      </c>
      <c r="Y24" s="266">
        <f>IF(AND(Y$10&gt;='Torrance Inputs'!$N$38,Y$10&lt;'Torrance Inputs'!$N$40),'Torrance Inputs'!$Q3*'Torrance Pro Forma'!$C46,IF(Y$10&gt;='Torrance Inputs'!$I$18,'Torrance Inputs'!$M$3*'Torrance Pro Forma'!$C46,0))</f>
        <v>1250</v>
      </c>
      <c r="Z24" s="266">
        <f>IF(AND(Z$10&gt;='Torrance Inputs'!$N$38,Z$10&lt;'Torrance Inputs'!$N$40),'Torrance Inputs'!$Q3*'Torrance Pro Forma'!$C46,IF(Z$10&gt;='Torrance Inputs'!$I$18,'Torrance Inputs'!$M$3*'Torrance Pro Forma'!$C46,0))</f>
        <v>1250</v>
      </c>
      <c r="AA24" s="266">
        <f>IF(AND(AA$10&gt;='Torrance Inputs'!$N$38,AA$10&lt;'Torrance Inputs'!$N$40),'Torrance Inputs'!$Q3*'Torrance Pro Forma'!$C46,IF(AA$10&gt;='Torrance Inputs'!$I$18,'Torrance Inputs'!$M$3*'Torrance Pro Forma'!$C46,0))</f>
        <v>1250</v>
      </c>
      <c r="AB24" s="266">
        <f>IF(AND(AB$10&gt;='Torrance Inputs'!$N$38,AB$10&lt;'Torrance Inputs'!$N$40),'Torrance Inputs'!$Q3*'Torrance Pro Forma'!$C46,IF(AB$10&gt;='Torrance Inputs'!$I$18,'Torrance Inputs'!$M$3*'Torrance Pro Forma'!$C46,0))</f>
        <v>1250</v>
      </c>
      <c r="AC24" s="266">
        <f>IF(AND(AC$10&gt;='Torrance Inputs'!$N$38,AC$10&lt;'Torrance Inputs'!$N$40),'Torrance Inputs'!$Q3*'Torrance Pro Forma'!$C46,IF(AC$10&gt;='Torrance Inputs'!$I$18,'Torrance Inputs'!$M$3*'Torrance Pro Forma'!$C46,0))</f>
        <v>1250</v>
      </c>
      <c r="AD24" s="266">
        <f>IF(AND(AD$10&gt;='Torrance Inputs'!$N$38,AD$10&lt;'Torrance Inputs'!$N$40),'Torrance Inputs'!$Q3*'Torrance Pro Forma'!$C46,IF(AD$10&gt;='Torrance Inputs'!$I$18,'Torrance Inputs'!$M$3*'Torrance Pro Forma'!$C46,0))</f>
        <v>1250</v>
      </c>
      <c r="AE24" s="266">
        <f>IF(AND(AE$10&gt;='Torrance Inputs'!$N$38,AE$10&lt;'Torrance Inputs'!$N$40),'Torrance Inputs'!$Q3*'Torrance Pro Forma'!$C46,IF(AE$10&gt;='Torrance Inputs'!$I$18,'Torrance Inputs'!$M$3*'Torrance Pro Forma'!$C46,0))</f>
        <v>1250</v>
      </c>
      <c r="AF24" s="266">
        <f>IF(AND(AF$10&gt;='Torrance Inputs'!$N$38,AF$10&lt;'Torrance Inputs'!$N$40),'Torrance Inputs'!$Q3*'Torrance Pro Forma'!$C46,IF(AF$10&gt;='Torrance Inputs'!$I$18,'Torrance Inputs'!$M$3*'Torrance Pro Forma'!$C46,0))</f>
        <v>1250</v>
      </c>
      <c r="AG24" s="266">
        <f>IF(AND(AG$10&gt;='Torrance Inputs'!$N$38,AG$10&lt;'Torrance Inputs'!$N$40),'Torrance Inputs'!$Q3*'Torrance Pro Forma'!$C46,IF(AG$10&gt;='Torrance Inputs'!$I$18,'Torrance Inputs'!$M$3*'Torrance Pro Forma'!$C46,0))</f>
        <v>1250</v>
      </c>
      <c r="AH24" s="266">
        <f>IF(AND(AH$10&gt;='Torrance Inputs'!$N$38,AH$10&lt;'Torrance Inputs'!$N$40),'Torrance Inputs'!$Q3*'Torrance Pro Forma'!$C46,IF(AH$10&gt;='Torrance Inputs'!$I$18,'Torrance Inputs'!$M$3*'Torrance Pro Forma'!$C46,0))</f>
        <v>1250</v>
      </c>
      <c r="AI24" s="266">
        <f>IF(AND(AI$10&gt;='Torrance Inputs'!$N$38,AI$10&lt;'Torrance Inputs'!$N$40),'Torrance Inputs'!$Q3*'Torrance Pro Forma'!$C46,IF(AI$10&gt;='Torrance Inputs'!$I$18,'Torrance Inputs'!$M$3*'Torrance Pro Forma'!$C46,0))</f>
        <v>1250</v>
      </c>
      <c r="AJ24" s="266">
        <f>IF(AND(AJ$10&gt;='Torrance Inputs'!$N$38,AJ$10&lt;'Torrance Inputs'!$N$40),'Torrance Inputs'!$Q3*'Torrance Pro Forma'!$C46,IF(AJ$10&gt;='Torrance Inputs'!$I$18,'Torrance Inputs'!$M$3*'Torrance Pro Forma'!$C46,0))</f>
        <v>1250</v>
      </c>
      <c r="AK24" s="266">
        <f>IF(AND(AK$10&gt;='Torrance Inputs'!$N$38,AK$10&lt;'Torrance Inputs'!$N$40),'Torrance Inputs'!$Q3*'Torrance Pro Forma'!$C46,IF(AK$10&gt;='Torrance Inputs'!$I$18,'Torrance Inputs'!$M$3*'Torrance Pro Forma'!$C46,0))</f>
        <v>1250</v>
      </c>
      <c r="AL24" s="266">
        <f>IF(AND(AL$10&gt;='Torrance Inputs'!$N$38,AL$10&lt;'Torrance Inputs'!$N$40),'Torrance Inputs'!$Q3*'Torrance Pro Forma'!$C46,IF(AL$10&gt;='Torrance Inputs'!$I$18,'Torrance Inputs'!$M$3*'Torrance Pro Forma'!$C46,0))</f>
        <v>1250</v>
      </c>
      <c r="AM24" s="266">
        <f>IF(AND(AM$10&gt;='Torrance Inputs'!$N$38,AM$10&lt;'Torrance Inputs'!$N$40),'Torrance Inputs'!$Q3*'Torrance Pro Forma'!$C46,IF(AM$10&gt;='Torrance Inputs'!$I$18,'Torrance Inputs'!$M$3*'Torrance Pro Forma'!$C46,0))</f>
        <v>1250</v>
      </c>
      <c r="AN24" s="266">
        <f>IF(AND(AN$10&gt;='Torrance Inputs'!$N$38,AN$10&lt;'Torrance Inputs'!$N$40),'Torrance Inputs'!$Q3*'Torrance Pro Forma'!$C46,IF(AN$10&gt;='Torrance Inputs'!$I$18,'Torrance Inputs'!$M$3*'Torrance Pro Forma'!$C46,0))</f>
        <v>1250</v>
      </c>
      <c r="AO24" s="266">
        <f>IF(AND(AO$10&gt;='Torrance Inputs'!$N$38,AO$10&lt;'Torrance Inputs'!$N$40),'Torrance Inputs'!$Q3*'Torrance Pro Forma'!$C46,IF(AO$10&gt;='Torrance Inputs'!$I$18,'Torrance Inputs'!$M$3*'Torrance Pro Forma'!$C46,0))</f>
        <v>1250</v>
      </c>
      <c r="AP24" s="266">
        <f>IF(AND(AP$10&gt;='Torrance Inputs'!$N$38,AP$10&lt;'Torrance Inputs'!$N$40),'Torrance Inputs'!$Q3*'Torrance Pro Forma'!$C46,IF(AP$10&gt;='Torrance Inputs'!$I$18,'Torrance Inputs'!$M$3*'Torrance Pro Forma'!$C46,0))</f>
        <v>1250</v>
      </c>
      <c r="AQ24" s="266">
        <f>IF(AND(AQ$10&gt;='Torrance Inputs'!$N$38,AQ$10&lt;'Torrance Inputs'!$N$40),'Torrance Inputs'!$Q3*'Torrance Pro Forma'!$C46,IF(AQ$10&gt;='Torrance Inputs'!$I$18,'Torrance Inputs'!$M$3*'Torrance Pro Forma'!$C46,0))</f>
        <v>1250</v>
      </c>
      <c r="AR24" s="266">
        <f>IF(AND(AR$10&gt;='Torrance Inputs'!$N$38,AR$10&lt;'Torrance Inputs'!$N$40),'Torrance Inputs'!$Q3*'Torrance Pro Forma'!$C46,IF(AR$10&gt;='Torrance Inputs'!$I$18,'Torrance Inputs'!$M$3*'Torrance Pro Forma'!$C46,0))</f>
        <v>1250</v>
      </c>
      <c r="AS24" s="266">
        <f>IF(AND(AS$10&gt;='Torrance Inputs'!$N$38,AS$10&lt;'Torrance Inputs'!$N$40),'Torrance Inputs'!$Q3*'Torrance Pro Forma'!$C46,IF(AS$10&gt;='Torrance Inputs'!$I$18,'Torrance Inputs'!$M$3*'Torrance Pro Forma'!$C46,0))</f>
        <v>1250</v>
      </c>
      <c r="AT24" s="266">
        <f>IF(AND(AT$10&gt;='Torrance Inputs'!$N$38,AT$10&lt;'Torrance Inputs'!$N$40),'Torrance Inputs'!$Q3*'Torrance Pro Forma'!$C46,IF(AT$10&gt;='Torrance Inputs'!$I$18,'Torrance Inputs'!$M$3*'Torrance Pro Forma'!$C46,0))</f>
        <v>1250</v>
      </c>
      <c r="AU24" s="266">
        <f>IF(AND(AU$10&gt;='Torrance Inputs'!$N$38,AU$10&lt;'Torrance Inputs'!$N$40),'Torrance Inputs'!$Q3*'Torrance Pro Forma'!$C46,IF(AU$10&gt;='Torrance Inputs'!$I$18,'Torrance Inputs'!$M$3*'Torrance Pro Forma'!$C46,0))</f>
        <v>1250</v>
      </c>
      <c r="AV24" s="266">
        <f>IF(AND(AV$10&gt;='Torrance Inputs'!$N$38,AV$10&lt;'Torrance Inputs'!$N$40),'Torrance Inputs'!$Q3*'Torrance Pro Forma'!$C46,IF(AV$10&gt;='Torrance Inputs'!$I$18,'Torrance Inputs'!$M$3*'Torrance Pro Forma'!$C46,0))</f>
        <v>1250</v>
      </c>
      <c r="AW24" s="266">
        <f>IF(AND(AW$10&gt;='Torrance Inputs'!$N$38,AW$10&lt;'Torrance Inputs'!$N$40),'Torrance Inputs'!$Q3*'Torrance Pro Forma'!$C46,IF(AW$10&gt;='Torrance Inputs'!$I$18,'Torrance Inputs'!$M$3*'Torrance Pro Forma'!$C46,0))</f>
        <v>1250</v>
      </c>
      <c r="AX24" s="266">
        <f>IF(AND(AX$10&gt;='Torrance Inputs'!$N$38,AX$10&lt;'Torrance Inputs'!$N$40),'Torrance Inputs'!$Q3*'Torrance Pro Forma'!$C46,IF(AX$10&gt;='Torrance Inputs'!$I$18,'Torrance Inputs'!$M$3*'Torrance Pro Forma'!$C46,0))</f>
        <v>1250</v>
      </c>
      <c r="AY24" s="266">
        <f>IF(AND(AY$10&gt;='Torrance Inputs'!$N$38,AY$10&lt;'Torrance Inputs'!$N$40),'Torrance Inputs'!$Q3*'Torrance Pro Forma'!$C46,IF(AY$10&gt;='Torrance Inputs'!$I$18,'Torrance Inputs'!$M$3*'Torrance Pro Forma'!$C46,0))</f>
        <v>0</v>
      </c>
      <c r="AZ24" s="266">
        <f>IF(AND(AZ$10&gt;='Torrance Inputs'!$N$38,AZ$10&lt;'Torrance Inputs'!$N$40),'Torrance Inputs'!$Q3*'Torrance Pro Forma'!$C46,IF(AZ$10&gt;='Torrance Inputs'!$I$18,'Torrance Inputs'!$M$3*'Torrance Pro Forma'!$C46,0))</f>
        <v>0</v>
      </c>
      <c r="BA24" s="266">
        <f>IF(AND(BA$10&gt;='Torrance Inputs'!$N$38,BA$10&lt;'Torrance Inputs'!$N$40),'Torrance Inputs'!$Q3*'Torrance Pro Forma'!$C46,IF(BA$10&gt;='Torrance Inputs'!$I$18,'Torrance Inputs'!$M$3*'Torrance Pro Forma'!$C46,0))</f>
        <v>0</v>
      </c>
      <c r="BB24" s="266">
        <f>IF(AND(BB$10&gt;='Torrance Inputs'!$N$38,BB$10&lt;'Torrance Inputs'!$N$40),'Torrance Inputs'!$Q3*'Torrance Pro Forma'!$C46,IF(BB$10&gt;='Torrance Inputs'!$I$18,'Torrance Inputs'!$M$3*'Torrance Pro Forma'!$C46,0))</f>
        <v>0</v>
      </c>
      <c r="BC24" s="266">
        <f>IF(AND(BC$10&gt;='Torrance Inputs'!$N$38,BC$10&lt;'Torrance Inputs'!$N$40),'Torrance Inputs'!$Q3*'Torrance Pro Forma'!$C46,IF(BC$10&gt;='Torrance Inputs'!$I$18,'Torrance Inputs'!$M$3*'Torrance Pro Forma'!$C46,0))</f>
        <v>0</v>
      </c>
      <c r="BD24" s="266">
        <f>IF(AND(BD$10&gt;='Torrance Inputs'!$N$38,BD$10&lt;'Torrance Inputs'!$N$40),'Torrance Inputs'!$Q3*'Torrance Pro Forma'!$C46,IF(BD$10&gt;='Torrance Inputs'!$I$18,'Torrance Inputs'!$M$3*'Torrance Pro Forma'!$C46,0))</f>
        <v>0</v>
      </c>
      <c r="BE24" s="266">
        <f>IF(AND(BE$10&gt;='Torrance Inputs'!$N$38,BE$10&lt;'Torrance Inputs'!$N$40),'Torrance Inputs'!$Q3*'Torrance Pro Forma'!$C46,IF(BE$10&gt;='Torrance Inputs'!$I$18,'Torrance Inputs'!$M$3*'Torrance Pro Forma'!$C46,0))</f>
        <v>0</v>
      </c>
      <c r="BF24" s="266">
        <f>IF(AND(BF$10&gt;='Torrance Inputs'!$N$38,BF$10&lt;'Torrance Inputs'!$N$40),'Torrance Inputs'!$Q3*'Torrance Pro Forma'!$C46,IF(BF$10&gt;='Torrance Inputs'!$I$18,'Torrance Inputs'!$M$3*'Torrance Pro Forma'!$C46,0))</f>
        <v>0</v>
      </c>
      <c r="BG24" s="266">
        <f>IF(AND(BG$10&gt;='Torrance Inputs'!$N$38,BG$10&lt;'Torrance Inputs'!$N$40),'Torrance Inputs'!$Q3*'Torrance Pro Forma'!$C46,IF(BG$10&gt;='Torrance Inputs'!$I$18,'Torrance Inputs'!$M$3*'Torrance Pro Forma'!$C46,0))</f>
        <v>0</v>
      </c>
      <c r="BH24" s="266">
        <f>IF(AND(BH$10&gt;='Torrance Inputs'!$N$38,BH$10&lt;'Torrance Inputs'!$N$40),'Torrance Inputs'!$Q3*'Torrance Pro Forma'!$C46,IF(BH$10&gt;='Torrance Inputs'!$I$18,'Torrance Inputs'!$M$3*'Torrance Pro Forma'!$C46,0))</f>
        <v>0</v>
      </c>
      <c r="BI24" s="266">
        <f>IF(AND(BI$10&gt;='Torrance Inputs'!$N$38,BI$10&lt;'Torrance Inputs'!$N$40),'Torrance Inputs'!$Q3*'Torrance Pro Forma'!$C46,IF(BI$10&gt;='Torrance Inputs'!$I$18,'Torrance Inputs'!$M$3*'Torrance Pro Forma'!$C46,0))</f>
        <v>0</v>
      </c>
      <c r="BJ24" s="266">
        <f>IF(AND(BJ$10&gt;='Torrance Inputs'!$N$38,BJ$10&lt;'Torrance Inputs'!$N$40),'Torrance Inputs'!$Q3*'Torrance Pro Forma'!$C46,IF(BJ$10&gt;='Torrance Inputs'!$I$18,'Torrance Inputs'!$M$3*'Torrance Pro Forma'!$C46,0))</f>
        <v>0</v>
      </c>
      <c r="BK24" s="266">
        <f>IF(AND(BK$10&gt;='Torrance Inputs'!$N$38,BK$10&lt;'Torrance Inputs'!$N$40),'Torrance Inputs'!$Q3*'Torrance Pro Forma'!$C46,IF(BK$10&gt;='Torrance Inputs'!$I$18,'Torrance Inputs'!$M$3*'Torrance Pro Forma'!$C46,0))</f>
        <v>1250</v>
      </c>
      <c r="BL24" s="266">
        <f>IF(AND(BL$10&gt;='Torrance Inputs'!$N$38,BL$10&lt;'Torrance Inputs'!$N$40),'Torrance Inputs'!$Q3*'Torrance Pro Forma'!$C46,IF(BL$10&gt;='Torrance Inputs'!$I$18,'Torrance Inputs'!$M$3*'Torrance Pro Forma'!$C46,0))</f>
        <v>1250</v>
      </c>
      <c r="BM24" s="266">
        <f>IF(AND(BM$10&gt;='Torrance Inputs'!$N$38,BM$10&lt;'Torrance Inputs'!$N$40),'Torrance Inputs'!$Q3*'Torrance Pro Forma'!$C46,IF(BM$10&gt;='Torrance Inputs'!$I$18,'Torrance Inputs'!$M$3*'Torrance Pro Forma'!$C46,0))</f>
        <v>1250</v>
      </c>
      <c r="BN24" s="266">
        <f>IF(AND(BN$10&gt;='Torrance Inputs'!$N$38,BN$10&lt;'Torrance Inputs'!$N$40),'Torrance Inputs'!$Q3*'Torrance Pro Forma'!$C46,IF(BN$10&gt;='Torrance Inputs'!$I$18,'Torrance Inputs'!$M$3*'Torrance Pro Forma'!$C46,0))</f>
        <v>1250</v>
      </c>
      <c r="BO24" s="266">
        <f>IF(AND(BO$10&gt;='Torrance Inputs'!$N$38,BO$10&lt;'Torrance Inputs'!$N$40),'Torrance Inputs'!$Q3*'Torrance Pro Forma'!$C46,IF(BO$10&gt;='Torrance Inputs'!$I$18,'Torrance Inputs'!$M$3*'Torrance Pro Forma'!$C46,0))</f>
        <v>1250</v>
      </c>
      <c r="BP24" s="266">
        <f>IF(AND(BP$10&gt;='Torrance Inputs'!$N$38,BP$10&lt;'Torrance Inputs'!$N$40),'Torrance Inputs'!$Q3*'Torrance Pro Forma'!$C46,IF(BP$10&gt;='Torrance Inputs'!$I$18,'Torrance Inputs'!$M$3*'Torrance Pro Forma'!$C46,0))</f>
        <v>1250</v>
      </c>
      <c r="BQ24" s="266">
        <f>IF(AND(BQ$10&gt;='Torrance Inputs'!$N$38,BQ$10&lt;'Torrance Inputs'!$N$40),'Torrance Inputs'!$Q3*'Torrance Pro Forma'!$C46,IF(BQ$10&gt;='Torrance Inputs'!$I$18,'Torrance Inputs'!$M$3*'Torrance Pro Forma'!$C46,0))</f>
        <v>1250</v>
      </c>
      <c r="BR24" s="266">
        <f>IF(AND(BR$10&gt;='Torrance Inputs'!$N$38,BR$10&lt;'Torrance Inputs'!$N$40),'Torrance Inputs'!$Q3*'Torrance Pro Forma'!$C46,IF(BR$10&gt;='Torrance Inputs'!$I$18,'Torrance Inputs'!$M$3*'Torrance Pro Forma'!$C46,0))</f>
        <v>1250</v>
      </c>
      <c r="BS24" s="266">
        <f>IF(AND(BS$10&gt;='Torrance Inputs'!$N$38,BS$10&lt;'Torrance Inputs'!$N$40),'Torrance Inputs'!$Q3*'Torrance Pro Forma'!$C46,IF(BS$10&gt;='Torrance Inputs'!$I$18,'Torrance Inputs'!$M$3*'Torrance Pro Forma'!$C46,0))</f>
        <v>1250</v>
      </c>
      <c r="BT24" s="266">
        <f>IF(AND(BT$10&gt;='Torrance Inputs'!$N$38,BT$10&lt;'Torrance Inputs'!$N$40),'Torrance Inputs'!$Q3*'Torrance Pro Forma'!$C46,IF(BT$10&gt;='Torrance Inputs'!$I$18,'Torrance Inputs'!$M$3*'Torrance Pro Forma'!$C46,0))</f>
        <v>1250</v>
      </c>
      <c r="BU24" s="266">
        <f>IF(AND(BU$10&gt;='Torrance Inputs'!$N$38,BU$10&lt;'Torrance Inputs'!$N$40),'Torrance Inputs'!$Q3*'Torrance Pro Forma'!$C46,IF(BU$10&gt;='Torrance Inputs'!$I$18,'Torrance Inputs'!$M$3*'Torrance Pro Forma'!$C46,0))</f>
        <v>1250</v>
      </c>
      <c r="BV24" s="266">
        <f>IF(AND(BV$10&gt;='Torrance Inputs'!$N$38,BV$10&lt;'Torrance Inputs'!$N$40),'Torrance Inputs'!$Q3*'Torrance Pro Forma'!$C46,IF(BV$10&gt;='Torrance Inputs'!$I$18,'Torrance Inputs'!$M$3*'Torrance Pro Forma'!$C46,0))</f>
        <v>1250</v>
      </c>
      <c r="BW24" s="266">
        <f>IF(AND(BW$10&gt;='Torrance Inputs'!$N$38,BW$10&lt;'Torrance Inputs'!$N$40),'Torrance Inputs'!$Q3*'Torrance Pro Forma'!$C46,IF(BW$10&gt;='Torrance Inputs'!$I$18,'Torrance Inputs'!$M$3*'Torrance Pro Forma'!$C46,0))</f>
        <v>1250</v>
      </c>
      <c r="BX24" s="266">
        <f>IF(AND(BX$10&gt;='Torrance Inputs'!$N$38,BX$10&lt;'Torrance Inputs'!$N$40),'Torrance Inputs'!$Q3*'Torrance Pro Forma'!$C46,IF(BX$10&gt;='Torrance Inputs'!$I$18,'Torrance Inputs'!$M$3*'Torrance Pro Forma'!$C46,0))</f>
        <v>1250</v>
      </c>
      <c r="BY24" s="266">
        <f>IF(AND(BY$10&gt;='Torrance Inputs'!$N$38,BY$10&lt;'Torrance Inputs'!$N$40),'Torrance Inputs'!$Q3*'Torrance Pro Forma'!$C46,IF(BY$10&gt;='Torrance Inputs'!$I$18,'Torrance Inputs'!$M$3*'Torrance Pro Forma'!$C46,0))</f>
        <v>1250</v>
      </c>
      <c r="BZ24" s="266">
        <f>IF(AND(BZ$10&gt;='Torrance Inputs'!$N$38,BZ$10&lt;'Torrance Inputs'!$N$40),'Torrance Inputs'!$Q3*'Torrance Pro Forma'!$C46,IF(BZ$10&gt;='Torrance Inputs'!$I$18,'Torrance Inputs'!$M$3*'Torrance Pro Forma'!$C46,0))</f>
        <v>1250</v>
      </c>
      <c r="CA24" s="266">
        <f>IF(AND(CA$10&gt;='Torrance Inputs'!$N$38,CA$10&lt;'Torrance Inputs'!$N$40),'Torrance Inputs'!$Q3*'Torrance Pro Forma'!$C46,IF(CA$10&gt;='Torrance Inputs'!$I$18,'Torrance Inputs'!$M$3*'Torrance Pro Forma'!$C46,0))</f>
        <v>1250</v>
      </c>
      <c r="CB24" s="266">
        <f>IF(AND(CB$10&gt;='Torrance Inputs'!$N$38,CB$10&lt;'Torrance Inputs'!$N$40),'Torrance Inputs'!$Q3*'Torrance Pro Forma'!$C46,IF(CB$10&gt;='Torrance Inputs'!$I$18,'Torrance Inputs'!$M$3*'Torrance Pro Forma'!$C46,0))</f>
        <v>1250</v>
      </c>
      <c r="CC24" s="266">
        <f>IF(AND(CC$10&gt;='Torrance Inputs'!$N$38,CC$10&lt;'Torrance Inputs'!$N$40),'Torrance Inputs'!$Q3*'Torrance Pro Forma'!$C46,IF(CC$10&gt;='Torrance Inputs'!$I$18,'Torrance Inputs'!$M$3*'Torrance Pro Forma'!$C46,0))</f>
        <v>1250</v>
      </c>
      <c r="CD24" s="266">
        <f>IF(AND(CD$10&gt;='Torrance Inputs'!$N$38,CD$10&lt;'Torrance Inputs'!$N$40),'Torrance Inputs'!$Q3*'Torrance Pro Forma'!$C46,IF(CD$10&gt;='Torrance Inputs'!$I$18,'Torrance Inputs'!$M$3*'Torrance Pro Forma'!$C46,0))</f>
        <v>1250</v>
      </c>
      <c r="CE24" s="266">
        <f>IF(AND(CE$10&gt;='Torrance Inputs'!$N$38,CE$10&lt;'Torrance Inputs'!$N$40),'Torrance Inputs'!$Q3*'Torrance Pro Forma'!$C46,IF(CE$10&gt;='Torrance Inputs'!$I$18,'Torrance Inputs'!$M$3*'Torrance Pro Forma'!$C46,0))</f>
        <v>1250</v>
      </c>
      <c r="CF24" s="266">
        <f>IF(AND(CF$10&gt;='Torrance Inputs'!$N$38,CF$10&lt;'Torrance Inputs'!$N$40),'Torrance Inputs'!$Q3*'Torrance Pro Forma'!$C46,IF(CF$10&gt;='Torrance Inputs'!$I$18,'Torrance Inputs'!$M$3*'Torrance Pro Forma'!$C46,0))</f>
        <v>1250</v>
      </c>
      <c r="CG24" s="266">
        <f>IF(AND(CG$10&gt;='Torrance Inputs'!$N$38,CG$10&lt;'Torrance Inputs'!$N$40),'Torrance Inputs'!$Q3*'Torrance Pro Forma'!$C46,IF(CG$10&gt;='Torrance Inputs'!$I$18,'Torrance Inputs'!$M$3*'Torrance Pro Forma'!$C46,0))</f>
        <v>1250</v>
      </c>
      <c r="CH24" s="266">
        <f>IF(AND(CH$10&gt;='Torrance Inputs'!$N$38,CH$10&lt;'Torrance Inputs'!$N$40),'Torrance Inputs'!$Q3*'Torrance Pro Forma'!$C46,IF(CH$10&gt;='Torrance Inputs'!$I$18,'Torrance Inputs'!$M$3*'Torrance Pro Forma'!$C46,0))</f>
        <v>1250</v>
      </c>
      <c r="CI24" s="266">
        <f>IF(AND(CI$10&gt;='Torrance Inputs'!$N$38,CI$10&lt;'Torrance Inputs'!$N$40),'Torrance Inputs'!$Q3*'Torrance Pro Forma'!$C46,IF(CI$10&gt;='Torrance Inputs'!$I$18,'Torrance Inputs'!$M$3*'Torrance Pro Forma'!$C46,0))</f>
        <v>1250</v>
      </c>
      <c r="CJ24" s="266">
        <f>IF(AND(CJ$10&gt;='Torrance Inputs'!$N$38,CJ$10&lt;'Torrance Inputs'!$N$40),'Torrance Inputs'!$Q3*'Torrance Pro Forma'!$C46,IF(CJ$10&gt;='Torrance Inputs'!$I$18,'Torrance Inputs'!$M$3*'Torrance Pro Forma'!$C46,0))</f>
        <v>1250</v>
      </c>
      <c r="CK24" s="266">
        <f>IF(AND(CK$10&gt;='Torrance Inputs'!$N$38,CK$10&lt;'Torrance Inputs'!$N$40),'Torrance Inputs'!$Q3*'Torrance Pro Forma'!$C46,IF(CK$10&gt;='Torrance Inputs'!$I$18,'Torrance Inputs'!$M$3*'Torrance Pro Forma'!$C46,0))</f>
        <v>1250</v>
      </c>
      <c r="CL24" s="266">
        <f>IF(AND(CL$10&gt;='Torrance Inputs'!$N$38,CL$10&lt;'Torrance Inputs'!$N$40),'Torrance Inputs'!$Q3*'Torrance Pro Forma'!$C46,IF(CL$10&gt;='Torrance Inputs'!$I$18,'Torrance Inputs'!$M$3*'Torrance Pro Forma'!$C46,0))</f>
        <v>1250</v>
      </c>
      <c r="CM24" s="266">
        <f>IF(AND(CM$10&gt;='Torrance Inputs'!$N$38,CM$10&lt;'Torrance Inputs'!$N$40),'Torrance Inputs'!$Q3*'Torrance Pro Forma'!$C46,IF(CM$10&gt;='Torrance Inputs'!$I$18,'Torrance Inputs'!$M$3*'Torrance Pro Forma'!$C46,0))</f>
        <v>1250</v>
      </c>
      <c r="CN24" s="266">
        <f>IF(AND(CN$10&gt;='Torrance Inputs'!$N$38,CN$10&lt;'Torrance Inputs'!$N$40),'Torrance Inputs'!$Q3*'Torrance Pro Forma'!$C46,IF(CN$10&gt;='Torrance Inputs'!$I$18,'Torrance Inputs'!$M$3*'Torrance Pro Forma'!$C46,0))</f>
        <v>1250</v>
      </c>
      <c r="CO24" s="266">
        <f>IF(AND(CO$10&gt;='Torrance Inputs'!$N$38,CO$10&lt;'Torrance Inputs'!$N$40),'Torrance Inputs'!$Q3*'Torrance Pro Forma'!$C46,IF(CO$10&gt;='Torrance Inputs'!$I$18,'Torrance Inputs'!$M$3*'Torrance Pro Forma'!$C46,0))</f>
        <v>1250</v>
      </c>
      <c r="CP24" s="266">
        <f>IF(AND(CP$10&gt;='Torrance Inputs'!$N$38,CP$10&lt;'Torrance Inputs'!$N$40),'Torrance Inputs'!$Q3*'Torrance Pro Forma'!$C46,IF(CP$10&gt;='Torrance Inputs'!$I$18,'Torrance Inputs'!$M$3*'Torrance Pro Forma'!$C46,0))</f>
        <v>1250</v>
      </c>
      <c r="CQ24" s="266">
        <f>IF(AND(CQ$10&gt;='Torrance Inputs'!$N$38,CQ$10&lt;'Torrance Inputs'!$N$40),'Torrance Inputs'!$Q3*'Torrance Pro Forma'!$C46,IF(CQ$10&gt;='Torrance Inputs'!$I$18,'Torrance Inputs'!$M$3*'Torrance Pro Forma'!$C46,0))</f>
        <v>1250</v>
      </c>
      <c r="CR24" s="266">
        <f>IF(AND(CR$10&gt;='Torrance Inputs'!$N$38,CR$10&lt;'Torrance Inputs'!$N$40),'Torrance Inputs'!$Q3*'Torrance Pro Forma'!$C46,IF(CR$10&gt;='Torrance Inputs'!$I$18,'Torrance Inputs'!$M$3*'Torrance Pro Forma'!$C46,0))</f>
        <v>1250</v>
      </c>
      <c r="CS24" s="266">
        <f>IF(AND(CS$10&gt;='Torrance Inputs'!$N$38,CS$10&lt;'Torrance Inputs'!$N$40),'Torrance Inputs'!$Q3*'Torrance Pro Forma'!$C46,IF(CS$10&gt;='Torrance Inputs'!$I$18,'Torrance Inputs'!$M$3*'Torrance Pro Forma'!$C46,0))</f>
        <v>1250</v>
      </c>
      <c r="CT24" s="266">
        <f>IF(AND(CT$10&gt;='Torrance Inputs'!$N$38,CT$10&lt;'Torrance Inputs'!$N$40),'Torrance Inputs'!$Q3*'Torrance Pro Forma'!$C46,IF(CT$10&gt;='Torrance Inputs'!$I$18,'Torrance Inputs'!$M$3*'Torrance Pro Forma'!$C46,0))</f>
        <v>1250</v>
      </c>
      <c r="CU24" s="266">
        <f>IF(AND(CU$10&gt;='Torrance Inputs'!$N$38,CU$10&lt;'Torrance Inputs'!$N$40),'Torrance Inputs'!$Q3*'Torrance Pro Forma'!$C46,IF(CU$10&gt;='Torrance Inputs'!$I$18,'Torrance Inputs'!$M$3*'Torrance Pro Forma'!$C46,0))</f>
        <v>1250</v>
      </c>
      <c r="CV24" s="266">
        <f>IF(AND(CV$10&gt;='Torrance Inputs'!$N$38,CV$10&lt;'Torrance Inputs'!$N$40),'Torrance Inputs'!$Q3*'Torrance Pro Forma'!$C46,IF(CV$10&gt;='Torrance Inputs'!$I$18,'Torrance Inputs'!$M$3*'Torrance Pro Forma'!$C46,0))</f>
        <v>1250</v>
      </c>
      <c r="CW24" s="266">
        <f>IF(AND(CW$10&gt;='Torrance Inputs'!$N$38,CW$10&lt;'Torrance Inputs'!$N$40),'Torrance Inputs'!$Q3*'Torrance Pro Forma'!$C46,IF(CW$10&gt;='Torrance Inputs'!$I$18,'Torrance Inputs'!$M$3*'Torrance Pro Forma'!$C46,0))</f>
        <v>1250</v>
      </c>
      <c r="CX24" s="266">
        <f>IF(AND(CX$10&gt;='Torrance Inputs'!$N$38,CX$10&lt;'Torrance Inputs'!$N$40),'Torrance Inputs'!$Q3*'Torrance Pro Forma'!$C46,IF(CX$10&gt;='Torrance Inputs'!$I$18,'Torrance Inputs'!$M$3*'Torrance Pro Forma'!$C46,0))</f>
        <v>1250</v>
      </c>
      <c r="CY24" s="266">
        <f>IF(AND(CY$10&gt;='Torrance Inputs'!$N$38,CY$10&lt;'Torrance Inputs'!$N$40),'Torrance Inputs'!$Q3*'Torrance Pro Forma'!$C46,IF(CY$10&gt;='Torrance Inputs'!$I$18,'Torrance Inputs'!$M$3*'Torrance Pro Forma'!$C46,0))</f>
        <v>1250</v>
      </c>
      <c r="CZ24" s="266">
        <f>IF(AND(CZ$10&gt;='Torrance Inputs'!$N$38,CZ$10&lt;'Torrance Inputs'!$N$40),'Torrance Inputs'!$Q3*'Torrance Pro Forma'!$C46,IF(CZ$10&gt;='Torrance Inputs'!$I$18,'Torrance Inputs'!$M$3*'Torrance Pro Forma'!$C46,0))</f>
        <v>1250</v>
      </c>
      <c r="DA24" s="266">
        <f>IF(AND(DA$10&gt;='Torrance Inputs'!$N$38,DA$10&lt;'Torrance Inputs'!$N$40),'Torrance Inputs'!$Q3*'Torrance Pro Forma'!$C46,IF(DA$10&gt;='Torrance Inputs'!$I$18,'Torrance Inputs'!$M$3*'Torrance Pro Forma'!$C46,0))</f>
        <v>1250</v>
      </c>
      <c r="DB24" s="266">
        <f>IF(AND(DB$10&gt;='Torrance Inputs'!$N$38,DB$10&lt;'Torrance Inputs'!$N$40),'Torrance Inputs'!$Q3*'Torrance Pro Forma'!$C46,IF(DB$10&gt;='Torrance Inputs'!$I$18,'Torrance Inputs'!$M$3*'Torrance Pro Forma'!$C46,0))</f>
        <v>1250</v>
      </c>
      <c r="DC24" s="266">
        <f>IF(AND(DC$10&gt;='Torrance Inputs'!$N$38,DC$10&lt;'Torrance Inputs'!$N$40),'Torrance Inputs'!$Q3*'Torrance Pro Forma'!$C46,IF(DC$10&gt;='Torrance Inputs'!$I$18,'Torrance Inputs'!$M$3*'Torrance Pro Forma'!$C46,0))</f>
        <v>1250</v>
      </c>
      <c r="DD24" s="266">
        <f>IF(AND(DD$10&gt;='Torrance Inputs'!$N$38,DD$10&lt;'Torrance Inputs'!$N$40),'Torrance Inputs'!$Q3*'Torrance Pro Forma'!$C46,IF(DD$10&gt;='Torrance Inputs'!$I$18,'Torrance Inputs'!$M$3*'Torrance Pro Forma'!$C46,0))</f>
        <v>1250</v>
      </c>
      <c r="DE24" s="266">
        <f>IF(AND(DE$10&gt;='Torrance Inputs'!$N$38,DE$10&lt;'Torrance Inputs'!$N$40),'Torrance Inputs'!$Q3*'Torrance Pro Forma'!$C46,IF(DE$10&gt;='Torrance Inputs'!$I$18,'Torrance Inputs'!$M$3*'Torrance Pro Forma'!$C46,0))</f>
        <v>1250</v>
      </c>
      <c r="DF24" s="266">
        <f>IF(AND(DF$10&gt;='Torrance Inputs'!$N$38,DF$10&lt;'Torrance Inputs'!$N$40),'Torrance Inputs'!$Q3*'Torrance Pro Forma'!$C46,IF(DF$10&gt;='Torrance Inputs'!$I$18,'Torrance Inputs'!$M$3*'Torrance Pro Forma'!$C46,0))</f>
        <v>1250</v>
      </c>
      <c r="DG24" s="266">
        <f>IF(AND(DG$10&gt;='Torrance Inputs'!$N$38,DG$10&lt;'Torrance Inputs'!$N$40),'Torrance Inputs'!$Q3*'Torrance Pro Forma'!$C46,IF(DG$10&gt;='Torrance Inputs'!$I$18,'Torrance Inputs'!$M$3*'Torrance Pro Forma'!$C46,0))</f>
        <v>1250</v>
      </c>
      <c r="DH24" s="266">
        <f>IF(AND(DH$10&gt;='Torrance Inputs'!$N$38,DH$10&lt;'Torrance Inputs'!$N$40),'Torrance Inputs'!$Q3*'Torrance Pro Forma'!$C46,IF(DH$10&gt;='Torrance Inputs'!$I$18,'Torrance Inputs'!$M$3*'Torrance Pro Forma'!$C46,0))</f>
        <v>1250</v>
      </c>
      <c r="DI24" s="266">
        <f>IF(AND(DI$10&gt;='Torrance Inputs'!$N$38,DI$10&lt;'Torrance Inputs'!$N$40),'Torrance Inputs'!$Q3*'Torrance Pro Forma'!$C46,IF(DI$10&gt;='Torrance Inputs'!$I$18,'Torrance Inputs'!$M$3*'Torrance Pro Forma'!$C46,0))</f>
        <v>1250</v>
      </c>
      <c r="DJ24" s="266">
        <f>IF(AND(DJ$10&gt;='Torrance Inputs'!$N$38,DJ$10&lt;'Torrance Inputs'!$N$40),'Torrance Inputs'!$Q3*'Torrance Pro Forma'!$C46,IF(DJ$10&gt;='Torrance Inputs'!$I$18,'Torrance Inputs'!$M$3*'Torrance Pro Forma'!$C46,0))</f>
        <v>1250</v>
      </c>
      <c r="DK24" s="266">
        <f>IF(AND(DK$10&gt;='Torrance Inputs'!$N$38,DK$10&lt;'Torrance Inputs'!$N$40),'Torrance Inputs'!$Q3*'Torrance Pro Forma'!$C46,IF(DK$10&gt;='Torrance Inputs'!$I$18,'Torrance Inputs'!$M$3*'Torrance Pro Forma'!$C46,0))</f>
        <v>1250</v>
      </c>
      <c r="DL24" s="266">
        <f>IF(AND(DL$10&gt;='Torrance Inputs'!$N$38,DL$10&lt;'Torrance Inputs'!$N$40),'Torrance Inputs'!$Q3*'Torrance Pro Forma'!$C46,IF(DL$10&gt;='Torrance Inputs'!$I$18,'Torrance Inputs'!$M$3*'Torrance Pro Forma'!$C46,0))</f>
        <v>1250</v>
      </c>
      <c r="DM24" s="266">
        <f>IF(AND(DM$10&gt;='Torrance Inputs'!$N$38,DM$10&lt;'Torrance Inputs'!$N$40),'Torrance Inputs'!$Q3*'Torrance Pro Forma'!$C46,IF(DM$10&gt;='Torrance Inputs'!$I$18,'Torrance Inputs'!$M$3*'Torrance Pro Forma'!$C46,0))</f>
        <v>1250</v>
      </c>
      <c r="DN24" s="266">
        <f>IF(AND(DN$10&gt;='Torrance Inputs'!$N$38,DN$10&lt;'Torrance Inputs'!$N$40),'Torrance Inputs'!$Q3*'Torrance Pro Forma'!$C46,IF(DN$10&gt;='Torrance Inputs'!$I$18,'Torrance Inputs'!$M$3*'Torrance Pro Forma'!$C46,0))</f>
        <v>1250</v>
      </c>
      <c r="DO24" s="266">
        <f>IF(AND(DO$10&gt;='Torrance Inputs'!$N$38,DO$10&lt;'Torrance Inputs'!$N$40),'Torrance Inputs'!$Q3*'Torrance Pro Forma'!$C46,IF(DO$10&gt;='Torrance Inputs'!$I$18,'Torrance Inputs'!$M$3*'Torrance Pro Forma'!$C46,0))</f>
        <v>1250</v>
      </c>
      <c r="DP24" s="266">
        <f>IF(AND(DP$10&gt;='Torrance Inputs'!$N$38,DP$10&lt;'Torrance Inputs'!$N$40),'Torrance Inputs'!$Q3*'Torrance Pro Forma'!$C46,IF(DP$10&gt;='Torrance Inputs'!$I$18,'Torrance Inputs'!$M$3*'Torrance Pro Forma'!$C46,0))</f>
        <v>1250</v>
      </c>
      <c r="DQ24" s="266">
        <f>IF(AND(DQ$10&gt;='Torrance Inputs'!$N$38,DQ$10&lt;'Torrance Inputs'!$N$40),'Torrance Inputs'!$Q3*'Torrance Pro Forma'!$C46,IF(DQ$10&gt;='Torrance Inputs'!$I$18,'Torrance Inputs'!$M$3*'Torrance Pro Forma'!$C46,0))</f>
        <v>1250</v>
      </c>
      <c r="DR24" s="266">
        <f>IF(AND(DR$10&gt;='Torrance Inputs'!$N$38,DR$10&lt;'Torrance Inputs'!$N$40),'Torrance Inputs'!$Q3*'Torrance Pro Forma'!$C46,IF(DR$10&gt;='Torrance Inputs'!$I$18,'Torrance Inputs'!$M$3*'Torrance Pro Forma'!$C46,0))</f>
        <v>1250</v>
      </c>
      <c r="DS24" s="266">
        <f>IF(AND(DS$10&gt;='Torrance Inputs'!$N$38,DS$10&lt;'Torrance Inputs'!$N$40),'Torrance Inputs'!$Q3*'Torrance Pro Forma'!$C46,IF(DS$10&gt;='Torrance Inputs'!$I$18,'Torrance Inputs'!$M$3*'Torrance Pro Forma'!$C46,0))</f>
        <v>1250</v>
      </c>
      <c r="DT24" s="266">
        <f>IF(AND(DT$10&gt;='Torrance Inputs'!$N$38,DT$10&lt;'Torrance Inputs'!$N$40),'Torrance Inputs'!$Q3*'Torrance Pro Forma'!$C46,IF(DT$10&gt;='Torrance Inputs'!$I$18,'Torrance Inputs'!$M$3*'Torrance Pro Forma'!$C46,0))</f>
        <v>1250</v>
      </c>
      <c r="DU24" s="266">
        <f>IF(AND(DU$10&gt;='Torrance Inputs'!$N$38,DU$10&lt;'Torrance Inputs'!$N$40),'Torrance Inputs'!$Q3*'Torrance Pro Forma'!$C46,IF(DU$10&gt;='Torrance Inputs'!$I$18,'Torrance Inputs'!$M$3*'Torrance Pro Forma'!$C46,0))</f>
        <v>1250</v>
      </c>
      <c r="DV24" s="266">
        <f>IF(AND(DV$10&gt;='Torrance Inputs'!$N$38,DV$10&lt;'Torrance Inputs'!$N$40),'Torrance Inputs'!$Q3*'Torrance Pro Forma'!$C46,IF(DV$10&gt;='Torrance Inputs'!$I$18,'Torrance Inputs'!$M$3*'Torrance Pro Forma'!$C46,0))</f>
        <v>1250</v>
      </c>
      <c r="DW24" s="266">
        <f>IF(AND(DW$10&gt;='Torrance Inputs'!$N$38,DW$10&lt;'Torrance Inputs'!$N$40),'Torrance Inputs'!$Q3*'Torrance Pro Forma'!$C46,IF(DW$10&gt;='Torrance Inputs'!$I$18,'Torrance Inputs'!$M$3*'Torrance Pro Forma'!$C46,0))</f>
        <v>1250</v>
      </c>
      <c r="DX24" s="266">
        <f>IF(AND(DX$10&gt;='Torrance Inputs'!$N$38,DX$10&lt;'Torrance Inputs'!$N$40),'Torrance Inputs'!$Q3*'Torrance Pro Forma'!$C46,IF(DX$10&gt;='Torrance Inputs'!$I$18,'Torrance Inputs'!$M$3*'Torrance Pro Forma'!$C46,0))</f>
        <v>1250</v>
      </c>
      <c r="DY24" s="266">
        <f>IF(AND(DY$10&gt;='Torrance Inputs'!$N$38,DY$10&lt;'Torrance Inputs'!$N$40),'Torrance Inputs'!$Q3*'Torrance Pro Forma'!$C46,IF(DY$10&gt;='Torrance Inputs'!$I$18,'Torrance Inputs'!$M$3*'Torrance Pro Forma'!$C46,0))</f>
        <v>1250</v>
      </c>
      <c r="DZ24" s="266">
        <f>IF(AND(DZ$10&gt;='Torrance Inputs'!$N$38,DZ$10&lt;'Torrance Inputs'!$N$40),'Torrance Inputs'!$Q3*'Torrance Pro Forma'!$C46,IF(DZ$10&gt;='Torrance Inputs'!$I$18,'Torrance Inputs'!$M$3*'Torrance Pro Forma'!$C46,0))</f>
        <v>1250</v>
      </c>
      <c r="EA24" s="266">
        <f>IF(AND(EA$10&gt;='Torrance Inputs'!$N$38,EA$10&lt;'Torrance Inputs'!$N$40),'Torrance Inputs'!$Q3*'Torrance Pro Forma'!$C46,IF(EA$10&gt;='Torrance Inputs'!$I$18,'Torrance Inputs'!$M$3*'Torrance Pro Forma'!$C46,0))</f>
        <v>1250</v>
      </c>
      <c r="EB24" s="266">
        <f>IF(AND(EB$10&gt;='Torrance Inputs'!$N$38,EB$10&lt;'Torrance Inputs'!$N$40),'Torrance Inputs'!$Q3*'Torrance Pro Forma'!$C46,IF(EB$10&gt;='Torrance Inputs'!$I$18,'Torrance Inputs'!$M$3*'Torrance Pro Forma'!$C46,0))</f>
        <v>1250</v>
      </c>
      <c r="EC24" s="266">
        <f>IF(AND(EC$10&gt;='Torrance Inputs'!$N$38,EC$10&lt;'Torrance Inputs'!$N$40),'Torrance Inputs'!$Q3*'Torrance Pro Forma'!$C46,IF(EC$10&gt;='Torrance Inputs'!$I$18,'Torrance Inputs'!$M$3*'Torrance Pro Forma'!$C46,0))</f>
        <v>1250</v>
      </c>
      <c r="ED24" s="266">
        <f>IF(AND(ED$10&gt;='Torrance Inputs'!$N$38,ED$10&lt;'Torrance Inputs'!$N$40),'Torrance Inputs'!$Q3*'Torrance Pro Forma'!$C46,IF(ED$10&gt;='Torrance Inputs'!$I$18,'Torrance Inputs'!$M$3*'Torrance Pro Forma'!$C46,0))</f>
        <v>1250</v>
      </c>
    </row>
    <row r="25" spans="1:134" ht="19.149999999999999" customHeight="1" x14ac:dyDescent="0.4">
      <c r="A25" s="270" t="s">
        <v>79</v>
      </c>
      <c r="B25" s="270"/>
      <c r="C25" s="266">
        <f>IF(AND(C$10&gt;='Torrance Inputs'!$N$38,C$10&lt;'Torrance Inputs'!$N$40),'Torrance Inputs'!$Q4*'Torrance Pro Forma'!C$47,IF(C$10&gt;='Torrance Inputs'!$I$18,'Torrance Inputs'!$M$3*'Torrance Pro Forma'!C$47,0))</f>
        <v>1250</v>
      </c>
      <c r="D25" s="266">
        <f>IF(AND(D$10&gt;='Torrance Inputs'!$N$38,D$10&lt;'Torrance Inputs'!$N$40),'Torrance Inputs'!$Q4*'Torrance Pro Forma'!D$47,IF(D$10&gt;='Torrance Inputs'!$I$18,'Torrance Inputs'!$M$3*'Torrance Pro Forma'!D$47,0))</f>
        <v>1250</v>
      </c>
      <c r="E25" s="266">
        <f>IF(AND(E$10&gt;='Torrance Inputs'!$N$38,E$10&lt;'Torrance Inputs'!$N$40),'Torrance Inputs'!$Q4*'Torrance Pro Forma'!E$47,IF(E$10&gt;='Torrance Inputs'!$I$18,'Torrance Inputs'!$M$3*'Torrance Pro Forma'!E$47,0))</f>
        <v>1250</v>
      </c>
      <c r="F25" s="266">
        <f>IF(AND(F$10&gt;='Torrance Inputs'!$N$38,F$10&lt;'Torrance Inputs'!$N$40),'Torrance Inputs'!$Q4*'Torrance Pro Forma'!F$47,IF(F$10&gt;='Torrance Inputs'!$I$18,'Torrance Inputs'!$M$3*'Torrance Pro Forma'!F$47,0))</f>
        <v>1250</v>
      </c>
      <c r="G25" s="266">
        <f>IF(AND(G$10&gt;='Torrance Inputs'!$N$38,G$10&lt;'Torrance Inputs'!$N$40),'Torrance Inputs'!$Q4*'Torrance Pro Forma'!G$47,IF(G$10&gt;='Torrance Inputs'!$I$18,'Torrance Inputs'!$M$3*'Torrance Pro Forma'!G$47,0))</f>
        <v>1250</v>
      </c>
      <c r="H25" s="266">
        <f>IF(AND(H$10&gt;='Torrance Inputs'!$N$38,H$10&lt;'Torrance Inputs'!$N$40),'Torrance Inputs'!$Q4*'Torrance Pro Forma'!H$47,IF(H$10&gt;='Torrance Inputs'!$I$18,'Torrance Inputs'!$M$3*'Torrance Pro Forma'!H$47,0))</f>
        <v>1250</v>
      </c>
      <c r="I25" s="266">
        <f>IF(AND(I$10&gt;='Torrance Inputs'!$N$38,I$10&lt;'Torrance Inputs'!$N$40),'Torrance Inputs'!$Q4*'Torrance Pro Forma'!I$47,IF(I$10&gt;='Torrance Inputs'!$I$18,'Torrance Inputs'!$M$3*'Torrance Pro Forma'!I$47,0))</f>
        <v>1250</v>
      </c>
      <c r="J25" s="266">
        <f>IF(AND(J$10&gt;='Torrance Inputs'!$N$38,J$10&lt;'Torrance Inputs'!$N$40),'Torrance Inputs'!$Q4*'Torrance Pro Forma'!J$47,IF(J$10&gt;='Torrance Inputs'!$I$18,'Torrance Inputs'!$M$3*'Torrance Pro Forma'!J$47,0))</f>
        <v>1250</v>
      </c>
      <c r="K25" s="266">
        <f>IF(AND(K$10&gt;='Torrance Inputs'!$N$38,K$10&lt;'Torrance Inputs'!$N$40),'Torrance Inputs'!$Q4*'Torrance Pro Forma'!K$47,IF(K$10&gt;='Torrance Inputs'!$I$18,'Torrance Inputs'!$M$3*'Torrance Pro Forma'!K$47,0))</f>
        <v>1250</v>
      </c>
      <c r="L25" s="266">
        <f>IF(AND(L$10&gt;='Torrance Inputs'!$N$38,L$10&lt;'Torrance Inputs'!$N$40),'Torrance Inputs'!$Q4*'Torrance Pro Forma'!L$47,IF(L$10&gt;='Torrance Inputs'!$I$18,'Torrance Inputs'!$M$3*'Torrance Pro Forma'!L$47,0))</f>
        <v>1250</v>
      </c>
      <c r="M25" s="266">
        <f>IF(AND(M$10&gt;='Torrance Inputs'!$N$38,M$10&lt;'Torrance Inputs'!$N$40),'Torrance Inputs'!$Q4*'Torrance Pro Forma'!M$47,IF(M$10&gt;='Torrance Inputs'!$I$18,'Torrance Inputs'!$M$3*'Torrance Pro Forma'!M$47,0))</f>
        <v>1250</v>
      </c>
      <c r="N25" s="266">
        <f>IF(AND(N$10&gt;='Torrance Inputs'!$N$38,N$10&lt;'Torrance Inputs'!$N$40),'Torrance Inputs'!$Q4*'Torrance Pro Forma'!N$47,IF(N$10&gt;='Torrance Inputs'!$I$18,'Torrance Inputs'!$M$3*'Torrance Pro Forma'!N$47,0))</f>
        <v>1250</v>
      </c>
      <c r="O25" s="266">
        <f>IF(AND(O$10&gt;='Torrance Inputs'!$N$38,O$10&lt;'Torrance Inputs'!$N$40),'Torrance Inputs'!$Q4*'Torrance Pro Forma'!O$47,IF(O$10&gt;='Torrance Inputs'!$I$18,'Torrance Inputs'!$M$3*'Torrance Pro Forma'!O$47,0))</f>
        <v>1287.5</v>
      </c>
      <c r="P25" s="266">
        <f>IF(AND(P$10&gt;='Torrance Inputs'!$N$38,P$10&lt;'Torrance Inputs'!$N$40),'Torrance Inputs'!$Q4*'Torrance Pro Forma'!P$47,IF(P$10&gt;='Torrance Inputs'!$I$18,'Torrance Inputs'!$M$3*'Torrance Pro Forma'!P$47,0))</f>
        <v>1287.5</v>
      </c>
      <c r="Q25" s="266">
        <f>IF(AND(Q$10&gt;='Torrance Inputs'!$N$38,Q$10&lt;'Torrance Inputs'!$N$40),'Torrance Inputs'!$Q4*'Torrance Pro Forma'!Q$47,IF(Q$10&gt;='Torrance Inputs'!$I$18,'Torrance Inputs'!$M$3*'Torrance Pro Forma'!Q$47,0))</f>
        <v>1287.5</v>
      </c>
      <c r="R25" s="266">
        <f>IF(AND(R$10&gt;='Torrance Inputs'!$N$38,R$10&lt;'Torrance Inputs'!$N$40),'Torrance Inputs'!$Q4*'Torrance Pro Forma'!R$47,IF(R$10&gt;='Torrance Inputs'!$I$18,'Torrance Inputs'!$M$3*'Torrance Pro Forma'!R$47,0))</f>
        <v>1287.5</v>
      </c>
      <c r="S25" s="266">
        <f>IF(AND(S$10&gt;='Torrance Inputs'!$N$38,S$10&lt;'Torrance Inputs'!$N$40),'Torrance Inputs'!$Q4*'Torrance Pro Forma'!S$47,IF(S$10&gt;='Torrance Inputs'!$I$18,'Torrance Inputs'!$M$3*'Torrance Pro Forma'!S$47,0))</f>
        <v>1287.5</v>
      </c>
      <c r="T25" s="266">
        <f>IF(AND(T$10&gt;='Torrance Inputs'!$N$38,T$10&lt;'Torrance Inputs'!$N$40),'Torrance Inputs'!$Q4*'Torrance Pro Forma'!T$47,IF(T$10&gt;='Torrance Inputs'!$I$18,'Torrance Inputs'!$M$3*'Torrance Pro Forma'!T$47,0))</f>
        <v>1287.5</v>
      </c>
      <c r="U25" s="266">
        <f>IF(AND(U$10&gt;='Torrance Inputs'!$N$38,U$10&lt;'Torrance Inputs'!$N$40),'Torrance Inputs'!$Q4*'Torrance Pro Forma'!U$47,IF(U$10&gt;='Torrance Inputs'!$I$18,'Torrance Inputs'!$M$3*'Torrance Pro Forma'!U$47,0))</f>
        <v>1287.5</v>
      </c>
      <c r="V25" s="266">
        <f>IF(AND(V$10&gt;='Torrance Inputs'!$N$38,V$10&lt;'Torrance Inputs'!$N$40),'Torrance Inputs'!$Q4*'Torrance Pro Forma'!V$47,IF(V$10&gt;='Torrance Inputs'!$I$18,'Torrance Inputs'!$M$3*'Torrance Pro Forma'!V$47,0))</f>
        <v>1287.5</v>
      </c>
      <c r="W25" s="266">
        <f>IF(AND(W$10&gt;='Torrance Inputs'!$N$38,W$10&lt;'Torrance Inputs'!$N$40),'Torrance Inputs'!$Q4*'Torrance Pro Forma'!W$47,IF(W$10&gt;='Torrance Inputs'!$I$18,'Torrance Inputs'!$M$3*'Torrance Pro Forma'!W$47,0))</f>
        <v>1287.5</v>
      </c>
      <c r="X25" s="266">
        <f>IF(AND(X$10&gt;='Torrance Inputs'!$N$38,X$10&lt;'Torrance Inputs'!$N$40),'Torrance Inputs'!$Q4*'Torrance Pro Forma'!X$47,IF(X$10&gt;='Torrance Inputs'!$I$18,'Torrance Inputs'!$M$3*'Torrance Pro Forma'!X$47,0))</f>
        <v>1287.5</v>
      </c>
      <c r="Y25" s="266">
        <f>IF(AND(Y$10&gt;='Torrance Inputs'!$N$38,Y$10&lt;'Torrance Inputs'!$N$40),'Torrance Inputs'!$Q4*'Torrance Pro Forma'!Y$47,IF(Y$10&gt;='Torrance Inputs'!$I$18,'Torrance Inputs'!$M$3*'Torrance Pro Forma'!Y$47,0))</f>
        <v>1287.5</v>
      </c>
      <c r="Z25" s="266">
        <f>IF(AND(Z$10&gt;='Torrance Inputs'!$N$38,Z$10&lt;'Torrance Inputs'!$N$40),'Torrance Inputs'!$Q4*'Torrance Pro Forma'!Z$47,IF(Z$10&gt;='Torrance Inputs'!$I$18,'Torrance Inputs'!$M$3*'Torrance Pro Forma'!Z$47,0))</f>
        <v>1287.5</v>
      </c>
      <c r="AA25" s="266">
        <f>IF(AND(AA$10&gt;='Torrance Inputs'!$N$38,AA$10&lt;'Torrance Inputs'!$N$40),'Torrance Inputs'!$Q4*'Torrance Pro Forma'!AA$47,IF(AA$10&gt;='Torrance Inputs'!$I$18,'Torrance Inputs'!$M$3*'Torrance Pro Forma'!AA$47,0))</f>
        <v>1326.125</v>
      </c>
      <c r="AB25" s="266">
        <f>IF(AND(AB$10&gt;='Torrance Inputs'!$N$38,AB$10&lt;'Torrance Inputs'!$N$40),'Torrance Inputs'!$Q4*'Torrance Pro Forma'!AB$47,IF(AB$10&gt;='Torrance Inputs'!$I$18,'Torrance Inputs'!$M$3*'Torrance Pro Forma'!AB$47,0))</f>
        <v>1326.125</v>
      </c>
      <c r="AC25" s="266">
        <f>IF(AND(AC$10&gt;='Torrance Inputs'!$N$38,AC$10&lt;'Torrance Inputs'!$N$40),'Torrance Inputs'!$Q4*'Torrance Pro Forma'!AC$47,IF(AC$10&gt;='Torrance Inputs'!$I$18,'Torrance Inputs'!$M$3*'Torrance Pro Forma'!AC$47,0))</f>
        <v>1326.125</v>
      </c>
      <c r="AD25" s="266">
        <f>IF(AND(AD$10&gt;='Torrance Inputs'!$N$38,AD$10&lt;'Torrance Inputs'!$N$40),'Torrance Inputs'!$Q4*'Torrance Pro Forma'!AD$47,IF(AD$10&gt;='Torrance Inputs'!$I$18,'Torrance Inputs'!$M$3*'Torrance Pro Forma'!AD$47,0))</f>
        <v>1326.125</v>
      </c>
      <c r="AE25" s="266">
        <f>IF(AND(AE$10&gt;='Torrance Inputs'!$N$38,AE$10&lt;'Torrance Inputs'!$N$40),'Torrance Inputs'!$Q4*'Torrance Pro Forma'!AE$47,IF(AE$10&gt;='Torrance Inputs'!$I$18,'Torrance Inputs'!$M$3*'Torrance Pro Forma'!AE$47,0))</f>
        <v>1326.125</v>
      </c>
      <c r="AF25" s="266">
        <f>IF(AND(AF$10&gt;='Torrance Inputs'!$N$38,AF$10&lt;'Torrance Inputs'!$N$40),'Torrance Inputs'!$Q4*'Torrance Pro Forma'!AF$47,IF(AF$10&gt;='Torrance Inputs'!$I$18,'Torrance Inputs'!$M$3*'Torrance Pro Forma'!AF$47,0))</f>
        <v>1326.125</v>
      </c>
      <c r="AG25" s="266">
        <f>IF(AND(AG$10&gt;='Torrance Inputs'!$N$38,AG$10&lt;'Torrance Inputs'!$N$40),'Torrance Inputs'!$Q4*'Torrance Pro Forma'!AG$47,IF(AG$10&gt;='Torrance Inputs'!$I$18,'Torrance Inputs'!$M$3*'Torrance Pro Forma'!AG$47,0))</f>
        <v>1326.125</v>
      </c>
      <c r="AH25" s="266">
        <f>IF(AND(AH$10&gt;='Torrance Inputs'!$N$38,AH$10&lt;'Torrance Inputs'!$N$40),'Torrance Inputs'!$Q4*'Torrance Pro Forma'!AH$47,IF(AH$10&gt;='Torrance Inputs'!$I$18,'Torrance Inputs'!$M$3*'Torrance Pro Forma'!AH$47,0))</f>
        <v>1326.125</v>
      </c>
      <c r="AI25" s="266">
        <f>IF(AND(AI$10&gt;='Torrance Inputs'!$N$38,AI$10&lt;'Torrance Inputs'!$N$40),'Torrance Inputs'!$Q4*'Torrance Pro Forma'!AI$47,IF(AI$10&gt;='Torrance Inputs'!$I$18,'Torrance Inputs'!$M$3*'Torrance Pro Forma'!AI$47,0))</f>
        <v>1326.125</v>
      </c>
      <c r="AJ25" s="266">
        <f>IF(AND(AJ$10&gt;='Torrance Inputs'!$N$38,AJ$10&lt;'Torrance Inputs'!$N$40),'Torrance Inputs'!$Q4*'Torrance Pro Forma'!AJ$47,IF(AJ$10&gt;='Torrance Inputs'!$I$18,'Torrance Inputs'!$M$3*'Torrance Pro Forma'!AJ$47,0))</f>
        <v>1326.125</v>
      </c>
      <c r="AK25" s="266">
        <f>IF(AND(AK$10&gt;='Torrance Inputs'!$N$38,AK$10&lt;'Torrance Inputs'!$N$40),'Torrance Inputs'!$Q4*'Torrance Pro Forma'!AK$47,IF(AK$10&gt;='Torrance Inputs'!$I$18,'Torrance Inputs'!$M$3*'Torrance Pro Forma'!AK$47,0))</f>
        <v>1326.125</v>
      </c>
      <c r="AL25" s="266">
        <f>IF(AND(AL$10&gt;='Torrance Inputs'!$N$38,AL$10&lt;'Torrance Inputs'!$N$40),'Torrance Inputs'!$Q4*'Torrance Pro Forma'!AL$47,IF(AL$10&gt;='Torrance Inputs'!$I$18,'Torrance Inputs'!$M$3*'Torrance Pro Forma'!AL$47,0))</f>
        <v>1326.125</v>
      </c>
      <c r="AM25" s="266">
        <f>IF(AND(AM$10&gt;='Torrance Inputs'!$N$38,AM$10&lt;'Torrance Inputs'!$N$40),'Torrance Inputs'!$Q4*'Torrance Pro Forma'!AM$47,IF(AM$10&gt;='Torrance Inputs'!$I$18,'Torrance Inputs'!$M$3*'Torrance Pro Forma'!AM$47,0))</f>
        <v>1365.9087500000001</v>
      </c>
      <c r="AN25" s="266">
        <f>IF(AND(AN$10&gt;='Torrance Inputs'!$N$38,AN$10&lt;'Torrance Inputs'!$N$40),'Torrance Inputs'!$Q4*'Torrance Pro Forma'!AN$47,IF(AN$10&gt;='Torrance Inputs'!$I$18,'Torrance Inputs'!$M$3*'Torrance Pro Forma'!AN$47,0))</f>
        <v>1365.9087500000001</v>
      </c>
      <c r="AO25" s="266">
        <f>IF(AND(AO$10&gt;='Torrance Inputs'!$N$38,AO$10&lt;'Torrance Inputs'!$N$40),'Torrance Inputs'!$Q4*'Torrance Pro Forma'!AO$47,IF(AO$10&gt;='Torrance Inputs'!$I$18,'Torrance Inputs'!$M$3*'Torrance Pro Forma'!AO$47,0))</f>
        <v>1365.9087500000001</v>
      </c>
      <c r="AP25" s="266">
        <f>IF(AND(AP$10&gt;='Torrance Inputs'!$N$38,AP$10&lt;'Torrance Inputs'!$N$40),'Torrance Inputs'!$Q4*'Torrance Pro Forma'!AP$47,IF(AP$10&gt;='Torrance Inputs'!$I$18,'Torrance Inputs'!$M$3*'Torrance Pro Forma'!AP$47,0))</f>
        <v>1365.9087500000001</v>
      </c>
      <c r="AQ25" s="266">
        <f>IF(AND(AQ$10&gt;='Torrance Inputs'!$N$38,AQ$10&lt;'Torrance Inputs'!$N$40),'Torrance Inputs'!$Q4*'Torrance Pro Forma'!AQ$47,IF(AQ$10&gt;='Torrance Inputs'!$I$18,'Torrance Inputs'!$M$3*'Torrance Pro Forma'!AQ$47,0))</f>
        <v>1365.9087500000001</v>
      </c>
      <c r="AR25" s="266">
        <f>IF(AND(AR$10&gt;='Torrance Inputs'!$N$38,AR$10&lt;'Torrance Inputs'!$N$40),'Torrance Inputs'!$Q4*'Torrance Pro Forma'!AR$47,IF(AR$10&gt;='Torrance Inputs'!$I$18,'Torrance Inputs'!$M$3*'Torrance Pro Forma'!AR$47,0))</f>
        <v>1365.9087500000001</v>
      </c>
      <c r="AS25" s="266">
        <f>IF(AND(AS$10&gt;='Torrance Inputs'!$N$38,AS$10&lt;'Torrance Inputs'!$N$40),'Torrance Inputs'!$Q4*'Torrance Pro Forma'!AS$47,IF(AS$10&gt;='Torrance Inputs'!$I$18,'Torrance Inputs'!$M$3*'Torrance Pro Forma'!AS$47,0))</f>
        <v>1365.9087500000001</v>
      </c>
      <c r="AT25" s="266">
        <f>IF(AND(AT$10&gt;='Torrance Inputs'!$N$38,AT$10&lt;'Torrance Inputs'!$N$40),'Torrance Inputs'!$Q4*'Torrance Pro Forma'!AT$47,IF(AT$10&gt;='Torrance Inputs'!$I$18,'Torrance Inputs'!$M$3*'Torrance Pro Forma'!AT$47,0))</f>
        <v>1365.9087500000001</v>
      </c>
      <c r="AU25" s="266">
        <f>IF(AND(AU$10&gt;='Torrance Inputs'!$N$38,AU$10&lt;'Torrance Inputs'!$N$40),'Torrance Inputs'!$Q4*'Torrance Pro Forma'!AU$47,IF(AU$10&gt;='Torrance Inputs'!$I$18,'Torrance Inputs'!$M$3*'Torrance Pro Forma'!AU$47,0))</f>
        <v>1365.9087500000001</v>
      </c>
      <c r="AV25" s="266">
        <f>IF(AND(AV$10&gt;='Torrance Inputs'!$N$38,AV$10&lt;'Torrance Inputs'!$N$40),'Torrance Inputs'!$Q4*'Torrance Pro Forma'!AV$47,IF(AV$10&gt;='Torrance Inputs'!$I$18,'Torrance Inputs'!$M$3*'Torrance Pro Forma'!AV$47,0))</f>
        <v>1365.9087500000001</v>
      </c>
      <c r="AW25" s="266">
        <f>IF(AND(AW$10&gt;='Torrance Inputs'!$N$38,AW$10&lt;'Torrance Inputs'!$N$40),'Torrance Inputs'!$Q4*'Torrance Pro Forma'!AW$47,IF(AW$10&gt;='Torrance Inputs'!$I$18,'Torrance Inputs'!$M$3*'Torrance Pro Forma'!AW$47,0))</f>
        <v>1365.9087500000001</v>
      </c>
      <c r="AX25" s="266">
        <f>IF(AND(AX$10&gt;='Torrance Inputs'!$N$38,AX$10&lt;'Torrance Inputs'!$N$40),'Torrance Inputs'!$Q4*'Torrance Pro Forma'!AX$47,IF(AX$10&gt;='Torrance Inputs'!$I$18,'Torrance Inputs'!$M$3*'Torrance Pro Forma'!AX$47,0))</f>
        <v>1365.9087500000001</v>
      </c>
      <c r="AY25" s="266">
        <f>IF(AND(AY$10&gt;='Torrance Inputs'!$N$38,AY$10&lt;'Torrance Inputs'!$N$40),'Torrance Inputs'!$Q4*'Torrance Pro Forma'!AY$47,IF(AY$10&gt;='Torrance Inputs'!$I$18,'Torrance Inputs'!$M$3*'Torrance Pro Forma'!AY$47,0))</f>
        <v>0</v>
      </c>
      <c r="AZ25" s="266">
        <f>IF(AND(AZ$10&gt;='Torrance Inputs'!$N$38,AZ$10&lt;'Torrance Inputs'!$N$40),'Torrance Inputs'!$Q4*'Torrance Pro Forma'!AZ$47,IF(AZ$10&gt;='Torrance Inputs'!$I$18,'Torrance Inputs'!$M$3*'Torrance Pro Forma'!AZ$47,0))</f>
        <v>0</v>
      </c>
      <c r="BA25" s="266">
        <f>IF(AND(BA$10&gt;='Torrance Inputs'!$N$38,BA$10&lt;'Torrance Inputs'!$N$40),'Torrance Inputs'!$Q4*'Torrance Pro Forma'!BA$47,IF(BA$10&gt;='Torrance Inputs'!$I$18,'Torrance Inputs'!$M$3*'Torrance Pro Forma'!BA$47,0))</f>
        <v>0</v>
      </c>
      <c r="BB25" s="266">
        <f>IF(AND(BB$10&gt;='Torrance Inputs'!$N$38,BB$10&lt;'Torrance Inputs'!$N$40),'Torrance Inputs'!$Q4*'Torrance Pro Forma'!BB$47,IF(BB$10&gt;='Torrance Inputs'!$I$18,'Torrance Inputs'!$M$3*'Torrance Pro Forma'!BB$47,0))</f>
        <v>0</v>
      </c>
      <c r="BC25" s="266">
        <f>IF(AND(BC$10&gt;='Torrance Inputs'!$N$38,BC$10&lt;'Torrance Inputs'!$N$40),'Torrance Inputs'!$Q4*'Torrance Pro Forma'!BC$47,IF(BC$10&gt;='Torrance Inputs'!$I$18,'Torrance Inputs'!$M$3*'Torrance Pro Forma'!BC$47,0))</f>
        <v>0</v>
      </c>
      <c r="BD25" s="266">
        <f>IF(AND(BD$10&gt;='Torrance Inputs'!$N$38,BD$10&lt;'Torrance Inputs'!$N$40),'Torrance Inputs'!$Q4*'Torrance Pro Forma'!BD$47,IF(BD$10&gt;='Torrance Inputs'!$I$18,'Torrance Inputs'!$M$3*'Torrance Pro Forma'!BD$47,0))</f>
        <v>0</v>
      </c>
      <c r="BE25" s="266">
        <f>IF(AND(BE$10&gt;='Torrance Inputs'!$N$38,BE$10&lt;'Torrance Inputs'!$N$40),'Torrance Inputs'!$Q4*'Torrance Pro Forma'!BE$47,IF(BE$10&gt;='Torrance Inputs'!$I$18,'Torrance Inputs'!$M$3*'Torrance Pro Forma'!BE$47,0))</f>
        <v>0</v>
      </c>
      <c r="BF25" s="266">
        <f>IF(AND(BF$10&gt;='Torrance Inputs'!$N$38,BF$10&lt;'Torrance Inputs'!$N$40),'Torrance Inputs'!$Q4*'Torrance Pro Forma'!BF$47,IF(BF$10&gt;='Torrance Inputs'!$I$18,'Torrance Inputs'!$M$3*'Torrance Pro Forma'!BF$47,0))</f>
        <v>0</v>
      </c>
      <c r="BG25" s="266">
        <f>IF(AND(BG$10&gt;='Torrance Inputs'!$N$38,BG$10&lt;'Torrance Inputs'!$N$40),'Torrance Inputs'!$Q4*'Torrance Pro Forma'!BG$47,IF(BG$10&gt;='Torrance Inputs'!$I$18,'Torrance Inputs'!$M$3*'Torrance Pro Forma'!BG$47,0))</f>
        <v>0</v>
      </c>
      <c r="BH25" s="266">
        <f>IF(AND(BH$10&gt;='Torrance Inputs'!$N$38,BH$10&lt;'Torrance Inputs'!$N$40),'Torrance Inputs'!$Q4*'Torrance Pro Forma'!BH$47,IF(BH$10&gt;='Torrance Inputs'!$I$18,'Torrance Inputs'!$M$3*'Torrance Pro Forma'!BH$47,0))</f>
        <v>0</v>
      </c>
      <c r="BI25" s="266">
        <f>IF(AND(BI$10&gt;='Torrance Inputs'!$N$38,BI$10&lt;'Torrance Inputs'!$N$40),'Torrance Inputs'!$Q4*'Torrance Pro Forma'!BI$47,IF(BI$10&gt;='Torrance Inputs'!$I$18,'Torrance Inputs'!$M$3*'Torrance Pro Forma'!BI$47,0))</f>
        <v>0</v>
      </c>
      <c r="BJ25" s="266">
        <f>IF(AND(BJ$10&gt;='Torrance Inputs'!$N$38,BJ$10&lt;'Torrance Inputs'!$N$40),'Torrance Inputs'!$Q4*'Torrance Pro Forma'!BJ$47,IF(BJ$10&gt;='Torrance Inputs'!$I$18,'Torrance Inputs'!$M$3*'Torrance Pro Forma'!BJ$47,0))</f>
        <v>0</v>
      </c>
      <c r="BK25" s="266">
        <f>IF(AND(BK$10&gt;='Torrance Inputs'!$N$38,BK$10&lt;'Torrance Inputs'!$N$40),'Torrance Inputs'!$Q4*'Torrance Pro Forma'!BK$47,IF(BK$10&gt;='Torrance Inputs'!$I$18,'Torrance Inputs'!$M$3*'Torrance Pro Forma'!BK$47,0))</f>
        <v>1449.0925928749998</v>
      </c>
      <c r="BL25" s="266">
        <f>IF(AND(BL$10&gt;='Torrance Inputs'!$N$38,BL$10&lt;'Torrance Inputs'!$N$40),'Torrance Inputs'!$Q4*'Torrance Pro Forma'!BL$47,IF(BL$10&gt;='Torrance Inputs'!$I$18,'Torrance Inputs'!$M$3*'Torrance Pro Forma'!BL$47,0))</f>
        <v>1449.0925928749998</v>
      </c>
      <c r="BM25" s="266">
        <f>IF(AND(BM$10&gt;='Torrance Inputs'!$N$38,BM$10&lt;'Torrance Inputs'!$N$40),'Torrance Inputs'!$Q4*'Torrance Pro Forma'!BM$47,IF(BM$10&gt;='Torrance Inputs'!$I$18,'Torrance Inputs'!$M$3*'Torrance Pro Forma'!BM$47,0))</f>
        <v>1449.0925928749998</v>
      </c>
      <c r="BN25" s="266">
        <f>IF(AND(BN$10&gt;='Torrance Inputs'!$N$38,BN$10&lt;'Torrance Inputs'!$N$40),'Torrance Inputs'!$Q4*'Torrance Pro Forma'!BN$47,IF(BN$10&gt;='Torrance Inputs'!$I$18,'Torrance Inputs'!$M$3*'Torrance Pro Forma'!BN$47,0))</f>
        <v>1449.0925928749998</v>
      </c>
      <c r="BO25" s="266">
        <f>IF(AND(BO$10&gt;='Torrance Inputs'!$N$38,BO$10&lt;'Torrance Inputs'!$N$40),'Torrance Inputs'!$Q4*'Torrance Pro Forma'!BO$47,IF(BO$10&gt;='Torrance Inputs'!$I$18,'Torrance Inputs'!$M$3*'Torrance Pro Forma'!BO$47,0))</f>
        <v>1449.0925928749998</v>
      </c>
      <c r="BP25" s="266">
        <f>IF(AND(BP$10&gt;='Torrance Inputs'!$N$38,BP$10&lt;'Torrance Inputs'!$N$40),'Torrance Inputs'!$Q4*'Torrance Pro Forma'!BP$47,IF(BP$10&gt;='Torrance Inputs'!$I$18,'Torrance Inputs'!$M$3*'Torrance Pro Forma'!BP$47,0))</f>
        <v>1449.0925928749998</v>
      </c>
      <c r="BQ25" s="266">
        <f>IF(AND(BQ$10&gt;='Torrance Inputs'!$N$38,BQ$10&lt;'Torrance Inputs'!$N$40),'Torrance Inputs'!$Q4*'Torrance Pro Forma'!BQ$47,IF(BQ$10&gt;='Torrance Inputs'!$I$18,'Torrance Inputs'!$M$3*'Torrance Pro Forma'!BQ$47,0))</f>
        <v>1449.0925928749998</v>
      </c>
      <c r="BR25" s="266">
        <f>IF(AND(BR$10&gt;='Torrance Inputs'!$N$38,BR$10&lt;'Torrance Inputs'!$N$40),'Torrance Inputs'!$Q4*'Torrance Pro Forma'!BR$47,IF(BR$10&gt;='Torrance Inputs'!$I$18,'Torrance Inputs'!$M$3*'Torrance Pro Forma'!BR$47,0))</f>
        <v>1449.0925928749998</v>
      </c>
      <c r="BS25" s="266">
        <f>IF(AND(BS$10&gt;='Torrance Inputs'!$N$38,BS$10&lt;'Torrance Inputs'!$N$40),'Torrance Inputs'!$Q4*'Torrance Pro Forma'!BS$47,IF(BS$10&gt;='Torrance Inputs'!$I$18,'Torrance Inputs'!$M$3*'Torrance Pro Forma'!BS$47,0))</f>
        <v>1449.0925928749998</v>
      </c>
      <c r="BT25" s="266">
        <f>IF(AND(BT$10&gt;='Torrance Inputs'!$N$38,BT$10&lt;'Torrance Inputs'!$N$40),'Torrance Inputs'!$Q4*'Torrance Pro Forma'!BT$47,IF(BT$10&gt;='Torrance Inputs'!$I$18,'Torrance Inputs'!$M$3*'Torrance Pro Forma'!BT$47,0))</f>
        <v>1449.0925928749998</v>
      </c>
      <c r="BU25" s="266">
        <f>IF(AND(BU$10&gt;='Torrance Inputs'!$N$38,BU$10&lt;'Torrance Inputs'!$N$40),'Torrance Inputs'!$Q4*'Torrance Pro Forma'!BU$47,IF(BU$10&gt;='Torrance Inputs'!$I$18,'Torrance Inputs'!$M$3*'Torrance Pro Forma'!BU$47,0))</f>
        <v>1449.0925928749998</v>
      </c>
      <c r="BV25" s="266">
        <f>IF(AND(BV$10&gt;='Torrance Inputs'!$N$38,BV$10&lt;'Torrance Inputs'!$N$40),'Torrance Inputs'!$Q4*'Torrance Pro Forma'!BV$47,IF(BV$10&gt;='Torrance Inputs'!$I$18,'Torrance Inputs'!$M$3*'Torrance Pro Forma'!BV$47,0))</f>
        <v>1449.0925928749998</v>
      </c>
      <c r="BW25" s="266">
        <f>IF(AND(BW$10&gt;='Torrance Inputs'!$N$38,BW$10&lt;'Torrance Inputs'!$N$40),'Torrance Inputs'!$Q4*'Torrance Pro Forma'!BW$47,IF(BW$10&gt;='Torrance Inputs'!$I$18,'Torrance Inputs'!$M$3*'Torrance Pro Forma'!BW$47,0))</f>
        <v>1492.56537066125</v>
      </c>
      <c r="BX25" s="266">
        <f>IF(AND(BX$10&gt;='Torrance Inputs'!$N$38,BX$10&lt;'Torrance Inputs'!$N$40),'Torrance Inputs'!$Q4*'Torrance Pro Forma'!BX$47,IF(BX$10&gt;='Torrance Inputs'!$I$18,'Torrance Inputs'!$M$3*'Torrance Pro Forma'!BX$47,0))</f>
        <v>1492.56537066125</v>
      </c>
      <c r="BY25" s="266">
        <f>IF(AND(BY$10&gt;='Torrance Inputs'!$N$38,BY$10&lt;'Torrance Inputs'!$N$40),'Torrance Inputs'!$Q4*'Torrance Pro Forma'!BY$47,IF(BY$10&gt;='Torrance Inputs'!$I$18,'Torrance Inputs'!$M$3*'Torrance Pro Forma'!BY$47,0))</f>
        <v>1492.56537066125</v>
      </c>
      <c r="BZ25" s="266">
        <f>IF(AND(BZ$10&gt;='Torrance Inputs'!$N$38,BZ$10&lt;'Torrance Inputs'!$N$40),'Torrance Inputs'!$Q4*'Torrance Pro Forma'!BZ$47,IF(BZ$10&gt;='Torrance Inputs'!$I$18,'Torrance Inputs'!$M$3*'Torrance Pro Forma'!BZ$47,0))</f>
        <v>1492.56537066125</v>
      </c>
      <c r="CA25" s="266">
        <f>IF(AND(CA$10&gt;='Torrance Inputs'!$N$38,CA$10&lt;'Torrance Inputs'!$N$40),'Torrance Inputs'!$Q4*'Torrance Pro Forma'!CA$47,IF(CA$10&gt;='Torrance Inputs'!$I$18,'Torrance Inputs'!$M$3*'Torrance Pro Forma'!CA$47,0))</f>
        <v>1492.56537066125</v>
      </c>
      <c r="CB25" s="266">
        <f>IF(AND(CB$10&gt;='Torrance Inputs'!$N$38,CB$10&lt;'Torrance Inputs'!$N$40),'Torrance Inputs'!$Q4*'Torrance Pro Forma'!CB$47,IF(CB$10&gt;='Torrance Inputs'!$I$18,'Torrance Inputs'!$M$3*'Torrance Pro Forma'!CB$47,0))</f>
        <v>1492.56537066125</v>
      </c>
      <c r="CC25" s="266">
        <f>IF(AND(CC$10&gt;='Torrance Inputs'!$N$38,CC$10&lt;'Torrance Inputs'!$N$40),'Torrance Inputs'!$Q4*'Torrance Pro Forma'!CC$47,IF(CC$10&gt;='Torrance Inputs'!$I$18,'Torrance Inputs'!$M$3*'Torrance Pro Forma'!CC$47,0))</f>
        <v>1492.56537066125</v>
      </c>
      <c r="CD25" s="266">
        <f>IF(AND(CD$10&gt;='Torrance Inputs'!$N$38,CD$10&lt;'Torrance Inputs'!$N$40),'Torrance Inputs'!$Q4*'Torrance Pro Forma'!CD$47,IF(CD$10&gt;='Torrance Inputs'!$I$18,'Torrance Inputs'!$M$3*'Torrance Pro Forma'!CD$47,0))</f>
        <v>1492.56537066125</v>
      </c>
      <c r="CE25" s="266">
        <f>IF(AND(CE$10&gt;='Torrance Inputs'!$N$38,CE$10&lt;'Torrance Inputs'!$N$40),'Torrance Inputs'!$Q4*'Torrance Pro Forma'!CE$47,IF(CE$10&gt;='Torrance Inputs'!$I$18,'Torrance Inputs'!$M$3*'Torrance Pro Forma'!CE$47,0))</f>
        <v>1492.56537066125</v>
      </c>
      <c r="CF25" s="266">
        <f>IF(AND(CF$10&gt;='Torrance Inputs'!$N$38,CF$10&lt;'Torrance Inputs'!$N$40),'Torrance Inputs'!$Q4*'Torrance Pro Forma'!CF$47,IF(CF$10&gt;='Torrance Inputs'!$I$18,'Torrance Inputs'!$M$3*'Torrance Pro Forma'!CF$47,0))</f>
        <v>1492.56537066125</v>
      </c>
      <c r="CG25" s="266">
        <f>IF(AND(CG$10&gt;='Torrance Inputs'!$N$38,CG$10&lt;'Torrance Inputs'!$N$40),'Torrance Inputs'!$Q4*'Torrance Pro Forma'!CG$47,IF(CG$10&gt;='Torrance Inputs'!$I$18,'Torrance Inputs'!$M$3*'Torrance Pro Forma'!CG$47,0))</f>
        <v>1492.56537066125</v>
      </c>
      <c r="CH25" s="266">
        <f>IF(AND(CH$10&gt;='Torrance Inputs'!$N$38,CH$10&lt;'Torrance Inputs'!$N$40),'Torrance Inputs'!$Q4*'Torrance Pro Forma'!CH$47,IF(CH$10&gt;='Torrance Inputs'!$I$18,'Torrance Inputs'!$M$3*'Torrance Pro Forma'!CH$47,0))</f>
        <v>1492.56537066125</v>
      </c>
      <c r="CI25" s="266">
        <f>IF(AND(CI$10&gt;='Torrance Inputs'!$N$38,CI$10&lt;'Torrance Inputs'!$N$40),'Torrance Inputs'!$Q4*'Torrance Pro Forma'!CI$47,IF(CI$10&gt;='Torrance Inputs'!$I$18,'Torrance Inputs'!$M$3*'Torrance Pro Forma'!CI$47,0))</f>
        <v>1537.3423317810875</v>
      </c>
      <c r="CJ25" s="266">
        <f>IF(AND(CJ$10&gt;='Torrance Inputs'!$N$38,CJ$10&lt;'Torrance Inputs'!$N$40),'Torrance Inputs'!$Q4*'Torrance Pro Forma'!CJ$47,IF(CJ$10&gt;='Torrance Inputs'!$I$18,'Torrance Inputs'!$M$3*'Torrance Pro Forma'!CJ$47,0))</f>
        <v>1537.3423317810875</v>
      </c>
      <c r="CK25" s="266">
        <f>IF(AND(CK$10&gt;='Torrance Inputs'!$N$38,CK$10&lt;'Torrance Inputs'!$N$40),'Torrance Inputs'!$Q4*'Torrance Pro Forma'!CK$47,IF(CK$10&gt;='Torrance Inputs'!$I$18,'Torrance Inputs'!$M$3*'Torrance Pro Forma'!CK$47,0))</f>
        <v>1537.3423317810875</v>
      </c>
      <c r="CL25" s="266">
        <f>IF(AND(CL$10&gt;='Torrance Inputs'!$N$38,CL$10&lt;'Torrance Inputs'!$N$40),'Torrance Inputs'!$Q4*'Torrance Pro Forma'!CL$47,IF(CL$10&gt;='Torrance Inputs'!$I$18,'Torrance Inputs'!$M$3*'Torrance Pro Forma'!CL$47,0))</f>
        <v>1537.3423317810875</v>
      </c>
      <c r="CM25" s="266">
        <f>IF(AND(CM$10&gt;='Torrance Inputs'!$N$38,CM$10&lt;'Torrance Inputs'!$N$40),'Torrance Inputs'!$Q4*'Torrance Pro Forma'!CM$47,IF(CM$10&gt;='Torrance Inputs'!$I$18,'Torrance Inputs'!$M$3*'Torrance Pro Forma'!CM$47,0))</f>
        <v>1537.3423317810875</v>
      </c>
      <c r="CN25" s="266">
        <f>IF(AND(CN$10&gt;='Torrance Inputs'!$N$38,CN$10&lt;'Torrance Inputs'!$N$40),'Torrance Inputs'!$Q4*'Torrance Pro Forma'!CN$47,IF(CN$10&gt;='Torrance Inputs'!$I$18,'Torrance Inputs'!$M$3*'Torrance Pro Forma'!CN$47,0))</f>
        <v>1537.3423317810875</v>
      </c>
      <c r="CO25" s="266">
        <f>IF(AND(CO$10&gt;='Torrance Inputs'!$N$38,CO$10&lt;'Torrance Inputs'!$N$40),'Torrance Inputs'!$Q4*'Torrance Pro Forma'!CO$47,IF(CO$10&gt;='Torrance Inputs'!$I$18,'Torrance Inputs'!$M$3*'Torrance Pro Forma'!CO$47,0))</f>
        <v>1537.3423317810875</v>
      </c>
      <c r="CP25" s="266">
        <f>IF(AND(CP$10&gt;='Torrance Inputs'!$N$38,CP$10&lt;'Torrance Inputs'!$N$40),'Torrance Inputs'!$Q4*'Torrance Pro Forma'!CP$47,IF(CP$10&gt;='Torrance Inputs'!$I$18,'Torrance Inputs'!$M$3*'Torrance Pro Forma'!CP$47,0))</f>
        <v>1537.3423317810875</v>
      </c>
      <c r="CQ25" s="266">
        <f>IF(AND(CQ$10&gt;='Torrance Inputs'!$N$38,CQ$10&lt;'Torrance Inputs'!$N$40),'Torrance Inputs'!$Q4*'Torrance Pro Forma'!CQ$47,IF(CQ$10&gt;='Torrance Inputs'!$I$18,'Torrance Inputs'!$M$3*'Torrance Pro Forma'!CQ$47,0))</f>
        <v>1537.3423317810875</v>
      </c>
      <c r="CR25" s="266">
        <f>IF(AND(CR$10&gt;='Torrance Inputs'!$N$38,CR$10&lt;'Torrance Inputs'!$N$40),'Torrance Inputs'!$Q4*'Torrance Pro Forma'!CR$47,IF(CR$10&gt;='Torrance Inputs'!$I$18,'Torrance Inputs'!$M$3*'Torrance Pro Forma'!CR$47,0))</f>
        <v>1537.3423317810875</v>
      </c>
      <c r="CS25" s="266">
        <f>IF(AND(CS$10&gt;='Torrance Inputs'!$N$38,CS$10&lt;'Torrance Inputs'!$N$40),'Torrance Inputs'!$Q4*'Torrance Pro Forma'!CS$47,IF(CS$10&gt;='Torrance Inputs'!$I$18,'Torrance Inputs'!$M$3*'Torrance Pro Forma'!CS$47,0))</f>
        <v>1537.3423317810875</v>
      </c>
      <c r="CT25" s="266">
        <f>IF(AND(CT$10&gt;='Torrance Inputs'!$N$38,CT$10&lt;'Torrance Inputs'!$N$40),'Torrance Inputs'!$Q4*'Torrance Pro Forma'!CT$47,IF(CT$10&gt;='Torrance Inputs'!$I$18,'Torrance Inputs'!$M$3*'Torrance Pro Forma'!CT$47,0))</f>
        <v>1537.3423317810875</v>
      </c>
      <c r="CU25" s="266">
        <f>IF(AND(CU$10&gt;='Torrance Inputs'!$N$38,CU$10&lt;'Torrance Inputs'!$N$40),'Torrance Inputs'!$Q4*'Torrance Pro Forma'!CU$47,IF(CU$10&gt;='Torrance Inputs'!$I$18,'Torrance Inputs'!$M$3*'Torrance Pro Forma'!CU$47,0))</f>
        <v>1583.4626017345199</v>
      </c>
      <c r="CV25" s="266">
        <f>IF(AND(CV$10&gt;='Torrance Inputs'!$N$38,CV$10&lt;'Torrance Inputs'!$N$40),'Torrance Inputs'!$Q4*'Torrance Pro Forma'!CV$47,IF(CV$10&gt;='Torrance Inputs'!$I$18,'Torrance Inputs'!$M$3*'Torrance Pro Forma'!CV$47,0))</f>
        <v>1583.4626017345199</v>
      </c>
      <c r="CW25" s="266">
        <f>IF(AND(CW$10&gt;='Torrance Inputs'!$N$38,CW$10&lt;'Torrance Inputs'!$N$40),'Torrance Inputs'!$Q4*'Torrance Pro Forma'!CW$47,IF(CW$10&gt;='Torrance Inputs'!$I$18,'Torrance Inputs'!$M$3*'Torrance Pro Forma'!CW$47,0))</f>
        <v>1583.4626017345199</v>
      </c>
      <c r="CX25" s="266">
        <f>IF(AND(CX$10&gt;='Torrance Inputs'!$N$38,CX$10&lt;'Torrance Inputs'!$N$40),'Torrance Inputs'!$Q4*'Torrance Pro Forma'!CX$47,IF(CX$10&gt;='Torrance Inputs'!$I$18,'Torrance Inputs'!$M$3*'Torrance Pro Forma'!CX$47,0))</f>
        <v>1583.4626017345199</v>
      </c>
      <c r="CY25" s="266">
        <f>IF(AND(CY$10&gt;='Torrance Inputs'!$N$38,CY$10&lt;'Torrance Inputs'!$N$40),'Torrance Inputs'!$Q4*'Torrance Pro Forma'!CY$47,IF(CY$10&gt;='Torrance Inputs'!$I$18,'Torrance Inputs'!$M$3*'Torrance Pro Forma'!CY$47,0))</f>
        <v>1583.4626017345199</v>
      </c>
      <c r="CZ25" s="266">
        <f>IF(AND(CZ$10&gt;='Torrance Inputs'!$N$38,CZ$10&lt;'Torrance Inputs'!$N$40),'Torrance Inputs'!$Q4*'Torrance Pro Forma'!CZ$47,IF(CZ$10&gt;='Torrance Inputs'!$I$18,'Torrance Inputs'!$M$3*'Torrance Pro Forma'!CZ$47,0))</f>
        <v>1583.4626017345199</v>
      </c>
      <c r="DA25" s="266">
        <f>IF(AND(DA$10&gt;='Torrance Inputs'!$N$38,DA$10&lt;'Torrance Inputs'!$N$40),'Torrance Inputs'!$Q4*'Torrance Pro Forma'!DA$47,IF(DA$10&gt;='Torrance Inputs'!$I$18,'Torrance Inputs'!$M$3*'Torrance Pro Forma'!DA$47,0))</f>
        <v>1583.4626017345199</v>
      </c>
      <c r="DB25" s="266">
        <f>IF(AND(DB$10&gt;='Torrance Inputs'!$N$38,DB$10&lt;'Torrance Inputs'!$N$40),'Torrance Inputs'!$Q4*'Torrance Pro Forma'!DB$47,IF(DB$10&gt;='Torrance Inputs'!$I$18,'Torrance Inputs'!$M$3*'Torrance Pro Forma'!DB$47,0))</f>
        <v>1583.4626017345199</v>
      </c>
      <c r="DC25" s="266">
        <f>IF(AND(DC$10&gt;='Torrance Inputs'!$N$38,DC$10&lt;'Torrance Inputs'!$N$40),'Torrance Inputs'!$Q4*'Torrance Pro Forma'!DC$47,IF(DC$10&gt;='Torrance Inputs'!$I$18,'Torrance Inputs'!$M$3*'Torrance Pro Forma'!DC$47,0))</f>
        <v>1583.4626017345199</v>
      </c>
      <c r="DD25" s="266">
        <f>IF(AND(DD$10&gt;='Torrance Inputs'!$N$38,DD$10&lt;'Torrance Inputs'!$N$40),'Torrance Inputs'!$Q4*'Torrance Pro Forma'!DD$47,IF(DD$10&gt;='Torrance Inputs'!$I$18,'Torrance Inputs'!$M$3*'Torrance Pro Forma'!DD$47,0))</f>
        <v>1583.4626017345199</v>
      </c>
      <c r="DE25" s="266">
        <f>IF(AND(DE$10&gt;='Torrance Inputs'!$N$38,DE$10&lt;'Torrance Inputs'!$N$40),'Torrance Inputs'!$Q4*'Torrance Pro Forma'!DE$47,IF(DE$10&gt;='Torrance Inputs'!$I$18,'Torrance Inputs'!$M$3*'Torrance Pro Forma'!DE$47,0))</f>
        <v>1583.4626017345199</v>
      </c>
      <c r="DF25" s="266">
        <f>IF(AND(DF$10&gt;='Torrance Inputs'!$N$38,DF$10&lt;'Torrance Inputs'!$N$40),'Torrance Inputs'!$Q4*'Torrance Pro Forma'!DF$47,IF(DF$10&gt;='Torrance Inputs'!$I$18,'Torrance Inputs'!$M$3*'Torrance Pro Forma'!DF$47,0))</f>
        <v>1583.4626017345199</v>
      </c>
      <c r="DG25" s="266">
        <f>IF(AND(DG$10&gt;='Torrance Inputs'!$N$38,DG$10&lt;'Torrance Inputs'!$N$40),'Torrance Inputs'!$Q4*'Torrance Pro Forma'!DG$47,IF(DG$10&gt;='Torrance Inputs'!$I$18,'Torrance Inputs'!$M$3*'Torrance Pro Forma'!DG$47,0))</f>
        <v>1630.9664797865555</v>
      </c>
      <c r="DH25" s="266">
        <f>IF(AND(DH$10&gt;='Torrance Inputs'!$N$38,DH$10&lt;'Torrance Inputs'!$N$40),'Torrance Inputs'!$Q4*'Torrance Pro Forma'!DH$47,IF(DH$10&gt;='Torrance Inputs'!$I$18,'Torrance Inputs'!$M$3*'Torrance Pro Forma'!DH$47,0))</f>
        <v>1630.9664797865555</v>
      </c>
      <c r="DI25" s="266">
        <f>IF(AND(DI$10&gt;='Torrance Inputs'!$N$38,DI$10&lt;'Torrance Inputs'!$N$40),'Torrance Inputs'!$Q4*'Torrance Pro Forma'!DI$47,IF(DI$10&gt;='Torrance Inputs'!$I$18,'Torrance Inputs'!$M$3*'Torrance Pro Forma'!DI$47,0))</f>
        <v>1630.9664797865555</v>
      </c>
      <c r="DJ25" s="266">
        <f>IF(AND(DJ$10&gt;='Torrance Inputs'!$N$38,DJ$10&lt;'Torrance Inputs'!$N$40),'Torrance Inputs'!$Q4*'Torrance Pro Forma'!DJ$47,IF(DJ$10&gt;='Torrance Inputs'!$I$18,'Torrance Inputs'!$M$3*'Torrance Pro Forma'!DJ$47,0))</f>
        <v>1630.9664797865555</v>
      </c>
      <c r="DK25" s="266">
        <f>IF(AND(DK$10&gt;='Torrance Inputs'!$N$38,DK$10&lt;'Torrance Inputs'!$N$40),'Torrance Inputs'!$Q4*'Torrance Pro Forma'!DK$47,IF(DK$10&gt;='Torrance Inputs'!$I$18,'Torrance Inputs'!$M$3*'Torrance Pro Forma'!DK$47,0))</f>
        <v>1630.9664797865555</v>
      </c>
      <c r="DL25" s="266">
        <f>IF(AND(DL$10&gt;='Torrance Inputs'!$N$38,DL$10&lt;'Torrance Inputs'!$N$40),'Torrance Inputs'!$Q4*'Torrance Pro Forma'!DL$47,IF(DL$10&gt;='Torrance Inputs'!$I$18,'Torrance Inputs'!$M$3*'Torrance Pro Forma'!DL$47,0))</f>
        <v>1630.9664797865555</v>
      </c>
      <c r="DM25" s="266">
        <f>IF(AND(DM$10&gt;='Torrance Inputs'!$N$38,DM$10&lt;'Torrance Inputs'!$N$40),'Torrance Inputs'!$Q4*'Torrance Pro Forma'!DM$47,IF(DM$10&gt;='Torrance Inputs'!$I$18,'Torrance Inputs'!$M$3*'Torrance Pro Forma'!DM$47,0))</f>
        <v>1630.9664797865555</v>
      </c>
      <c r="DN25" s="266">
        <f>IF(AND(DN$10&gt;='Torrance Inputs'!$N$38,DN$10&lt;'Torrance Inputs'!$N$40),'Torrance Inputs'!$Q4*'Torrance Pro Forma'!DN$47,IF(DN$10&gt;='Torrance Inputs'!$I$18,'Torrance Inputs'!$M$3*'Torrance Pro Forma'!DN$47,0))</f>
        <v>1630.9664797865555</v>
      </c>
      <c r="DO25" s="266">
        <f>IF(AND(DO$10&gt;='Torrance Inputs'!$N$38,DO$10&lt;'Torrance Inputs'!$N$40),'Torrance Inputs'!$Q4*'Torrance Pro Forma'!DO$47,IF(DO$10&gt;='Torrance Inputs'!$I$18,'Torrance Inputs'!$M$3*'Torrance Pro Forma'!DO$47,0))</f>
        <v>1630.9664797865555</v>
      </c>
      <c r="DP25" s="266">
        <f>IF(AND(DP$10&gt;='Torrance Inputs'!$N$38,DP$10&lt;'Torrance Inputs'!$N$40),'Torrance Inputs'!$Q4*'Torrance Pro Forma'!DP$47,IF(DP$10&gt;='Torrance Inputs'!$I$18,'Torrance Inputs'!$M$3*'Torrance Pro Forma'!DP$47,0))</f>
        <v>1630.9664797865555</v>
      </c>
      <c r="DQ25" s="266">
        <f>IF(AND(DQ$10&gt;='Torrance Inputs'!$N$38,DQ$10&lt;'Torrance Inputs'!$N$40),'Torrance Inputs'!$Q4*'Torrance Pro Forma'!DQ$47,IF(DQ$10&gt;='Torrance Inputs'!$I$18,'Torrance Inputs'!$M$3*'Torrance Pro Forma'!DQ$47,0))</f>
        <v>1630.9664797865555</v>
      </c>
      <c r="DR25" s="266">
        <f>IF(AND(DR$10&gt;='Torrance Inputs'!$N$38,DR$10&lt;'Torrance Inputs'!$N$40),'Torrance Inputs'!$Q4*'Torrance Pro Forma'!DR$47,IF(DR$10&gt;='Torrance Inputs'!$I$18,'Torrance Inputs'!$M$3*'Torrance Pro Forma'!DR$47,0))</f>
        <v>1630.9664797865555</v>
      </c>
      <c r="DS25" s="266">
        <f>IF(AND(DS$10&gt;='Torrance Inputs'!$N$38,DS$10&lt;'Torrance Inputs'!$N$40),'Torrance Inputs'!$Q4*'Torrance Pro Forma'!DS$47,IF(DS$10&gt;='Torrance Inputs'!$I$18,'Torrance Inputs'!$M$3*'Torrance Pro Forma'!DS$47,0))</f>
        <v>1679.8954741801522</v>
      </c>
      <c r="DT25" s="266">
        <f>IF(AND(DT$10&gt;='Torrance Inputs'!$N$38,DT$10&lt;'Torrance Inputs'!$N$40),'Torrance Inputs'!$Q4*'Torrance Pro Forma'!DT$47,IF(DT$10&gt;='Torrance Inputs'!$I$18,'Torrance Inputs'!$M$3*'Torrance Pro Forma'!DT$47,0))</f>
        <v>1679.8954741801522</v>
      </c>
      <c r="DU25" s="266">
        <f>IF(AND(DU$10&gt;='Torrance Inputs'!$N$38,DU$10&lt;'Torrance Inputs'!$N$40),'Torrance Inputs'!$Q4*'Torrance Pro Forma'!DU$47,IF(DU$10&gt;='Torrance Inputs'!$I$18,'Torrance Inputs'!$M$3*'Torrance Pro Forma'!DU$47,0))</f>
        <v>1679.8954741801522</v>
      </c>
      <c r="DV25" s="266">
        <f>IF(AND(DV$10&gt;='Torrance Inputs'!$N$38,DV$10&lt;'Torrance Inputs'!$N$40),'Torrance Inputs'!$Q4*'Torrance Pro Forma'!DV$47,IF(DV$10&gt;='Torrance Inputs'!$I$18,'Torrance Inputs'!$M$3*'Torrance Pro Forma'!DV$47,0))</f>
        <v>1679.8954741801522</v>
      </c>
      <c r="DW25" s="266">
        <f>IF(AND(DW$10&gt;='Torrance Inputs'!$N$38,DW$10&lt;'Torrance Inputs'!$N$40),'Torrance Inputs'!$Q4*'Torrance Pro Forma'!DW$47,IF(DW$10&gt;='Torrance Inputs'!$I$18,'Torrance Inputs'!$M$3*'Torrance Pro Forma'!DW$47,0))</f>
        <v>1679.8954741801522</v>
      </c>
      <c r="DX25" s="266">
        <f>IF(AND(DX$10&gt;='Torrance Inputs'!$N$38,DX$10&lt;'Torrance Inputs'!$N$40),'Torrance Inputs'!$Q4*'Torrance Pro Forma'!DX$47,IF(DX$10&gt;='Torrance Inputs'!$I$18,'Torrance Inputs'!$M$3*'Torrance Pro Forma'!DX$47,0))</f>
        <v>1679.8954741801522</v>
      </c>
      <c r="DY25" s="266">
        <f>IF(AND(DY$10&gt;='Torrance Inputs'!$N$38,DY$10&lt;'Torrance Inputs'!$N$40),'Torrance Inputs'!$Q4*'Torrance Pro Forma'!DY$47,IF(DY$10&gt;='Torrance Inputs'!$I$18,'Torrance Inputs'!$M$3*'Torrance Pro Forma'!DY$47,0))</f>
        <v>1679.8954741801522</v>
      </c>
      <c r="DZ25" s="266">
        <f>IF(AND(DZ$10&gt;='Torrance Inputs'!$N$38,DZ$10&lt;'Torrance Inputs'!$N$40),'Torrance Inputs'!$Q4*'Torrance Pro Forma'!DZ$47,IF(DZ$10&gt;='Torrance Inputs'!$I$18,'Torrance Inputs'!$M$3*'Torrance Pro Forma'!DZ$47,0))</f>
        <v>1679.8954741801522</v>
      </c>
      <c r="EA25" s="266">
        <f>IF(AND(EA$10&gt;='Torrance Inputs'!$N$38,EA$10&lt;'Torrance Inputs'!$N$40),'Torrance Inputs'!$Q4*'Torrance Pro Forma'!EA$47,IF(EA$10&gt;='Torrance Inputs'!$I$18,'Torrance Inputs'!$M$3*'Torrance Pro Forma'!EA$47,0))</f>
        <v>1679.8954741801522</v>
      </c>
      <c r="EB25" s="266">
        <f>IF(AND(EB$10&gt;='Torrance Inputs'!$N$38,EB$10&lt;'Torrance Inputs'!$N$40),'Torrance Inputs'!$Q4*'Torrance Pro Forma'!EB$47,IF(EB$10&gt;='Torrance Inputs'!$I$18,'Torrance Inputs'!$M$3*'Torrance Pro Forma'!EB$47,0))</f>
        <v>1679.8954741801522</v>
      </c>
      <c r="EC25" s="266">
        <f>IF(AND(EC$10&gt;='Torrance Inputs'!$N$38,EC$10&lt;'Torrance Inputs'!$N$40),'Torrance Inputs'!$Q4*'Torrance Pro Forma'!EC$47,IF(EC$10&gt;='Torrance Inputs'!$I$18,'Torrance Inputs'!$M$3*'Torrance Pro Forma'!EC$47,0))</f>
        <v>1679.8954741801522</v>
      </c>
      <c r="ED25" s="266">
        <f>IF(AND(ED$10&gt;='Torrance Inputs'!$N$38,ED$10&lt;'Torrance Inputs'!$N$40),'Torrance Inputs'!$Q4*'Torrance Pro Forma'!ED$47,IF(ED$10&gt;='Torrance Inputs'!$I$18,'Torrance Inputs'!$M$3*'Torrance Pro Forma'!ED$47,0))</f>
        <v>1679.8954741801522</v>
      </c>
    </row>
    <row r="26" spans="1:134" ht="19.149999999999999" customHeight="1" x14ac:dyDescent="0.4">
      <c r="A26" s="270" t="s">
        <v>76</v>
      </c>
      <c r="B26" s="270"/>
      <c r="C26" s="266">
        <f>IF(AND(C$10&gt;='Torrance Inputs'!$N$38,C$10&lt;'Torrance Inputs'!$N$40),'Torrance Inputs'!$Q5*'Torrance Pro Forma'!C$48,IF(C$10&gt;='Torrance Inputs'!$I$18,'Torrance Inputs'!$M$3*'Torrance Pro Forma'!C$48,0))</f>
        <v>416.66666666666669</v>
      </c>
      <c r="D26" s="266">
        <f>IF(AND(D$10&gt;='Torrance Inputs'!$N$38,D$10&lt;'Torrance Inputs'!$N$40),'Torrance Inputs'!$Q5*'Torrance Pro Forma'!D$48,IF(D$10&gt;='Torrance Inputs'!$I$18,'Torrance Inputs'!$M$3*'Torrance Pro Forma'!D$48,0))</f>
        <v>416.66666666666669</v>
      </c>
      <c r="E26" s="266">
        <f>IF(AND(E$10&gt;='Torrance Inputs'!$N$38,E$10&lt;'Torrance Inputs'!$N$40),'Torrance Inputs'!$Q5*'Torrance Pro Forma'!E$48,IF(E$10&gt;='Torrance Inputs'!$I$18,'Torrance Inputs'!$M$3*'Torrance Pro Forma'!E$48,0))</f>
        <v>416.66666666666669</v>
      </c>
      <c r="F26" s="266">
        <f>IF(AND(F$10&gt;='Torrance Inputs'!$N$38,F$10&lt;'Torrance Inputs'!$N$40),'Torrance Inputs'!$Q5*'Torrance Pro Forma'!F$48,IF(F$10&gt;='Torrance Inputs'!$I$18,'Torrance Inputs'!$M$3*'Torrance Pro Forma'!F$48,0))</f>
        <v>416.66666666666669</v>
      </c>
      <c r="G26" s="266">
        <f>IF(AND(G$10&gt;='Torrance Inputs'!$N$38,G$10&lt;'Torrance Inputs'!$N$40),'Torrance Inputs'!$Q5*'Torrance Pro Forma'!G$48,IF(G$10&gt;='Torrance Inputs'!$I$18,'Torrance Inputs'!$M$3*'Torrance Pro Forma'!G$48,0))</f>
        <v>416.66666666666669</v>
      </c>
      <c r="H26" s="266">
        <f>IF(AND(H$10&gt;='Torrance Inputs'!$N$38,H$10&lt;'Torrance Inputs'!$N$40),'Torrance Inputs'!$Q5*'Torrance Pro Forma'!H$48,IF(H$10&gt;='Torrance Inputs'!$I$18,'Torrance Inputs'!$M$3*'Torrance Pro Forma'!H$48,0))</f>
        <v>416.66666666666669</v>
      </c>
      <c r="I26" s="266">
        <f>IF(AND(I$10&gt;='Torrance Inputs'!$N$38,I$10&lt;'Torrance Inputs'!$N$40),'Torrance Inputs'!$Q5*'Torrance Pro Forma'!I$48,IF(I$10&gt;='Torrance Inputs'!$I$18,'Torrance Inputs'!$M$3*'Torrance Pro Forma'!I$48,0))</f>
        <v>416.66666666666669</v>
      </c>
      <c r="J26" s="266">
        <f>IF(AND(J$10&gt;='Torrance Inputs'!$N$38,J$10&lt;'Torrance Inputs'!$N$40),'Torrance Inputs'!$Q5*'Torrance Pro Forma'!J$48,IF(J$10&gt;='Torrance Inputs'!$I$18,'Torrance Inputs'!$M$3*'Torrance Pro Forma'!J$48,0))</f>
        <v>416.66666666666669</v>
      </c>
      <c r="K26" s="266">
        <f>IF(AND(K$10&gt;='Torrance Inputs'!$N$38,K$10&lt;'Torrance Inputs'!$N$40),'Torrance Inputs'!$Q5*'Torrance Pro Forma'!K$48,IF(K$10&gt;='Torrance Inputs'!$I$18,'Torrance Inputs'!$M$3*'Torrance Pro Forma'!K$48,0))</f>
        <v>416.66666666666669</v>
      </c>
      <c r="L26" s="266">
        <f>IF(AND(L$10&gt;='Torrance Inputs'!$N$38,L$10&lt;'Torrance Inputs'!$N$40),'Torrance Inputs'!$Q5*'Torrance Pro Forma'!L$48,IF(L$10&gt;='Torrance Inputs'!$I$18,'Torrance Inputs'!$M$3*'Torrance Pro Forma'!L$48,0))</f>
        <v>416.66666666666669</v>
      </c>
      <c r="M26" s="266">
        <f>IF(AND(M$10&gt;='Torrance Inputs'!$N$38,M$10&lt;'Torrance Inputs'!$N$40),'Torrance Inputs'!$Q5*'Torrance Pro Forma'!M$48,IF(M$10&gt;='Torrance Inputs'!$I$18,'Torrance Inputs'!$M$3*'Torrance Pro Forma'!M$48,0))</f>
        <v>416.66666666666669</v>
      </c>
      <c r="N26" s="266">
        <f>IF(AND(N$10&gt;='Torrance Inputs'!$N$38,N$10&lt;'Torrance Inputs'!$N$40),'Torrance Inputs'!$Q5*'Torrance Pro Forma'!N$48,IF(N$10&gt;='Torrance Inputs'!$I$18,'Torrance Inputs'!$M$3*'Torrance Pro Forma'!N$48,0))</f>
        <v>416.66666666666669</v>
      </c>
      <c r="O26" s="266">
        <f>IF(AND(O$10&gt;='Torrance Inputs'!$N$38,O$10&lt;'Torrance Inputs'!$N$40),'Torrance Inputs'!$Q5*'Torrance Pro Forma'!O$48,IF(O$10&gt;='Torrance Inputs'!$I$18,'Torrance Inputs'!$M$3*'Torrance Pro Forma'!O$48,0))</f>
        <v>429.16666666666669</v>
      </c>
      <c r="P26" s="266">
        <f>IF(AND(P$10&gt;='Torrance Inputs'!$N$38,P$10&lt;'Torrance Inputs'!$N$40),'Torrance Inputs'!$Q5*'Torrance Pro Forma'!P$48,IF(P$10&gt;='Torrance Inputs'!$I$18,'Torrance Inputs'!$M$3*'Torrance Pro Forma'!P$48,0))</f>
        <v>429.16666666666669</v>
      </c>
      <c r="Q26" s="266">
        <f>IF(AND(Q$10&gt;='Torrance Inputs'!$N$38,Q$10&lt;'Torrance Inputs'!$N$40),'Torrance Inputs'!$Q5*'Torrance Pro Forma'!Q$48,IF(Q$10&gt;='Torrance Inputs'!$I$18,'Torrance Inputs'!$M$3*'Torrance Pro Forma'!Q$48,0))</f>
        <v>429.16666666666669</v>
      </c>
      <c r="R26" s="266">
        <f>IF(AND(R$10&gt;='Torrance Inputs'!$N$38,R$10&lt;'Torrance Inputs'!$N$40),'Torrance Inputs'!$Q5*'Torrance Pro Forma'!R$48,IF(R$10&gt;='Torrance Inputs'!$I$18,'Torrance Inputs'!$M$3*'Torrance Pro Forma'!R$48,0))</f>
        <v>429.16666666666669</v>
      </c>
      <c r="S26" s="266">
        <f>IF(AND(S$10&gt;='Torrance Inputs'!$N$38,S$10&lt;'Torrance Inputs'!$N$40),'Torrance Inputs'!$Q5*'Torrance Pro Forma'!S$48,IF(S$10&gt;='Torrance Inputs'!$I$18,'Torrance Inputs'!$M$3*'Torrance Pro Forma'!S$48,0))</f>
        <v>429.16666666666669</v>
      </c>
      <c r="T26" s="266">
        <f>IF(AND(T$10&gt;='Torrance Inputs'!$N$38,T$10&lt;'Torrance Inputs'!$N$40),'Torrance Inputs'!$Q5*'Torrance Pro Forma'!T$48,IF(T$10&gt;='Torrance Inputs'!$I$18,'Torrance Inputs'!$M$3*'Torrance Pro Forma'!T$48,0))</f>
        <v>429.16666666666669</v>
      </c>
      <c r="U26" s="266">
        <f>IF(AND(U$10&gt;='Torrance Inputs'!$N$38,U$10&lt;'Torrance Inputs'!$N$40),'Torrance Inputs'!$Q5*'Torrance Pro Forma'!U$48,IF(U$10&gt;='Torrance Inputs'!$I$18,'Torrance Inputs'!$M$3*'Torrance Pro Forma'!U$48,0))</f>
        <v>429.16666666666669</v>
      </c>
      <c r="V26" s="266">
        <f>IF(AND(V$10&gt;='Torrance Inputs'!$N$38,V$10&lt;'Torrance Inputs'!$N$40),'Torrance Inputs'!$Q5*'Torrance Pro Forma'!V$48,IF(V$10&gt;='Torrance Inputs'!$I$18,'Torrance Inputs'!$M$3*'Torrance Pro Forma'!V$48,0))</f>
        <v>429.16666666666669</v>
      </c>
      <c r="W26" s="266">
        <f>IF(AND(W$10&gt;='Torrance Inputs'!$N$38,W$10&lt;'Torrance Inputs'!$N$40),'Torrance Inputs'!$Q5*'Torrance Pro Forma'!W$48,IF(W$10&gt;='Torrance Inputs'!$I$18,'Torrance Inputs'!$M$3*'Torrance Pro Forma'!W$48,0))</f>
        <v>429.16666666666669</v>
      </c>
      <c r="X26" s="266">
        <f>IF(AND(X$10&gt;='Torrance Inputs'!$N$38,X$10&lt;'Torrance Inputs'!$N$40),'Torrance Inputs'!$Q5*'Torrance Pro Forma'!X$48,IF(X$10&gt;='Torrance Inputs'!$I$18,'Torrance Inputs'!$M$3*'Torrance Pro Forma'!X$48,0))</f>
        <v>429.16666666666669</v>
      </c>
      <c r="Y26" s="266">
        <f>IF(AND(Y$10&gt;='Torrance Inputs'!$N$38,Y$10&lt;'Torrance Inputs'!$N$40),'Torrance Inputs'!$Q5*'Torrance Pro Forma'!Y$48,IF(Y$10&gt;='Torrance Inputs'!$I$18,'Torrance Inputs'!$M$3*'Torrance Pro Forma'!Y$48,0))</f>
        <v>429.16666666666669</v>
      </c>
      <c r="Z26" s="266">
        <f>IF(AND(Z$10&gt;='Torrance Inputs'!$N$38,Z$10&lt;'Torrance Inputs'!$N$40),'Torrance Inputs'!$Q5*'Torrance Pro Forma'!Z$48,IF(Z$10&gt;='Torrance Inputs'!$I$18,'Torrance Inputs'!$M$3*'Torrance Pro Forma'!Z$48,0))</f>
        <v>429.16666666666669</v>
      </c>
      <c r="AA26" s="266">
        <f>IF(AND(AA$10&gt;='Torrance Inputs'!$N$38,AA$10&lt;'Torrance Inputs'!$N$40),'Torrance Inputs'!$Q5*'Torrance Pro Forma'!AA$48,IF(AA$10&gt;='Torrance Inputs'!$I$18,'Torrance Inputs'!$M$3*'Torrance Pro Forma'!AA$48,0))</f>
        <v>442.04166666666669</v>
      </c>
      <c r="AB26" s="266">
        <f>IF(AND(AB$10&gt;='Torrance Inputs'!$N$38,AB$10&lt;'Torrance Inputs'!$N$40),'Torrance Inputs'!$Q5*'Torrance Pro Forma'!AB$48,IF(AB$10&gt;='Torrance Inputs'!$I$18,'Torrance Inputs'!$M$3*'Torrance Pro Forma'!AB$48,0))</f>
        <v>442.04166666666669</v>
      </c>
      <c r="AC26" s="266">
        <f>IF(AND(AC$10&gt;='Torrance Inputs'!$N$38,AC$10&lt;'Torrance Inputs'!$N$40),'Torrance Inputs'!$Q5*'Torrance Pro Forma'!AC$48,IF(AC$10&gt;='Torrance Inputs'!$I$18,'Torrance Inputs'!$M$3*'Torrance Pro Forma'!AC$48,0))</f>
        <v>442.04166666666669</v>
      </c>
      <c r="AD26" s="266">
        <f>IF(AND(AD$10&gt;='Torrance Inputs'!$N$38,AD$10&lt;'Torrance Inputs'!$N$40),'Torrance Inputs'!$Q5*'Torrance Pro Forma'!AD$48,IF(AD$10&gt;='Torrance Inputs'!$I$18,'Torrance Inputs'!$M$3*'Torrance Pro Forma'!AD$48,0))</f>
        <v>442.04166666666669</v>
      </c>
      <c r="AE26" s="266">
        <f>IF(AND(AE$10&gt;='Torrance Inputs'!$N$38,AE$10&lt;'Torrance Inputs'!$N$40),'Torrance Inputs'!$Q5*'Torrance Pro Forma'!AE$48,IF(AE$10&gt;='Torrance Inputs'!$I$18,'Torrance Inputs'!$M$3*'Torrance Pro Forma'!AE$48,0))</f>
        <v>442.04166666666669</v>
      </c>
      <c r="AF26" s="266">
        <f>IF(AND(AF$10&gt;='Torrance Inputs'!$N$38,AF$10&lt;'Torrance Inputs'!$N$40),'Torrance Inputs'!$Q5*'Torrance Pro Forma'!AF$48,IF(AF$10&gt;='Torrance Inputs'!$I$18,'Torrance Inputs'!$M$3*'Torrance Pro Forma'!AF$48,0))</f>
        <v>442.04166666666669</v>
      </c>
      <c r="AG26" s="266">
        <f>IF(AND(AG$10&gt;='Torrance Inputs'!$N$38,AG$10&lt;'Torrance Inputs'!$N$40),'Torrance Inputs'!$Q5*'Torrance Pro Forma'!AG$48,IF(AG$10&gt;='Torrance Inputs'!$I$18,'Torrance Inputs'!$M$3*'Torrance Pro Forma'!AG$48,0))</f>
        <v>442.04166666666669</v>
      </c>
      <c r="AH26" s="266">
        <f>IF(AND(AH$10&gt;='Torrance Inputs'!$N$38,AH$10&lt;'Torrance Inputs'!$N$40),'Torrance Inputs'!$Q5*'Torrance Pro Forma'!AH$48,IF(AH$10&gt;='Torrance Inputs'!$I$18,'Torrance Inputs'!$M$3*'Torrance Pro Forma'!AH$48,0))</f>
        <v>442.04166666666669</v>
      </c>
      <c r="AI26" s="266">
        <f>IF(AND(AI$10&gt;='Torrance Inputs'!$N$38,AI$10&lt;'Torrance Inputs'!$N$40),'Torrance Inputs'!$Q5*'Torrance Pro Forma'!AI$48,IF(AI$10&gt;='Torrance Inputs'!$I$18,'Torrance Inputs'!$M$3*'Torrance Pro Forma'!AI$48,0))</f>
        <v>442.04166666666669</v>
      </c>
      <c r="AJ26" s="266">
        <f>IF(AND(AJ$10&gt;='Torrance Inputs'!$N$38,AJ$10&lt;'Torrance Inputs'!$N$40),'Torrance Inputs'!$Q5*'Torrance Pro Forma'!AJ$48,IF(AJ$10&gt;='Torrance Inputs'!$I$18,'Torrance Inputs'!$M$3*'Torrance Pro Forma'!AJ$48,0))</f>
        <v>442.04166666666669</v>
      </c>
      <c r="AK26" s="266">
        <f>IF(AND(AK$10&gt;='Torrance Inputs'!$N$38,AK$10&lt;'Torrance Inputs'!$N$40),'Torrance Inputs'!$Q5*'Torrance Pro Forma'!AK$48,IF(AK$10&gt;='Torrance Inputs'!$I$18,'Torrance Inputs'!$M$3*'Torrance Pro Forma'!AK$48,0))</f>
        <v>442.04166666666669</v>
      </c>
      <c r="AL26" s="266">
        <f>IF(AND(AL$10&gt;='Torrance Inputs'!$N$38,AL$10&lt;'Torrance Inputs'!$N$40),'Torrance Inputs'!$Q5*'Torrance Pro Forma'!AL$48,IF(AL$10&gt;='Torrance Inputs'!$I$18,'Torrance Inputs'!$M$3*'Torrance Pro Forma'!AL$48,0))</f>
        <v>442.04166666666669</v>
      </c>
      <c r="AM26" s="266">
        <f>IF(AND(AM$10&gt;='Torrance Inputs'!$N$38,AM$10&lt;'Torrance Inputs'!$N$40),'Torrance Inputs'!$Q5*'Torrance Pro Forma'!AM$48,IF(AM$10&gt;='Torrance Inputs'!$I$18,'Torrance Inputs'!$M$3*'Torrance Pro Forma'!AM$48,0))</f>
        <v>455.3029166666667</v>
      </c>
      <c r="AN26" s="266">
        <f>IF(AND(AN$10&gt;='Torrance Inputs'!$N$38,AN$10&lt;'Torrance Inputs'!$N$40),'Torrance Inputs'!$Q5*'Torrance Pro Forma'!AN$48,IF(AN$10&gt;='Torrance Inputs'!$I$18,'Torrance Inputs'!$M$3*'Torrance Pro Forma'!AN$48,0))</f>
        <v>455.3029166666667</v>
      </c>
      <c r="AO26" s="266">
        <f>IF(AND(AO$10&gt;='Torrance Inputs'!$N$38,AO$10&lt;'Torrance Inputs'!$N$40),'Torrance Inputs'!$Q5*'Torrance Pro Forma'!AO$48,IF(AO$10&gt;='Torrance Inputs'!$I$18,'Torrance Inputs'!$M$3*'Torrance Pro Forma'!AO$48,0))</f>
        <v>455.3029166666667</v>
      </c>
      <c r="AP26" s="266">
        <f>IF(AND(AP$10&gt;='Torrance Inputs'!$N$38,AP$10&lt;'Torrance Inputs'!$N$40),'Torrance Inputs'!$Q5*'Torrance Pro Forma'!AP$48,IF(AP$10&gt;='Torrance Inputs'!$I$18,'Torrance Inputs'!$M$3*'Torrance Pro Forma'!AP$48,0))</f>
        <v>455.3029166666667</v>
      </c>
      <c r="AQ26" s="266">
        <f>IF(AND(AQ$10&gt;='Torrance Inputs'!$N$38,AQ$10&lt;'Torrance Inputs'!$N$40),'Torrance Inputs'!$Q5*'Torrance Pro Forma'!AQ$48,IF(AQ$10&gt;='Torrance Inputs'!$I$18,'Torrance Inputs'!$M$3*'Torrance Pro Forma'!AQ$48,0))</f>
        <v>455.3029166666667</v>
      </c>
      <c r="AR26" s="266">
        <f>IF(AND(AR$10&gt;='Torrance Inputs'!$N$38,AR$10&lt;'Torrance Inputs'!$N$40),'Torrance Inputs'!$Q5*'Torrance Pro Forma'!AR$48,IF(AR$10&gt;='Torrance Inputs'!$I$18,'Torrance Inputs'!$M$3*'Torrance Pro Forma'!AR$48,0))</f>
        <v>455.3029166666667</v>
      </c>
      <c r="AS26" s="266">
        <f>IF(AND(AS$10&gt;='Torrance Inputs'!$N$38,AS$10&lt;'Torrance Inputs'!$N$40),'Torrance Inputs'!$Q5*'Torrance Pro Forma'!AS$48,IF(AS$10&gt;='Torrance Inputs'!$I$18,'Torrance Inputs'!$M$3*'Torrance Pro Forma'!AS$48,0))</f>
        <v>455.3029166666667</v>
      </c>
      <c r="AT26" s="266">
        <f>IF(AND(AT$10&gt;='Torrance Inputs'!$N$38,AT$10&lt;'Torrance Inputs'!$N$40),'Torrance Inputs'!$Q5*'Torrance Pro Forma'!AT$48,IF(AT$10&gt;='Torrance Inputs'!$I$18,'Torrance Inputs'!$M$3*'Torrance Pro Forma'!AT$48,0))</f>
        <v>455.3029166666667</v>
      </c>
      <c r="AU26" s="266">
        <f>IF(AND(AU$10&gt;='Torrance Inputs'!$N$38,AU$10&lt;'Torrance Inputs'!$N$40),'Torrance Inputs'!$Q5*'Torrance Pro Forma'!AU$48,IF(AU$10&gt;='Torrance Inputs'!$I$18,'Torrance Inputs'!$M$3*'Torrance Pro Forma'!AU$48,0))</f>
        <v>455.3029166666667</v>
      </c>
      <c r="AV26" s="266">
        <f>IF(AND(AV$10&gt;='Torrance Inputs'!$N$38,AV$10&lt;'Torrance Inputs'!$N$40),'Torrance Inputs'!$Q5*'Torrance Pro Forma'!AV$48,IF(AV$10&gt;='Torrance Inputs'!$I$18,'Torrance Inputs'!$M$3*'Torrance Pro Forma'!AV$48,0))</f>
        <v>455.3029166666667</v>
      </c>
      <c r="AW26" s="266">
        <f>IF(AND(AW$10&gt;='Torrance Inputs'!$N$38,AW$10&lt;'Torrance Inputs'!$N$40),'Torrance Inputs'!$Q5*'Torrance Pro Forma'!AW$48,IF(AW$10&gt;='Torrance Inputs'!$I$18,'Torrance Inputs'!$M$3*'Torrance Pro Forma'!AW$48,0))</f>
        <v>455.3029166666667</v>
      </c>
      <c r="AX26" s="266">
        <f>IF(AND(AX$10&gt;='Torrance Inputs'!$N$38,AX$10&lt;'Torrance Inputs'!$N$40),'Torrance Inputs'!$Q5*'Torrance Pro Forma'!AX$48,IF(AX$10&gt;='Torrance Inputs'!$I$18,'Torrance Inputs'!$M$3*'Torrance Pro Forma'!AX$48,0))</f>
        <v>455.3029166666667</v>
      </c>
      <c r="AY26" s="266">
        <f>IF(AND(AY$10&gt;='Torrance Inputs'!$N$38,AY$10&lt;'Torrance Inputs'!$N$40),'Torrance Inputs'!$Q5*'Torrance Pro Forma'!AY$48,IF(AY$10&gt;='Torrance Inputs'!$I$18,'Torrance Inputs'!$M$3*'Torrance Pro Forma'!AY$48,0))</f>
        <v>0</v>
      </c>
      <c r="AZ26" s="266">
        <f>IF(AND(AZ$10&gt;='Torrance Inputs'!$N$38,AZ$10&lt;'Torrance Inputs'!$N$40),'Torrance Inputs'!$Q5*'Torrance Pro Forma'!AZ$48,IF(AZ$10&gt;='Torrance Inputs'!$I$18,'Torrance Inputs'!$M$3*'Torrance Pro Forma'!AZ$48,0))</f>
        <v>0</v>
      </c>
      <c r="BA26" s="266">
        <f>IF(AND(BA$10&gt;='Torrance Inputs'!$N$38,BA$10&lt;'Torrance Inputs'!$N$40),'Torrance Inputs'!$Q5*'Torrance Pro Forma'!BA$48,IF(BA$10&gt;='Torrance Inputs'!$I$18,'Torrance Inputs'!$M$3*'Torrance Pro Forma'!BA$48,0))</f>
        <v>0</v>
      </c>
      <c r="BB26" s="266">
        <f>IF(AND(BB$10&gt;='Torrance Inputs'!$N$38,BB$10&lt;'Torrance Inputs'!$N$40),'Torrance Inputs'!$Q5*'Torrance Pro Forma'!BB$48,IF(BB$10&gt;='Torrance Inputs'!$I$18,'Torrance Inputs'!$M$3*'Torrance Pro Forma'!BB$48,0))</f>
        <v>0</v>
      </c>
      <c r="BC26" s="266">
        <f>IF(AND(BC$10&gt;='Torrance Inputs'!$N$38,BC$10&lt;'Torrance Inputs'!$N$40),'Torrance Inputs'!$Q5*'Torrance Pro Forma'!BC$48,IF(BC$10&gt;='Torrance Inputs'!$I$18,'Torrance Inputs'!$M$3*'Torrance Pro Forma'!BC$48,0))</f>
        <v>0</v>
      </c>
      <c r="BD26" s="266">
        <f>IF(AND(BD$10&gt;='Torrance Inputs'!$N$38,BD$10&lt;'Torrance Inputs'!$N$40),'Torrance Inputs'!$Q5*'Torrance Pro Forma'!BD$48,IF(BD$10&gt;='Torrance Inputs'!$I$18,'Torrance Inputs'!$M$3*'Torrance Pro Forma'!BD$48,0))</f>
        <v>0</v>
      </c>
      <c r="BE26" s="266">
        <f>IF(AND(BE$10&gt;='Torrance Inputs'!$N$38,BE$10&lt;'Torrance Inputs'!$N$40),'Torrance Inputs'!$Q5*'Torrance Pro Forma'!BE$48,IF(BE$10&gt;='Torrance Inputs'!$I$18,'Torrance Inputs'!$M$3*'Torrance Pro Forma'!BE$48,0))</f>
        <v>0</v>
      </c>
      <c r="BF26" s="266">
        <f>IF(AND(BF$10&gt;='Torrance Inputs'!$N$38,BF$10&lt;'Torrance Inputs'!$N$40),'Torrance Inputs'!$Q5*'Torrance Pro Forma'!BF$48,IF(BF$10&gt;='Torrance Inputs'!$I$18,'Torrance Inputs'!$M$3*'Torrance Pro Forma'!BF$48,0))</f>
        <v>0</v>
      </c>
      <c r="BG26" s="266">
        <f>IF(AND(BG$10&gt;='Torrance Inputs'!$N$38,BG$10&lt;'Torrance Inputs'!$N$40),'Torrance Inputs'!$Q5*'Torrance Pro Forma'!BG$48,IF(BG$10&gt;='Torrance Inputs'!$I$18,'Torrance Inputs'!$M$3*'Torrance Pro Forma'!BG$48,0))</f>
        <v>0</v>
      </c>
      <c r="BH26" s="266">
        <f>IF(AND(BH$10&gt;='Torrance Inputs'!$N$38,BH$10&lt;'Torrance Inputs'!$N$40),'Torrance Inputs'!$Q5*'Torrance Pro Forma'!BH$48,IF(BH$10&gt;='Torrance Inputs'!$I$18,'Torrance Inputs'!$M$3*'Torrance Pro Forma'!BH$48,0))</f>
        <v>0</v>
      </c>
      <c r="BI26" s="266">
        <f>IF(AND(BI$10&gt;='Torrance Inputs'!$N$38,BI$10&lt;'Torrance Inputs'!$N$40),'Torrance Inputs'!$Q5*'Torrance Pro Forma'!BI$48,IF(BI$10&gt;='Torrance Inputs'!$I$18,'Torrance Inputs'!$M$3*'Torrance Pro Forma'!BI$48,0))</f>
        <v>0</v>
      </c>
      <c r="BJ26" s="266">
        <f>IF(AND(BJ$10&gt;='Torrance Inputs'!$N$38,BJ$10&lt;'Torrance Inputs'!$N$40),'Torrance Inputs'!$Q5*'Torrance Pro Forma'!BJ$48,IF(BJ$10&gt;='Torrance Inputs'!$I$18,'Torrance Inputs'!$M$3*'Torrance Pro Forma'!BJ$48,0))</f>
        <v>0</v>
      </c>
      <c r="BK26" s="266">
        <f>IF(AND(BK$10&gt;='Torrance Inputs'!$N$38,BK$10&lt;'Torrance Inputs'!$N$40),'Torrance Inputs'!$Q5*'Torrance Pro Forma'!BK$48,IF(BK$10&gt;='Torrance Inputs'!$I$18,'Torrance Inputs'!$M$3*'Torrance Pro Forma'!BK$48,0))</f>
        <v>483.0308642916666</v>
      </c>
      <c r="BL26" s="266">
        <f>IF(AND(BL$10&gt;='Torrance Inputs'!$N$38,BL$10&lt;'Torrance Inputs'!$N$40),'Torrance Inputs'!$Q5*'Torrance Pro Forma'!BL$48,IF(BL$10&gt;='Torrance Inputs'!$I$18,'Torrance Inputs'!$M$3*'Torrance Pro Forma'!BL$48,0))</f>
        <v>483.0308642916666</v>
      </c>
      <c r="BM26" s="266">
        <f>IF(AND(BM$10&gt;='Torrance Inputs'!$N$38,BM$10&lt;'Torrance Inputs'!$N$40),'Torrance Inputs'!$Q5*'Torrance Pro Forma'!BM$48,IF(BM$10&gt;='Torrance Inputs'!$I$18,'Torrance Inputs'!$M$3*'Torrance Pro Forma'!BM$48,0))</f>
        <v>483.0308642916666</v>
      </c>
      <c r="BN26" s="266">
        <f>IF(AND(BN$10&gt;='Torrance Inputs'!$N$38,BN$10&lt;'Torrance Inputs'!$N$40),'Torrance Inputs'!$Q5*'Torrance Pro Forma'!BN$48,IF(BN$10&gt;='Torrance Inputs'!$I$18,'Torrance Inputs'!$M$3*'Torrance Pro Forma'!BN$48,0))</f>
        <v>483.0308642916666</v>
      </c>
      <c r="BO26" s="266">
        <f>IF(AND(BO$10&gt;='Torrance Inputs'!$N$38,BO$10&lt;'Torrance Inputs'!$N$40),'Torrance Inputs'!$Q5*'Torrance Pro Forma'!BO$48,IF(BO$10&gt;='Torrance Inputs'!$I$18,'Torrance Inputs'!$M$3*'Torrance Pro Forma'!BO$48,0))</f>
        <v>483.0308642916666</v>
      </c>
      <c r="BP26" s="266">
        <f>IF(AND(BP$10&gt;='Torrance Inputs'!$N$38,BP$10&lt;'Torrance Inputs'!$N$40),'Torrance Inputs'!$Q5*'Torrance Pro Forma'!BP$48,IF(BP$10&gt;='Torrance Inputs'!$I$18,'Torrance Inputs'!$M$3*'Torrance Pro Forma'!BP$48,0))</f>
        <v>483.0308642916666</v>
      </c>
      <c r="BQ26" s="266">
        <f>IF(AND(BQ$10&gt;='Torrance Inputs'!$N$38,BQ$10&lt;'Torrance Inputs'!$N$40),'Torrance Inputs'!$Q5*'Torrance Pro Forma'!BQ$48,IF(BQ$10&gt;='Torrance Inputs'!$I$18,'Torrance Inputs'!$M$3*'Torrance Pro Forma'!BQ$48,0))</f>
        <v>483.0308642916666</v>
      </c>
      <c r="BR26" s="266">
        <f>IF(AND(BR$10&gt;='Torrance Inputs'!$N$38,BR$10&lt;'Torrance Inputs'!$N$40),'Torrance Inputs'!$Q5*'Torrance Pro Forma'!BR$48,IF(BR$10&gt;='Torrance Inputs'!$I$18,'Torrance Inputs'!$M$3*'Torrance Pro Forma'!BR$48,0))</f>
        <v>483.0308642916666</v>
      </c>
      <c r="BS26" s="266">
        <f>IF(AND(BS$10&gt;='Torrance Inputs'!$N$38,BS$10&lt;'Torrance Inputs'!$N$40),'Torrance Inputs'!$Q5*'Torrance Pro Forma'!BS$48,IF(BS$10&gt;='Torrance Inputs'!$I$18,'Torrance Inputs'!$M$3*'Torrance Pro Forma'!BS$48,0))</f>
        <v>483.0308642916666</v>
      </c>
      <c r="BT26" s="266">
        <f>IF(AND(BT$10&gt;='Torrance Inputs'!$N$38,BT$10&lt;'Torrance Inputs'!$N$40),'Torrance Inputs'!$Q5*'Torrance Pro Forma'!BT$48,IF(BT$10&gt;='Torrance Inputs'!$I$18,'Torrance Inputs'!$M$3*'Torrance Pro Forma'!BT$48,0))</f>
        <v>483.0308642916666</v>
      </c>
      <c r="BU26" s="266">
        <f>IF(AND(BU$10&gt;='Torrance Inputs'!$N$38,BU$10&lt;'Torrance Inputs'!$N$40),'Torrance Inputs'!$Q5*'Torrance Pro Forma'!BU$48,IF(BU$10&gt;='Torrance Inputs'!$I$18,'Torrance Inputs'!$M$3*'Torrance Pro Forma'!BU$48,0))</f>
        <v>483.0308642916666</v>
      </c>
      <c r="BV26" s="266">
        <f>IF(AND(BV$10&gt;='Torrance Inputs'!$N$38,BV$10&lt;'Torrance Inputs'!$N$40),'Torrance Inputs'!$Q5*'Torrance Pro Forma'!BV$48,IF(BV$10&gt;='Torrance Inputs'!$I$18,'Torrance Inputs'!$M$3*'Torrance Pro Forma'!BV$48,0))</f>
        <v>483.0308642916666</v>
      </c>
      <c r="BW26" s="266">
        <f>IF(AND(BW$10&gt;='Torrance Inputs'!$N$38,BW$10&lt;'Torrance Inputs'!$N$40),'Torrance Inputs'!$Q5*'Torrance Pro Forma'!BW$48,IF(BW$10&gt;='Torrance Inputs'!$I$18,'Torrance Inputs'!$M$3*'Torrance Pro Forma'!BW$48,0))</f>
        <v>497.52179022041668</v>
      </c>
      <c r="BX26" s="266">
        <f>IF(AND(BX$10&gt;='Torrance Inputs'!$N$38,BX$10&lt;'Torrance Inputs'!$N$40),'Torrance Inputs'!$Q5*'Torrance Pro Forma'!BX$48,IF(BX$10&gt;='Torrance Inputs'!$I$18,'Torrance Inputs'!$M$3*'Torrance Pro Forma'!BX$48,0))</f>
        <v>497.52179022041668</v>
      </c>
      <c r="BY26" s="266">
        <f>IF(AND(BY$10&gt;='Torrance Inputs'!$N$38,BY$10&lt;'Torrance Inputs'!$N$40),'Torrance Inputs'!$Q5*'Torrance Pro Forma'!BY$48,IF(BY$10&gt;='Torrance Inputs'!$I$18,'Torrance Inputs'!$M$3*'Torrance Pro Forma'!BY$48,0))</f>
        <v>497.52179022041668</v>
      </c>
      <c r="BZ26" s="266">
        <f>IF(AND(BZ$10&gt;='Torrance Inputs'!$N$38,BZ$10&lt;'Torrance Inputs'!$N$40),'Torrance Inputs'!$Q5*'Torrance Pro Forma'!BZ$48,IF(BZ$10&gt;='Torrance Inputs'!$I$18,'Torrance Inputs'!$M$3*'Torrance Pro Forma'!BZ$48,0))</f>
        <v>497.52179022041668</v>
      </c>
      <c r="CA26" s="266">
        <f>IF(AND(CA$10&gt;='Torrance Inputs'!$N$38,CA$10&lt;'Torrance Inputs'!$N$40),'Torrance Inputs'!$Q5*'Torrance Pro Forma'!CA$48,IF(CA$10&gt;='Torrance Inputs'!$I$18,'Torrance Inputs'!$M$3*'Torrance Pro Forma'!CA$48,0))</f>
        <v>497.52179022041668</v>
      </c>
      <c r="CB26" s="266">
        <f>IF(AND(CB$10&gt;='Torrance Inputs'!$N$38,CB$10&lt;'Torrance Inputs'!$N$40),'Torrance Inputs'!$Q5*'Torrance Pro Forma'!CB$48,IF(CB$10&gt;='Torrance Inputs'!$I$18,'Torrance Inputs'!$M$3*'Torrance Pro Forma'!CB$48,0))</f>
        <v>497.52179022041668</v>
      </c>
      <c r="CC26" s="266">
        <f>IF(AND(CC$10&gt;='Torrance Inputs'!$N$38,CC$10&lt;'Torrance Inputs'!$N$40),'Torrance Inputs'!$Q5*'Torrance Pro Forma'!CC$48,IF(CC$10&gt;='Torrance Inputs'!$I$18,'Torrance Inputs'!$M$3*'Torrance Pro Forma'!CC$48,0))</f>
        <v>497.52179022041668</v>
      </c>
      <c r="CD26" s="266">
        <f>IF(AND(CD$10&gt;='Torrance Inputs'!$N$38,CD$10&lt;'Torrance Inputs'!$N$40),'Torrance Inputs'!$Q5*'Torrance Pro Forma'!CD$48,IF(CD$10&gt;='Torrance Inputs'!$I$18,'Torrance Inputs'!$M$3*'Torrance Pro Forma'!CD$48,0))</f>
        <v>497.52179022041668</v>
      </c>
      <c r="CE26" s="266">
        <f>IF(AND(CE$10&gt;='Torrance Inputs'!$N$38,CE$10&lt;'Torrance Inputs'!$N$40),'Torrance Inputs'!$Q5*'Torrance Pro Forma'!CE$48,IF(CE$10&gt;='Torrance Inputs'!$I$18,'Torrance Inputs'!$M$3*'Torrance Pro Forma'!CE$48,0))</f>
        <v>497.52179022041668</v>
      </c>
      <c r="CF26" s="266">
        <f>IF(AND(CF$10&gt;='Torrance Inputs'!$N$38,CF$10&lt;'Torrance Inputs'!$N$40),'Torrance Inputs'!$Q5*'Torrance Pro Forma'!CF$48,IF(CF$10&gt;='Torrance Inputs'!$I$18,'Torrance Inputs'!$M$3*'Torrance Pro Forma'!CF$48,0))</f>
        <v>497.52179022041668</v>
      </c>
      <c r="CG26" s="266">
        <f>IF(AND(CG$10&gt;='Torrance Inputs'!$N$38,CG$10&lt;'Torrance Inputs'!$N$40),'Torrance Inputs'!$Q5*'Torrance Pro Forma'!CG$48,IF(CG$10&gt;='Torrance Inputs'!$I$18,'Torrance Inputs'!$M$3*'Torrance Pro Forma'!CG$48,0))</f>
        <v>497.52179022041668</v>
      </c>
      <c r="CH26" s="266">
        <f>IF(AND(CH$10&gt;='Torrance Inputs'!$N$38,CH$10&lt;'Torrance Inputs'!$N$40),'Torrance Inputs'!$Q5*'Torrance Pro Forma'!CH$48,IF(CH$10&gt;='Torrance Inputs'!$I$18,'Torrance Inputs'!$M$3*'Torrance Pro Forma'!CH$48,0))</f>
        <v>497.52179022041668</v>
      </c>
      <c r="CI26" s="266">
        <f>IF(AND(CI$10&gt;='Torrance Inputs'!$N$38,CI$10&lt;'Torrance Inputs'!$N$40),'Torrance Inputs'!$Q5*'Torrance Pro Forma'!CI$48,IF(CI$10&gt;='Torrance Inputs'!$I$18,'Torrance Inputs'!$M$3*'Torrance Pro Forma'!CI$48,0))</f>
        <v>512.44744392702921</v>
      </c>
      <c r="CJ26" s="266">
        <f>IF(AND(CJ$10&gt;='Torrance Inputs'!$N$38,CJ$10&lt;'Torrance Inputs'!$N$40),'Torrance Inputs'!$Q5*'Torrance Pro Forma'!CJ$48,IF(CJ$10&gt;='Torrance Inputs'!$I$18,'Torrance Inputs'!$M$3*'Torrance Pro Forma'!CJ$48,0))</f>
        <v>512.44744392702921</v>
      </c>
      <c r="CK26" s="266">
        <f>IF(AND(CK$10&gt;='Torrance Inputs'!$N$38,CK$10&lt;'Torrance Inputs'!$N$40),'Torrance Inputs'!$Q5*'Torrance Pro Forma'!CK$48,IF(CK$10&gt;='Torrance Inputs'!$I$18,'Torrance Inputs'!$M$3*'Torrance Pro Forma'!CK$48,0))</f>
        <v>512.44744392702921</v>
      </c>
      <c r="CL26" s="266">
        <f>IF(AND(CL$10&gt;='Torrance Inputs'!$N$38,CL$10&lt;'Torrance Inputs'!$N$40),'Torrance Inputs'!$Q5*'Torrance Pro Forma'!CL$48,IF(CL$10&gt;='Torrance Inputs'!$I$18,'Torrance Inputs'!$M$3*'Torrance Pro Forma'!CL$48,0))</f>
        <v>512.44744392702921</v>
      </c>
      <c r="CM26" s="266">
        <f>IF(AND(CM$10&gt;='Torrance Inputs'!$N$38,CM$10&lt;'Torrance Inputs'!$N$40),'Torrance Inputs'!$Q5*'Torrance Pro Forma'!CM$48,IF(CM$10&gt;='Torrance Inputs'!$I$18,'Torrance Inputs'!$M$3*'Torrance Pro Forma'!CM$48,0))</f>
        <v>512.44744392702921</v>
      </c>
      <c r="CN26" s="266">
        <f>IF(AND(CN$10&gt;='Torrance Inputs'!$N$38,CN$10&lt;'Torrance Inputs'!$N$40),'Torrance Inputs'!$Q5*'Torrance Pro Forma'!CN$48,IF(CN$10&gt;='Torrance Inputs'!$I$18,'Torrance Inputs'!$M$3*'Torrance Pro Forma'!CN$48,0))</f>
        <v>512.44744392702921</v>
      </c>
      <c r="CO26" s="266">
        <f>IF(AND(CO$10&gt;='Torrance Inputs'!$N$38,CO$10&lt;'Torrance Inputs'!$N$40),'Torrance Inputs'!$Q5*'Torrance Pro Forma'!CO$48,IF(CO$10&gt;='Torrance Inputs'!$I$18,'Torrance Inputs'!$M$3*'Torrance Pro Forma'!CO$48,0))</f>
        <v>512.44744392702921</v>
      </c>
      <c r="CP26" s="266">
        <f>IF(AND(CP$10&gt;='Torrance Inputs'!$N$38,CP$10&lt;'Torrance Inputs'!$N$40),'Torrance Inputs'!$Q5*'Torrance Pro Forma'!CP$48,IF(CP$10&gt;='Torrance Inputs'!$I$18,'Torrance Inputs'!$M$3*'Torrance Pro Forma'!CP$48,0))</f>
        <v>512.44744392702921</v>
      </c>
      <c r="CQ26" s="266">
        <f>IF(AND(CQ$10&gt;='Torrance Inputs'!$N$38,CQ$10&lt;'Torrance Inputs'!$N$40),'Torrance Inputs'!$Q5*'Torrance Pro Forma'!CQ$48,IF(CQ$10&gt;='Torrance Inputs'!$I$18,'Torrance Inputs'!$M$3*'Torrance Pro Forma'!CQ$48,0))</f>
        <v>512.44744392702921</v>
      </c>
      <c r="CR26" s="266">
        <f>IF(AND(CR$10&gt;='Torrance Inputs'!$N$38,CR$10&lt;'Torrance Inputs'!$N$40),'Torrance Inputs'!$Q5*'Torrance Pro Forma'!CR$48,IF(CR$10&gt;='Torrance Inputs'!$I$18,'Torrance Inputs'!$M$3*'Torrance Pro Forma'!CR$48,0))</f>
        <v>512.44744392702921</v>
      </c>
      <c r="CS26" s="266">
        <f>IF(AND(CS$10&gt;='Torrance Inputs'!$N$38,CS$10&lt;'Torrance Inputs'!$N$40),'Torrance Inputs'!$Q5*'Torrance Pro Forma'!CS$48,IF(CS$10&gt;='Torrance Inputs'!$I$18,'Torrance Inputs'!$M$3*'Torrance Pro Forma'!CS$48,0))</f>
        <v>512.44744392702921</v>
      </c>
      <c r="CT26" s="266">
        <f>IF(AND(CT$10&gt;='Torrance Inputs'!$N$38,CT$10&lt;'Torrance Inputs'!$N$40),'Torrance Inputs'!$Q5*'Torrance Pro Forma'!CT$48,IF(CT$10&gt;='Torrance Inputs'!$I$18,'Torrance Inputs'!$M$3*'Torrance Pro Forma'!CT$48,0))</f>
        <v>512.44744392702921</v>
      </c>
      <c r="CU26" s="266">
        <f>IF(AND(CU$10&gt;='Torrance Inputs'!$N$38,CU$10&lt;'Torrance Inputs'!$N$40),'Torrance Inputs'!$Q5*'Torrance Pro Forma'!CU$48,IF(CU$10&gt;='Torrance Inputs'!$I$18,'Torrance Inputs'!$M$3*'Torrance Pro Forma'!CU$48,0))</f>
        <v>527.82086724483997</v>
      </c>
      <c r="CV26" s="266">
        <f>IF(AND(CV$10&gt;='Torrance Inputs'!$N$38,CV$10&lt;'Torrance Inputs'!$N$40),'Torrance Inputs'!$Q5*'Torrance Pro Forma'!CV$48,IF(CV$10&gt;='Torrance Inputs'!$I$18,'Torrance Inputs'!$M$3*'Torrance Pro Forma'!CV$48,0))</f>
        <v>527.82086724483997</v>
      </c>
      <c r="CW26" s="266">
        <f>IF(AND(CW$10&gt;='Torrance Inputs'!$N$38,CW$10&lt;'Torrance Inputs'!$N$40),'Torrance Inputs'!$Q5*'Torrance Pro Forma'!CW$48,IF(CW$10&gt;='Torrance Inputs'!$I$18,'Torrance Inputs'!$M$3*'Torrance Pro Forma'!CW$48,0))</f>
        <v>527.82086724483997</v>
      </c>
      <c r="CX26" s="266">
        <f>IF(AND(CX$10&gt;='Torrance Inputs'!$N$38,CX$10&lt;'Torrance Inputs'!$N$40),'Torrance Inputs'!$Q5*'Torrance Pro Forma'!CX$48,IF(CX$10&gt;='Torrance Inputs'!$I$18,'Torrance Inputs'!$M$3*'Torrance Pro Forma'!CX$48,0))</f>
        <v>527.82086724483997</v>
      </c>
      <c r="CY26" s="266">
        <f>IF(AND(CY$10&gt;='Torrance Inputs'!$N$38,CY$10&lt;'Torrance Inputs'!$N$40),'Torrance Inputs'!$Q5*'Torrance Pro Forma'!CY$48,IF(CY$10&gt;='Torrance Inputs'!$I$18,'Torrance Inputs'!$M$3*'Torrance Pro Forma'!CY$48,0))</f>
        <v>527.82086724483997</v>
      </c>
      <c r="CZ26" s="266">
        <f>IF(AND(CZ$10&gt;='Torrance Inputs'!$N$38,CZ$10&lt;'Torrance Inputs'!$N$40),'Torrance Inputs'!$Q5*'Torrance Pro Forma'!CZ$48,IF(CZ$10&gt;='Torrance Inputs'!$I$18,'Torrance Inputs'!$M$3*'Torrance Pro Forma'!CZ$48,0))</f>
        <v>527.82086724483997</v>
      </c>
      <c r="DA26" s="266">
        <f>IF(AND(DA$10&gt;='Torrance Inputs'!$N$38,DA$10&lt;'Torrance Inputs'!$N$40),'Torrance Inputs'!$Q5*'Torrance Pro Forma'!DA$48,IF(DA$10&gt;='Torrance Inputs'!$I$18,'Torrance Inputs'!$M$3*'Torrance Pro Forma'!DA$48,0))</f>
        <v>527.82086724483997</v>
      </c>
      <c r="DB26" s="266">
        <f>IF(AND(DB$10&gt;='Torrance Inputs'!$N$38,DB$10&lt;'Torrance Inputs'!$N$40),'Torrance Inputs'!$Q5*'Torrance Pro Forma'!DB$48,IF(DB$10&gt;='Torrance Inputs'!$I$18,'Torrance Inputs'!$M$3*'Torrance Pro Forma'!DB$48,0))</f>
        <v>527.82086724483997</v>
      </c>
      <c r="DC26" s="266">
        <f>IF(AND(DC$10&gt;='Torrance Inputs'!$N$38,DC$10&lt;'Torrance Inputs'!$N$40),'Torrance Inputs'!$Q5*'Torrance Pro Forma'!DC$48,IF(DC$10&gt;='Torrance Inputs'!$I$18,'Torrance Inputs'!$M$3*'Torrance Pro Forma'!DC$48,0))</f>
        <v>527.82086724483997</v>
      </c>
      <c r="DD26" s="266">
        <f>IF(AND(DD$10&gt;='Torrance Inputs'!$N$38,DD$10&lt;'Torrance Inputs'!$N$40),'Torrance Inputs'!$Q5*'Torrance Pro Forma'!DD$48,IF(DD$10&gt;='Torrance Inputs'!$I$18,'Torrance Inputs'!$M$3*'Torrance Pro Forma'!DD$48,0))</f>
        <v>527.82086724483997</v>
      </c>
      <c r="DE26" s="266">
        <f>IF(AND(DE$10&gt;='Torrance Inputs'!$N$38,DE$10&lt;'Torrance Inputs'!$N$40),'Torrance Inputs'!$Q5*'Torrance Pro Forma'!DE$48,IF(DE$10&gt;='Torrance Inputs'!$I$18,'Torrance Inputs'!$M$3*'Torrance Pro Forma'!DE$48,0))</f>
        <v>527.82086724483997</v>
      </c>
      <c r="DF26" s="266">
        <f>IF(AND(DF$10&gt;='Torrance Inputs'!$N$38,DF$10&lt;'Torrance Inputs'!$N$40),'Torrance Inputs'!$Q5*'Torrance Pro Forma'!DF$48,IF(DF$10&gt;='Torrance Inputs'!$I$18,'Torrance Inputs'!$M$3*'Torrance Pro Forma'!DF$48,0))</f>
        <v>527.82086724483997</v>
      </c>
      <c r="DG26" s="266">
        <f>IF(AND(DG$10&gt;='Torrance Inputs'!$N$38,DG$10&lt;'Torrance Inputs'!$N$40),'Torrance Inputs'!$Q5*'Torrance Pro Forma'!DG$48,IF(DG$10&gt;='Torrance Inputs'!$I$18,'Torrance Inputs'!$M$3*'Torrance Pro Forma'!DG$48,0))</f>
        <v>543.65549326218525</v>
      </c>
      <c r="DH26" s="266">
        <f>IF(AND(DH$10&gt;='Torrance Inputs'!$N$38,DH$10&lt;'Torrance Inputs'!$N$40),'Torrance Inputs'!$Q5*'Torrance Pro Forma'!DH$48,IF(DH$10&gt;='Torrance Inputs'!$I$18,'Torrance Inputs'!$M$3*'Torrance Pro Forma'!DH$48,0))</f>
        <v>543.65549326218525</v>
      </c>
      <c r="DI26" s="266">
        <f>IF(AND(DI$10&gt;='Torrance Inputs'!$N$38,DI$10&lt;'Torrance Inputs'!$N$40),'Torrance Inputs'!$Q5*'Torrance Pro Forma'!DI$48,IF(DI$10&gt;='Torrance Inputs'!$I$18,'Torrance Inputs'!$M$3*'Torrance Pro Forma'!DI$48,0))</f>
        <v>543.65549326218525</v>
      </c>
      <c r="DJ26" s="266">
        <f>IF(AND(DJ$10&gt;='Torrance Inputs'!$N$38,DJ$10&lt;'Torrance Inputs'!$N$40),'Torrance Inputs'!$Q5*'Torrance Pro Forma'!DJ$48,IF(DJ$10&gt;='Torrance Inputs'!$I$18,'Torrance Inputs'!$M$3*'Torrance Pro Forma'!DJ$48,0))</f>
        <v>543.65549326218525</v>
      </c>
      <c r="DK26" s="266">
        <f>IF(AND(DK$10&gt;='Torrance Inputs'!$N$38,DK$10&lt;'Torrance Inputs'!$N$40),'Torrance Inputs'!$Q5*'Torrance Pro Forma'!DK$48,IF(DK$10&gt;='Torrance Inputs'!$I$18,'Torrance Inputs'!$M$3*'Torrance Pro Forma'!DK$48,0))</f>
        <v>543.65549326218525</v>
      </c>
      <c r="DL26" s="266">
        <f>IF(AND(DL$10&gt;='Torrance Inputs'!$N$38,DL$10&lt;'Torrance Inputs'!$N$40),'Torrance Inputs'!$Q5*'Torrance Pro Forma'!DL$48,IF(DL$10&gt;='Torrance Inputs'!$I$18,'Torrance Inputs'!$M$3*'Torrance Pro Forma'!DL$48,0))</f>
        <v>543.65549326218525</v>
      </c>
      <c r="DM26" s="266">
        <f>IF(AND(DM$10&gt;='Torrance Inputs'!$N$38,DM$10&lt;'Torrance Inputs'!$N$40),'Torrance Inputs'!$Q5*'Torrance Pro Forma'!DM$48,IF(DM$10&gt;='Torrance Inputs'!$I$18,'Torrance Inputs'!$M$3*'Torrance Pro Forma'!DM$48,0))</f>
        <v>543.65549326218525</v>
      </c>
      <c r="DN26" s="266">
        <f>IF(AND(DN$10&gt;='Torrance Inputs'!$N$38,DN$10&lt;'Torrance Inputs'!$N$40),'Torrance Inputs'!$Q5*'Torrance Pro Forma'!DN$48,IF(DN$10&gt;='Torrance Inputs'!$I$18,'Torrance Inputs'!$M$3*'Torrance Pro Forma'!DN$48,0))</f>
        <v>543.65549326218525</v>
      </c>
      <c r="DO26" s="266">
        <f>IF(AND(DO$10&gt;='Torrance Inputs'!$N$38,DO$10&lt;'Torrance Inputs'!$N$40),'Torrance Inputs'!$Q5*'Torrance Pro Forma'!DO$48,IF(DO$10&gt;='Torrance Inputs'!$I$18,'Torrance Inputs'!$M$3*'Torrance Pro Forma'!DO$48,0))</f>
        <v>543.65549326218525</v>
      </c>
      <c r="DP26" s="266">
        <f>IF(AND(DP$10&gt;='Torrance Inputs'!$N$38,DP$10&lt;'Torrance Inputs'!$N$40),'Torrance Inputs'!$Q5*'Torrance Pro Forma'!DP$48,IF(DP$10&gt;='Torrance Inputs'!$I$18,'Torrance Inputs'!$M$3*'Torrance Pro Forma'!DP$48,0))</f>
        <v>543.65549326218525</v>
      </c>
      <c r="DQ26" s="266">
        <f>IF(AND(DQ$10&gt;='Torrance Inputs'!$N$38,DQ$10&lt;'Torrance Inputs'!$N$40),'Torrance Inputs'!$Q5*'Torrance Pro Forma'!DQ$48,IF(DQ$10&gt;='Torrance Inputs'!$I$18,'Torrance Inputs'!$M$3*'Torrance Pro Forma'!DQ$48,0))</f>
        <v>543.65549326218525</v>
      </c>
      <c r="DR26" s="266">
        <f>IF(AND(DR$10&gt;='Torrance Inputs'!$N$38,DR$10&lt;'Torrance Inputs'!$N$40),'Torrance Inputs'!$Q5*'Torrance Pro Forma'!DR$48,IF(DR$10&gt;='Torrance Inputs'!$I$18,'Torrance Inputs'!$M$3*'Torrance Pro Forma'!DR$48,0))</f>
        <v>543.65549326218525</v>
      </c>
      <c r="DS26" s="266">
        <f>IF(AND(DS$10&gt;='Torrance Inputs'!$N$38,DS$10&lt;'Torrance Inputs'!$N$40),'Torrance Inputs'!$Q5*'Torrance Pro Forma'!DS$48,IF(DS$10&gt;='Torrance Inputs'!$I$18,'Torrance Inputs'!$M$3*'Torrance Pro Forma'!DS$48,0))</f>
        <v>559.96515806005073</v>
      </c>
      <c r="DT26" s="266">
        <f>IF(AND(DT$10&gt;='Torrance Inputs'!$N$38,DT$10&lt;'Torrance Inputs'!$N$40),'Torrance Inputs'!$Q5*'Torrance Pro Forma'!DT$48,IF(DT$10&gt;='Torrance Inputs'!$I$18,'Torrance Inputs'!$M$3*'Torrance Pro Forma'!DT$48,0))</f>
        <v>559.96515806005073</v>
      </c>
      <c r="DU26" s="266">
        <f>IF(AND(DU$10&gt;='Torrance Inputs'!$N$38,DU$10&lt;'Torrance Inputs'!$N$40),'Torrance Inputs'!$Q5*'Torrance Pro Forma'!DU$48,IF(DU$10&gt;='Torrance Inputs'!$I$18,'Torrance Inputs'!$M$3*'Torrance Pro Forma'!DU$48,0))</f>
        <v>559.96515806005073</v>
      </c>
      <c r="DV26" s="266">
        <f>IF(AND(DV$10&gt;='Torrance Inputs'!$N$38,DV$10&lt;'Torrance Inputs'!$N$40),'Torrance Inputs'!$Q5*'Torrance Pro Forma'!DV$48,IF(DV$10&gt;='Torrance Inputs'!$I$18,'Torrance Inputs'!$M$3*'Torrance Pro Forma'!DV$48,0))</f>
        <v>559.96515806005073</v>
      </c>
      <c r="DW26" s="266">
        <f>IF(AND(DW$10&gt;='Torrance Inputs'!$N$38,DW$10&lt;'Torrance Inputs'!$N$40),'Torrance Inputs'!$Q5*'Torrance Pro Forma'!DW$48,IF(DW$10&gt;='Torrance Inputs'!$I$18,'Torrance Inputs'!$M$3*'Torrance Pro Forma'!DW$48,0))</f>
        <v>559.96515806005073</v>
      </c>
      <c r="DX26" s="266">
        <f>IF(AND(DX$10&gt;='Torrance Inputs'!$N$38,DX$10&lt;'Torrance Inputs'!$N$40),'Torrance Inputs'!$Q5*'Torrance Pro Forma'!DX$48,IF(DX$10&gt;='Torrance Inputs'!$I$18,'Torrance Inputs'!$M$3*'Torrance Pro Forma'!DX$48,0))</f>
        <v>559.96515806005073</v>
      </c>
      <c r="DY26" s="266">
        <f>IF(AND(DY$10&gt;='Torrance Inputs'!$N$38,DY$10&lt;'Torrance Inputs'!$N$40),'Torrance Inputs'!$Q5*'Torrance Pro Forma'!DY$48,IF(DY$10&gt;='Torrance Inputs'!$I$18,'Torrance Inputs'!$M$3*'Torrance Pro Forma'!DY$48,0))</f>
        <v>559.96515806005073</v>
      </c>
      <c r="DZ26" s="266">
        <f>IF(AND(DZ$10&gt;='Torrance Inputs'!$N$38,DZ$10&lt;'Torrance Inputs'!$N$40),'Torrance Inputs'!$Q5*'Torrance Pro Forma'!DZ$48,IF(DZ$10&gt;='Torrance Inputs'!$I$18,'Torrance Inputs'!$M$3*'Torrance Pro Forma'!DZ$48,0))</f>
        <v>559.96515806005073</v>
      </c>
      <c r="EA26" s="266">
        <f>IF(AND(EA$10&gt;='Torrance Inputs'!$N$38,EA$10&lt;'Torrance Inputs'!$N$40),'Torrance Inputs'!$Q5*'Torrance Pro Forma'!EA$48,IF(EA$10&gt;='Torrance Inputs'!$I$18,'Torrance Inputs'!$M$3*'Torrance Pro Forma'!EA$48,0))</f>
        <v>559.96515806005073</v>
      </c>
      <c r="EB26" s="266">
        <f>IF(AND(EB$10&gt;='Torrance Inputs'!$N$38,EB$10&lt;'Torrance Inputs'!$N$40),'Torrance Inputs'!$Q5*'Torrance Pro Forma'!EB$48,IF(EB$10&gt;='Torrance Inputs'!$I$18,'Torrance Inputs'!$M$3*'Torrance Pro Forma'!EB$48,0))</f>
        <v>559.96515806005073</v>
      </c>
      <c r="EC26" s="266">
        <f>IF(AND(EC$10&gt;='Torrance Inputs'!$N$38,EC$10&lt;'Torrance Inputs'!$N$40),'Torrance Inputs'!$Q5*'Torrance Pro Forma'!EC$48,IF(EC$10&gt;='Torrance Inputs'!$I$18,'Torrance Inputs'!$M$3*'Torrance Pro Forma'!EC$48,0))</f>
        <v>559.96515806005073</v>
      </c>
      <c r="ED26" s="266">
        <f>IF(AND(ED$10&gt;='Torrance Inputs'!$N$38,ED$10&lt;'Torrance Inputs'!$N$40),'Torrance Inputs'!$Q5*'Torrance Pro Forma'!ED$48,IF(ED$10&gt;='Torrance Inputs'!$I$18,'Torrance Inputs'!$M$3*'Torrance Pro Forma'!ED$48,0))</f>
        <v>559.96515806005073</v>
      </c>
    </row>
    <row r="27" spans="1:134" ht="19.149999999999999" customHeight="1" x14ac:dyDescent="0.4">
      <c r="A27" s="270" t="s">
        <v>101</v>
      </c>
      <c r="B27" s="270"/>
      <c r="C27" s="266">
        <f>IF(AND(C$10&gt;='Torrance Inputs'!$N$38,C$10&lt;'Torrance Inputs'!$N$40),'Torrance Inputs'!$Q6*'Torrance Pro Forma'!C$49,IF(C$10&gt;='Torrance Inputs'!$I$18,'Torrance Inputs'!$M$3*'Torrance Pro Forma'!C$49,0))</f>
        <v>0</v>
      </c>
      <c r="D27" s="266">
        <f>IF(AND(D$10&gt;='Torrance Inputs'!$N$38,D$10&lt;'Torrance Inputs'!$N$40),'Torrance Inputs'!$Q6*'Torrance Pro Forma'!D$49,IF(D$10&gt;='Torrance Inputs'!$I$18,'Torrance Inputs'!$M$3*'Torrance Pro Forma'!D$49,0))</f>
        <v>0</v>
      </c>
      <c r="E27" s="266">
        <f>IF(AND(E$10&gt;='Torrance Inputs'!$N$38,E$10&lt;'Torrance Inputs'!$N$40),'Torrance Inputs'!$Q6*'Torrance Pro Forma'!E$49,IF(E$10&gt;='Torrance Inputs'!$I$18,'Torrance Inputs'!$M$3*'Torrance Pro Forma'!E$49,0))</f>
        <v>0</v>
      </c>
      <c r="F27" s="266">
        <f>IF(AND(F$10&gt;='Torrance Inputs'!$N$38,F$10&lt;'Torrance Inputs'!$N$40),'Torrance Inputs'!$Q6*'Torrance Pro Forma'!F$49,IF(F$10&gt;='Torrance Inputs'!$I$18,'Torrance Inputs'!$M$3*'Torrance Pro Forma'!F$49,0))</f>
        <v>0</v>
      </c>
      <c r="G27" s="266">
        <f>IF(AND(G$10&gt;='Torrance Inputs'!$N$38,G$10&lt;'Torrance Inputs'!$N$40),'Torrance Inputs'!$Q6*'Torrance Pro Forma'!G$49,IF(G$10&gt;='Torrance Inputs'!$I$18,'Torrance Inputs'!$M$3*'Torrance Pro Forma'!G$49,0))</f>
        <v>0</v>
      </c>
      <c r="H27" s="266">
        <f>IF(AND(H$10&gt;='Torrance Inputs'!$N$38,H$10&lt;'Torrance Inputs'!$N$40),'Torrance Inputs'!$Q6*'Torrance Pro Forma'!H$49,IF(H$10&gt;='Torrance Inputs'!$I$18,'Torrance Inputs'!$M$3*'Torrance Pro Forma'!H$49,0))</f>
        <v>0</v>
      </c>
      <c r="I27" s="266">
        <f>IF(AND(I$10&gt;='Torrance Inputs'!$N$38,I$10&lt;'Torrance Inputs'!$N$40),'Torrance Inputs'!$Q6*'Torrance Pro Forma'!I$49,IF(I$10&gt;='Torrance Inputs'!$I$18,'Torrance Inputs'!$M$3*'Torrance Pro Forma'!I$49,0))</f>
        <v>0</v>
      </c>
      <c r="J27" s="266">
        <f>IF(AND(J$10&gt;='Torrance Inputs'!$N$38,J$10&lt;'Torrance Inputs'!$N$40),'Torrance Inputs'!$Q6*'Torrance Pro Forma'!J$49,IF(J$10&gt;='Torrance Inputs'!$I$18,'Torrance Inputs'!$M$3*'Torrance Pro Forma'!J$49,0))</f>
        <v>0</v>
      </c>
      <c r="K27" s="266">
        <f>IF(AND(K$10&gt;='Torrance Inputs'!$N$38,K$10&lt;'Torrance Inputs'!$N$40),'Torrance Inputs'!$Q6*'Torrance Pro Forma'!K$49,IF(K$10&gt;='Torrance Inputs'!$I$18,'Torrance Inputs'!$M$3*'Torrance Pro Forma'!K$49,0))</f>
        <v>0</v>
      </c>
      <c r="L27" s="266">
        <f>IF(AND(L$10&gt;='Torrance Inputs'!$N$38,L$10&lt;'Torrance Inputs'!$N$40),'Torrance Inputs'!$Q6*'Torrance Pro Forma'!L$49,IF(L$10&gt;='Torrance Inputs'!$I$18,'Torrance Inputs'!$M$3*'Torrance Pro Forma'!L$49,0))</f>
        <v>0</v>
      </c>
      <c r="M27" s="266">
        <f>IF(AND(M$10&gt;='Torrance Inputs'!$N$38,M$10&lt;'Torrance Inputs'!$N$40),'Torrance Inputs'!$Q6*'Torrance Pro Forma'!M$49,IF(M$10&gt;='Torrance Inputs'!$I$18,'Torrance Inputs'!$M$3*'Torrance Pro Forma'!M$49,0))</f>
        <v>0</v>
      </c>
      <c r="N27" s="266">
        <f>IF(AND(N$10&gt;='Torrance Inputs'!$N$38,N$10&lt;'Torrance Inputs'!$N$40),'Torrance Inputs'!$Q6*'Torrance Pro Forma'!N$49,IF(N$10&gt;='Torrance Inputs'!$I$18,'Torrance Inputs'!$M$3*'Torrance Pro Forma'!N$49,0))</f>
        <v>0</v>
      </c>
      <c r="O27" s="266">
        <f>IF(AND(O$10&gt;='Torrance Inputs'!$N$38,O$10&lt;'Torrance Inputs'!$N$40),'Torrance Inputs'!$Q6*'Torrance Pro Forma'!O$49,IF(O$10&gt;='Torrance Inputs'!$I$18,'Torrance Inputs'!$M$3*'Torrance Pro Forma'!O$49,0))</f>
        <v>0</v>
      </c>
      <c r="P27" s="266">
        <f>IF(AND(P$10&gt;='Torrance Inputs'!$N$38,P$10&lt;'Torrance Inputs'!$N$40),'Torrance Inputs'!$Q6*'Torrance Pro Forma'!P$49,IF(P$10&gt;='Torrance Inputs'!$I$18,'Torrance Inputs'!$M$3*'Torrance Pro Forma'!P$49,0))</f>
        <v>0</v>
      </c>
      <c r="Q27" s="266">
        <f>IF(AND(Q$10&gt;='Torrance Inputs'!$N$38,Q$10&lt;'Torrance Inputs'!$N$40),'Torrance Inputs'!$Q6*'Torrance Pro Forma'!Q$49,IF(Q$10&gt;='Torrance Inputs'!$I$18,'Torrance Inputs'!$M$3*'Torrance Pro Forma'!Q$49,0))</f>
        <v>0</v>
      </c>
      <c r="R27" s="266">
        <f>IF(AND(R$10&gt;='Torrance Inputs'!$N$38,R$10&lt;'Torrance Inputs'!$N$40),'Torrance Inputs'!$Q6*'Torrance Pro Forma'!R$49,IF(R$10&gt;='Torrance Inputs'!$I$18,'Torrance Inputs'!$M$3*'Torrance Pro Forma'!R$49,0))</f>
        <v>0</v>
      </c>
      <c r="S27" s="266">
        <f>IF(AND(S$10&gt;='Torrance Inputs'!$N$38,S$10&lt;'Torrance Inputs'!$N$40),'Torrance Inputs'!$Q6*'Torrance Pro Forma'!S$49,IF(S$10&gt;='Torrance Inputs'!$I$18,'Torrance Inputs'!$M$3*'Torrance Pro Forma'!S$49,0))</f>
        <v>0</v>
      </c>
      <c r="T27" s="266">
        <f>IF(AND(T$10&gt;='Torrance Inputs'!$N$38,T$10&lt;'Torrance Inputs'!$N$40),'Torrance Inputs'!$Q6*'Torrance Pro Forma'!T$49,IF(T$10&gt;='Torrance Inputs'!$I$18,'Torrance Inputs'!$M$3*'Torrance Pro Forma'!T$49,0))</f>
        <v>0</v>
      </c>
      <c r="U27" s="266">
        <f>IF(AND(U$10&gt;='Torrance Inputs'!$N$38,U$10&lt;'Torrance Inputs'!$N$40),'Torrance Inputs'!$Q6*'Torrance Pro Forma'!U$49,IF(U$10&gt;='Torrance Inputs'!$I$18,'Torrance Inputs'!$M$3*'Torrance Pro Forma'!U$49,0))</f>
        <v>0</v>
      </c>
      <c r="V27" s="266">
        <f>IF(AND(V$10&gt;='Torrance Inputs'!$N$38,V$10&lt;'Torrance Inputs'!$N$40),'Torrance Inputs'!$Q6*'Torrance Pro Forma'!V$49,IF(V$10&gt;='Torrance Inputs'!$I$18,'Torrance Inputs'!$M$3*'Torrance Pro Forma'!V$49,0))</f>
        <v>0</v>
      </c>
      <c r="W27" s="266">
        <f>IF(AND(W$10&gt;='Torrance Inputs'!$N$38,W$10&lt;'Torrance Inputs'!$N$40),'Torrance Inputs'!$Q6*'Torrance Pro Forma'!W$49,IF(W$10&gt;='Torrance Inputs'!$I$18,'Torrance Inputs'!$M$3*'Torrance Pro Forma'!W$49,0))</f>
        <v>0</v>
      </c>
      <c r="X27" s="266">
        <f>IF(AND(X$10&gt;='Torrance Inputs'!$N$38,X$10&lt;'Torrance Inputs'!$N$40),'Torrance Inputs'!$Q6*'Torrance Pro Forma'!X$49,IF(X$10&gt;='Torrance Inputs'!$I$18,'Torrance Inputs'!$M$3*'Torrance Pro Forma'!X$49,0))</f>
        <v>0</v>
      </c>
      <c r="Y27" s="266">
        <f>IF(AND(Y$10&gt;='Torrance Inputs'!$N$38,Y$10&lt;'Torrance Inputs'!$N$40),'Torrance Inputs'!$Q6*'Torrance Pro Forma'!Y$49,IF(Y$10&gt;='Torrance Inputs'!$I$18,'Torrance Inputs'!$M$3*'Torrance Pro Forma'!Y$49,0))</f>
        <v>0</v>
      </c>
      <c r="Z27" s="266">
        <f>IF(AND(Z$10&gt;='Torrance Inputs'!$N$38,Z$10&lt;'Torrance Inputs'!$N$40),'Torrance Inputs'!$Q6*'Torrance Pro Forma'!Z$49,IF(Z$10&gt;='Torrance Inputs'!$I$18,'Torrance Inputs'!$M$3*'Torrance Pro Forma'!Z$49,0))</f>
        <v>0</v>
      </c>
      <c r="AA27" s="266">
        <f>IF(AND(AA$10&gt;='Torrance Inputs'!$N$38,AA$10&lt;'Torrance Inputs'!$N$40),'Torrance Inputs'!$Q6*'Torrance Pro Forma'!AA$49,IF(AA$10&gt;='Torrance Inputs'!$I$18,'Torrance Inputs'!$M$3*'Torrance Pro Forma'!AA$49,0))</f>
        <v>0</v>
      </c>
      <c r="AB27" s="266">
        <f>IF(AND(AB$10&gt;='Torrance Inputs'!$N$38,AB$10&lt;'Torrance Inputs'!$N$40),'Torrance Inputs'!$Q6*'Torrance Pro Forma'!AB$49,IF(AB$10&gt;='Torrance Inputs'!$I$18,'Torrance Inputs'!$M$3*'Torrance Pro Forma'!AB$49,0))</f>
        <v>0</v>
      </c>
      <c r="AC27" s="266">
        <f>IF(AND(AC$10&gt;='Torrance Inputs'!$N$38,AC$10&lt;'Torrance Inputs'!$N$40),'Torrance Inputs'!$Q6*'Torrance Pro Forma'!AC$49,IF(AC$10&gt;='Torrance Inputs'!$I$18,'Torrance Inputs'!$M$3*'Torrance Pro Forma'!AC$49,0))</f>
        <v>0</v>
      </c>
      <c r="AD27" s="266">
        <f>IF(AND(AD$10&gt;='Torrance Inputs'!$N$38,AD$10&lt;'Torrance Inputs'!$N$40),'Torrance Inputs'!$Q6*'Torrance Pro Forma'!AD$49,IF(AD$10&gt;='Torrance Inputs'!$I$18,'Torrance Inputs'!$M$3*'Torrance Pro Forma'!AD$49,0))</f>
        <v>0</v>
      </c>
      <c r="AE27" s="266">
        <f>IF(AND(AE$10&gt;='Torrance Inputs'!$N$38,AE$10&lt;'Torrance Inputs'!$N$40),'Torrance Inputs'!$Q6*'Torrance Pro Forma'!AE$49,IF(AE$10&gt;='Torrance Inputs'!$I$18,'Torrance Inputs'!$M$3*'Torrance Pro Forma'!AE$49,0))</f>
        <v>0</v>
      </c>
      <c r="AF27" s="266">
        <f>IF(AND(AF$10&gt;='Torrance Inputs'!$N$38,AF$10&lt;'Torrance Inputs'!$N$40),'Torrance Inputs'!$Q6*'Torrance Pro Forma'!AF$49,IF(AF$10&gt;='Torrance Inputs'!$I$18,'Torrance Inputs'!$M$3*'Torrance Pro Forma'!AF$49,0))</f>
        <v>0</v>
      </c>
      <c r="AG27" s="266">
        <f>IF(AND(AG$10&gt;='Torrance Inputs'!$N$38,AG$10&lt;'Torrance Inputs'!$N$40),'Torrance Inputs'!$Q6*'Torrance Pro Forma'!AG$49,IF(AG$10&gt;='Torrance Inputs'!$I$18,'Torrance Inputs'!$M$3*'Torrance Pro Forma'!AG$49,0))</f>
        <v>0</v>
      </c>
      <c r="AH27" s="266">
        <f>IF(AND(AH$10&gt;='Torrance Inputs'!$N$38,AH$10&lt;'Torrance Inputs'!$N$40),'Torrance Inputs'!$Q6*'Torrance Pro Forma'!AH$49,IF(AH$10&gt;='Torrance Inputs'!$I$18,'Torrance Inputs'!$M$3*'Torrance Pro Forma'!AH$49,0))</f>
        <v>0</v>
      </c>
      <c r="AI27" s="266">
        <f>IF(AND(AI$10&gt;='Torrance Inputs'!$N$38,AI$10&lt;'Torrance Inputs'!$N$40),'Torrance Inputs'!$Q6*'Torrance Pro Forma'!AI$49,IF(AI$10&gt;='Torrance Inputs'!$I$18,'Torrance Inputs'!$M$3*'Torrance Pro Forma'!AI$49,0))</f>
        <v>0</v>
      </c>
      <c r="AJ27" s="266">
        <f>IF(AND(AJ$10&gt;='Torrance Inputs'!$N$38,AJ$10&lt;'Torrance Inputs'!$N$40),'Torrance Inputs'!$Q6*'Torrance Pro Forma'!AJ$49,IF(AJ$10&gt;='Torrance Inputs'!$I$18,'Torrance Inputs'!$M$3*'Torrance Pro Forma'!AJ$49,0))</f>
        <v>0</v>
      </c>
      <c r="AK27" s="266">
        <f>IF(AND(AK$10&gt;='Torrance Inputs'!$N$38,AK$10&lt;'Torrance Inputs'!$N$40),'Torrance Inputs'!$Q6*'Torrance Pro Forma'!AK$49,IF(AK$10&gt;='Torrance Inputs'!$I$18,'Torrance Inputs'!$M$3*'Torrance Pro Forma'!AK$49,0))</f>
        <v>0</v>
      </c>
      <c r="AL27" s="266">
        <f>IF(AND(AL$10&gt;='Torrance Inputs'!$N$38,AL$10&lt;'Torrance Inputs'!$N$40),'Torrance Inputs'!$Q6*'Torrance Pro Forma'!AL$49,IF(AL$10&gt;='Torrance Inputs'!$I$18,'Torrance Inputs'!$M$3*'Torrance Pro Forma'!AL$49,0))</f>
        <v>0</v>
      </c>
      <c r="AM27" s="266">
        <f>IF(AND(AM$10&gt;='Torrance Inputs'!$N$38,AM$10&lt;'Torrance Inputs'!$N$40),'Torrance Inputs'!$Q6*'Torrance Pro Forma'!AM$49,IF(AM$10&gt;='Torrance Inputs'!$I$18,'Torrance Inputs'!$M$3*'Torrance Pro Forma'!AM$49,0))</f>
        <v>0</v>
      </c>
      <c r="AN27" s="266">
        <f>IF(AND(AN$10&gt;='Torrance Inputs'!$N$38,AN$10&lt;'Torrance Inputs'!$N$40),'Torrance Inputs'!$Q6*'Torrance Pro Forma'!AN$49,IF(AN$10&gt;='Torrance Inputs'!$I$18,'Torrance Inputs'!$M$3*'Torrance Pro Forma'!AN$49,0))</f>
        <v>0</v>
      </c>
      <c r="AO27" s="266">
        <f>IF(AND(AO$10&gt;='Torrance Inputs'!$N$38,AO$10&lt;'Torrance Inputs'!$N$40),'Torrance Inputs'!$Q6*'Torrance Pro Forma'!AO$49,IF(AO$10&gt;='Torrance Inputs'!$I$18,'Torrance Inputs'!$M$3*'Torrance Pro Forma'!AO$49,0))</f>
        <v>0</v>
      </c>
      <c r="AP27" s="266">
        <f>IF(AND(AP$10&gt;='Torrance Inputs'!$N$38,AP$10&lt;'Torrance Inputs'!$N$40),'Torrance Inputs'!$Q6*'Torrance Pro Forma'!AP$49,IF(AP$10&gt;='Torrance Inputs'!$I$18,'Torrance Inputs'!$M$3*'Torrance Pro Forma'!AP$49,0))</f>
        <v>0</v>
      </c>
      <c r="AQ27" s="266">
        <f>IF(AND(AQ$10&gt;='Torrance Inputs'!$N$38,AQ$10&lt;'Torrance Inputs'!$N$40),'Torrance Inputs'!$Q6*'Torrance Pro Forma'!AQ$49,IF(AQ$10&gt;='Torrance Inputs'!$I$18,'Torrance Inputs'!$M$3*'Torrance Pro Forma'!AQ$49,0))</f>
        <v>0</v>
      </c>
      <c r="AR27" s="266">
        <f>IF(AND(AR$10&gt;='Torrance Inputs'!$N$38,AR$10&lt;'Torrance Inputs'!$N$40),'Torrance Inputs'!$Q6*'Torrance Pro Forma'!AR$49,IF(AR$10&gt;='Torrance Inputs'!$I$18,'Torrance Inputs'!$M$3*'Torrance Pro Forma'!AR$49,0))</f>
        <v>0</v>
      </c>
      <c r="AS27" s="266">
        <f>IF(AND(AS$10&gt;='Torrance Inputs'!$N$38,AS$10&lt;'Torrance Inputs'!$N$40),'Torrance Inputs'!$Q6*'Torrance Pro Forma'!AS$49,IF(AS$10&gt;='Torrance Inputs'!$I$18,'Torrance Inputs'!$M$3*'Torrance Pro Forma'!AS$49,0))</f>
        <v>0</v>
      </c>
      <c r="AT27" s="266">
        <f>IF(AND(AT$10&gt;='Torrance Inputs'!$N$38,AT$10&lt;'Torrance Inputs'!$N$40),'Torrance Inputs'!$Q6*'Torrance Pro Forma'!AT$49,IF(AT$10&gt;='Torrance Inputs'!$I$18,'Torrance Inputs'!$M$3*'Torrance Pro Forma'!AT$49,0))</f>
        <v>0</v>
      </c>
      <c r="AU27" s="266">
        <f>IF(AND(AU$10&gt;='Torrance Inputs'!$N$38,AU$10&lt;'Torrance Inputs'!$N$40),'Torrance Inputs'!$Q6*'Torrance Pro Forma'!AU$49,IF(AU$10&gt;='Torrance Inputs'!$I$18,'Torrance Inputs'!$M$3*'Torrance Pro Forma'!AU$49,0))</f>
        <v>0</v>
      </c>
      <c r="AV27" s="266">
        <f>IF(AND(AV$10&gt;='Torrance Inputs'!$N$38,AV$10&lt;'Torrance Inputs'!$N$40),'Torrance Inputs'!$Q6*'Torrance Pro Forma'!AV$49,IF(AV$10&gt;='Torrance Inputs'!$I$18,'Torrance Inputs'!$M$3*'Torrance Pro Forma'!AV$49,0))</f>
        <v>0</v>
      </c>
      <c r="AW27" s="266">
        <f>IF(AND(AW$10&gt;='Torrance Inputs'!$N$38,AW$10&lt;'Torrance Inputs'!$N$40),'Torrance Inputs'!$Q6*'Torrance Pro Forma'!AW$49,IF(AW$10&gt;='Torrance Inputs'!$I$18,'Torrance Inputs'!$M$3*'Torrance Pro Forma'!AW$49,0))</f>
        <v>0</v>
      </c>
      <c r="AX27" s="266">
        <f>IF(AND(AX$10&gt;='Torrance Inputs'!$N$38,AX$10&lt;'Torrance Inputs'!$N$40),'Torrance Inputs'!$Q6*'Torrance Pro Forma'!AX$49,IF(AX$10&gt;='Torrance Inputs'!$I$18,'Torrance Inputs'!$M$3*'Torrance Pro Forma'!AX$49,0))</f>
        <v>0</v>
      </c>
      <c r="AY27" s="266">
        <f>IF(AND(AY$10&gt;='Torrance Inputs'!$N$38,AY$10&lt;'Torrance Inputs'!$N$40),'Torrance Inputs'!$Q6*'Torrance Pro Forma'!AY$49,IF(AY$10&gt;='Torrance Inputs'!$I$18,'Torrance Inputs'!$M$3*'Torrance Pro Forma'!AY$49,0))</f>
        <v>0</v>
      </c>
      <c r="AZ27" s="266">
        <f>IF(AND(AZ$10&gt;='Torrance Inputs'!$N$38,AZ$10&lt;'Torrance Inputs'!$N$40),'Torrance Inputs'!$Q6*'Torrance Pro Forma'!AZ$49,IF(AZ$10&gt;='Torrance Inputs'!$I$18,'Torrance Inputs'!$M$3*'Torrance Pro Forma'!AZ$49,0))</f>
        <v>0</v>
      </c>
      <c r="BA27" s="266">
        <f>IF(AND(BA$10&gt;='Torrance Inputs'!$N$38,BA$10&lt;'Torrance Inputs'!$N$40),'Torrance Inputs'!$Q6*'Torrance Pro Forma'!BA$49,IF(BA$10&gt;='Torrance Inputs'!$I$18,'Torrance Inputs'!$M$3*'Torrance Pro Forma'!BA$49,0))</f>
        <v>0</v>
      </c>
      <c r="BB27" s="266">
        <f>IF(AND(BB$10&gt;='Torrance Inputs'!$N$38,BB$10&lt;'Torrance Inputs'!$N$40),'Torrance Inputs'!$Q6*'Torrance Pro Forma'!BB$49,IF(BB$10&gt;='Torrance Inputs'!$I$18,'Torrance Inputs'!$M$3*'Torrance Pro Forma'!BB$49,0))</f>
        <v>0</v>
      </c>
      <c r="BC27" s="266">
        <f>IF(AND(BC$10&gt;='Torrance Inputs'!$N$38,BC$10&lt;'Torrance Inputs'!$N$40),'Torrance Inputs'!$Q6*'Torrance Pro Forma'!BC$49,IF(BC$10&gt;='Torrance Inputs'!$I$18,'Torrance Inputs'!$M$3*'Torrance Pro Forma'!BC$49,0))</f>
        <v>0</v>
      </c>
      <c r="BD27" s="266">
        <f>IF(AND(BD$10&gt;='Torrance Inputs'!$N$38,BD$10&lt;'Torrance Inputs'!$N$40),'Torrance Inputs'!$Q6*'Torrance Pro Forma'!BD$49,IF(BD$10&gt;='Torrance Inputs'!$I$18,'Torrance Inputs'!$M$3*'Torrance Pro Forma'!BD$49,0))</f>
        <v>0</v>
      </c>
      <c r="BE27" s="266">
        <f>IF(AND(BE$10&gt;='Torrance Inputs'!$N$38,BE$10&lt;'Torrance Inputs'!$N$40),'Torrance Inputs'!$Q6*'Torrance Pro Forma'!BE$49,IF(BE$10&gt;='Torrance Inputs'!$I$18,'Torrance Inputs'!$M$3*'Torrance Pro Forma'!BE$49,0))</f>
        <v>0</v>
      </c>
      <c r="BF27" s="266">
        <f>IF(AND(BF$10&gt;='Torrance Inputs'!$N$38,BF$10&lt;'Torrance Inputs'!$N$40),'Torrance Inputs'!$Q6*'Torrance Pro Forma'!BF$49,IF(BF$10&gt;='Torrance Inputs'!$I$18,'Torrance Inputs'!$M$3*'Torrance Pro Forma'!BF$49,0))</f>
        <v>0</v>
      </c>
      <c r="BG27" s="266">
        <f>IF(AND(BG$10&gt;='Torrance Inputs'!$N$38,BG$10&lt;'Torrance Inputs'!$N$40),'Torrance Inputs'!$Q6*'Torrance Pro Forma'!BG$49,IF(BG$10&gt;='Torrance Inputs'!$I$18,'Torrance Inputs'!$M$3*'Torrance Pro Forma'!BG$49,0))</f>
        <v>0</v>
      </c>
      <c r="BH27" s="266">
        <f>IF(AND(BH$10&gt;='Torrance Inputs'!$N$38,BH$10&lt;'Torrance Inputs'!$N$40),'Torrance Inputs'!$Q6*'Torrance Pro Forma'!BH$49,IF(BH$10&gt;='Torrance Inputs'!$I$18,'Torrance Inputs'!$M$3*'Torrance Pro Forma'!BH$49,0))</f>
        <v>0</v>
      </c>
      <c r="BI27" s="266">
        <f>IF(AND(BI$10&gt;='Torrance Inputs'!$N$38,BI$10&lt;'Torrance Inputs'!$N$40),'Torrance Inputs'!$Q6*'Torrance Pro Forma'!BI$49,IF(BI$10&gt;='Torrance Inputs'!$I$18,'Torrance Inputs'!$M$3*'Torrance Pro Forma'!BI$49,0))</f>
        <v>0</v>
      </c>
      <c r="BJ27" s="266">
        <f>IF(AND(BJ$10&gt;='Torrance Inputs'!$N$38,BJ$10&lt;'Torrance Inputs'!$N$40),'Torrance Inputs'!$Q6*'Torrance Pro Forma'!BJ$49,IF(BJ$10&gt;='Torrance Inputs'!$I$18,'Torrance Inputs'!$M$3*'Torrance Pro Forma'!BJ$49,0))</f>
        <v>0</v>
      </c>
      <c r="BK27" s="266">
        <f>IF(AND(BK$10&gt;='Torrance Inputs'!$N$38,BK$10&lt;'Torrance Inputs'!$N$40),'Torrance Inputs'!$Q6*'Torrance Pro Forma'!BK$49,IF(BK$10&gt;='Torrance Inputs'!$I$18,'Torrance Inputs'!$M$3*'Torrance Pro Forma'!BK$49,0))</f>
        <v>17764.598785665603</v>
      </c>
      <c r="BL27" s="266">
        <f>IF(AND(BL$10&gt;='Torrance Inputs'!$N$38,BL$10&lt;'Torrance Inputs'!$N$40),'Torrance Inputs'!$Q6*'Torrance Pro Forma'!BL$49,IF(BL$10&gt;='Torrance Inputs'!$I$18,'Torrance Inputs'!$M$3*'Torrance Pro Forma'!BL$49,0))</f>
        <v>17764.598785665603</v>
      </c>
      <c r="BM27" s="266">
        <f>IF(AND(BM$10&gt;='Torrance Inputs'!$N$38,BM$10&lt;'Torrance Inputs'!$N$40),'Torrance Inputs'!$Q6*'Torrance Pro Forma'!BM$49,IF(BM$10&gt;='Torrance Inputs'!$I$18,'Torrance Inputs'!$M$3*'Torrance Pro Forma'!BM$49,0))</f>
        <v>17764.598785665603</v>
      </c>
      <c r="BN27" s="266">
        <f>IF(AND(BN$10&gt;='Torrance Inputs'!$N$38,BN$10&lt;'Torrance Inputs'!$N$40),'Torrance Inputs'!$Q6*'Torrance Pro Forma'!BN$49,IF(BN$10&gt;='Torrance Inputs'!$I$18,'Torrance Inputs'!$M$3*'Torrance Pro Forma'!BN$49,0))</f>
        <v>17764.598785665603</v>
      </c>
      <c r="BO27" s="266">
        <f>IF(AND(BO$10&gt;='Torrance Inputs'!$N$38,BO$10&lt;'Torrance Inputs'!$N$40),'Torrance Inputs'!$Q6*'Torrance Pro Forma'!BO$49,IF(BO$10&gt;='Torrance Inputs'!$I$18,'Torrance Inputs'!$M$3*'Torrance Pro Forma'!BO$49,0))</f>
        <v>17764.598785665603</v>
      </c>
      <c r="BP27" s="266">
        <f>IF(AND(BP$10&gt;='Torrance Inputs'!$N$38,BP$10&lt;'Torrance Inputs'!$N$40),'Torrance Inputs'!$Q6*'Torrance Pro Forma'!BP$49,IF(BP$10&gt;='Torrance Inputs'!$I$18,'Torrance Inputs'!$M$3*'Torrance Pro Forma'!BP$49,0))</f>
        <v>17764.598785665603</v>
      </c>
      <c r="BQ27" s="266">
        <f>IF(AND(BQ$10&gt;='Torrance Inputs'!$N$38,BQ$10&lt;'Torrance Inputs'!$N$40),'Torrance Inputs'!$Q6*'Torrance Pro Forma'!BQ$49,IF(BQ$10&gt;='Torrance Inputs'!$I$18,'Torrance Inputs'!$M$3*'Torrance Pro Forma'!BQ$49,0))</f>
        <v>17764.598785665603</v>
      </c>
      <c r="BR27" s="266">
        <f>IF(AND(BR$10&gt;='Torrance Inputs'!$N$38,BR$10&lt;'Torrance Inputs'!$N$40),'Torrance Inputs'!$Q6*'Torrance Pro Forma'!BR$49,IF(BR$10&gt;='Torrance Inputs'!$I$18,'Torrance Inputs'!$M$3*'Torrance Pro Forma'!BR$49,0))</f>
        <v>17764.598785665603</v>
      </c>
      <c r="BS27" s="266">
        <f>IF(AND(BS$10&gt;='Torrance Inputs'!$N$38,BS$10&lt;'Torrance Inputs'!$N$40),'Torrance Inputs'!$Q6*'Torrance Pro Forma'!BS$49,IF(BS$10&gt;='Torrance Inputs'!$I$18,'Torrance Inputs'!$M$3*'Torrance Pro Forma'!BS$49,0))</f>
        <v>17764.598785665603</v>
      </c>
      <c r="BT27" s="266">
        <f>IF(AND(BT$10&gt;='Torrance Inputs'!$N$38,BT$10&lt;'Torrance Inputs'!$N$40),'Torrance Inputs'!$Q6*'Torrance Pro Forma'!BT$49,IF(BT$10&gt;='Torrance Inputs'!$I$18,'Torrance Inputs'!$M$3*'Torrance Pro Forma'!BT$49,0))</f>
        <v>17764.598785665603</v>
      </c>
      <c r="BU27" s="266">
        <f>IF(AND(BU$10&gt;='Torrance Inputs'!$N$38,BU$10&lt;'Torrance Inputs'!$N$40),'Torrance Inputs'!$Q6*'Torrance Pro Forma'!BU$49,IF(BU$10&gt;='Torrance Inputs'!$I$18,'Torrance Inputs'!$M$3*'Torrance Pro Forma'!BU$49,0))</f>
        <v>17764.598785665603</v>
      </c>
      <c r="BV27" s="266">
        <f>IF(AND(BV$10&gt;='Torrance Inputs'!$N$38,BV$10&lt;'Torrance Inputs'!$N$40),'Torrance Inputs'!$Q6*'Torrance Pro Forma'!BV$49,IF(BV$10&gt;='Torrance Inputs'!$I$18,'Torrance Inputs'!$M$3*'Torrance Pro Forma'!BV$49,0))</f>
        <v>17764.598785665603</v>
      </c>
      <c r="BW27" s="266">
        <f>IF(AND(BW$10&gt;='Torrance Inputs'!$N$38,BW$10&lt;'Torrance Inputs'!$N$40),'Torrance Inputs'!$Q6*'Torrance Pro Forma'!BW$49,IF(BW$10&gt;='Torrance Inputs'!$I$18,'Torrance Inputs'!$M$3*'Torrance Pro Forma'!BW$49,0))</f>
        <v>18119.890761378912</v>
      </c>
      <c r="BX27" s="266">
        <f>IF(AND(BX$10&gt;='Torrance Inputs'!$N$38,BX$10&lt;'Torrance Inputs'!$N$40),'Torrance Inputs'!$Q6*'Torrance Pro Forma'!BX$49,IF(BX$10&gt;='Torrance Inputs'!$I$18,'Torrance Inputs'!$M$3*'Torrance Pro Forma'!BX$49,0))</f>
        <v>18119.890761378912</v>
      </c>
      <c r="BY27" s="266">
        <f>IF(AND(BY$10&gt;='Torrance Inputs'!$N$38,BY$10&lt;'Torrance Inputs'!$N$40),'Torrance Inputs'!$Q6*'Torrance Pro Forma'!BY$49,IF(BY$10&gt;='Torrance Inputs'!$I$18,'Torrance Inputs'!$M$3*'Torrance Pro Forma'!BY$49,0))</f>
        <v>18119.890761378912</v>
      </c>
      <c r="BZ27" s="266">
        <f>IF(AND(BZ$10&gt;='Torrance Inputs'!$N$38,BZ$10&lt;'Torrance Inputs'!$N$40),'Torrance Inputs'!$Q6*'Torrance Pro Forma'!BZ$49,IF(BZ$10&gt;='Torrance Inputs'!$I$18,'Torrance Inputs'!$M$3*'Torrance Pro Forma'!BZ$49,0))</f>
        <v>18119.890761378912</v>
      </c>
      <c r="CA27" s="266">
        <f>IF(AND(CA$10&gt;='Torrance Inputs'!$N$38,CA$10&lt;'Torrance Inputs'!$N$40),'Torrance Inputs'!$Q6*'Torrance Pro Forma'!CA$49,IF(CA$10&gt;='Torrance Inputs'!$I$18,'Torrance Inputs'!$M$3*'Torrance Pro Forma'!CA$49,0))</f>
        <v>18119.890761378912</v>
      </c>
      <c r="CB27" s="266">
        <f>IF(AND(CB$10&gt;='Torrance Inputs'!$N$38,CB$10&lt;'Torrance Inputs'!$N$40),'Torrance Inputs'!$Q6*'Torrance Pro Forma'!CB$49,IF(CB$10&gt;='Torrance Inputs'!$I$18,'Torrance Inputs'!$M$3*'Torrance Pro Forma'!CB$49,0))</f>
        <v>18119.890761378912</v>
      </c>
      <c r="CC27" s="266">
        <f>IF(AND(CC$10&gt;='Torrance Inputs'!$N$38,CC$10&lt;'Torrance Inputs'!$N$40),'Torrance Inputs'!$Q6*'Torrance Pro Forma'!CC$49,IF(CC$10&gt;='Torrance Inputs'!$I$18,'Torrance Inputs'!$M$3*'Torrance Pro Forma'!CC$49,0))</f>
        <v>18119.890761378912</v>
      </c>
      <c r="CD27" s="266">
        <f>IF(AND(CD$10&gt;='Torrance Inputs'!$N$38,CD$10&lt;'Torrance Inputs'!$N$40),'Torrance Inputs'!$Q6*'Torrance Pro Forma'!CD$49,IF(CD$10&gt;='Torrance Inputs'!$I$18,'Torrance Inputs'!$M$3*'Torrance Pro Forma'!CD$49,0))</f>
        <v>18119.890761378912</v>
      </c>
      <c r="CE27" s="266">
        <f>IF(AND(CE$10&gt;='Torrance Inputs'!$N$38,CE$10&lt;'Torrance Inputs'!$N$40),'Torrance Inputs'!$Q6*'Torrance Pro Forma'!CE$49,IF(CE$10&gt;='Torrance Inputs'!$I$18,'Torrance Inputs'!$M$3*'Torrance Pro Forma'!CE$49,0))</f>
        <v>18119.890761378912</v>
      </c>
      <c r="CF27" s="266">
        <f>IF(AND(CF$10&gt;='Torrance Inputs'!$N$38,CF$10&lt;'Torrance Inputs'!$N$40),'Torrance Inputs'!$Q6*'Torrance Pro Forma'!CF$49,IF(CF$10&gt;='Torrance Inputs'!$I$18,'Torrance Inputs'!$M$3*'Torrance Pro Forma'!CF$49,0))</f>
        <v>18119.890761378912</v>
      </c>
      <c r="CG27" s="266">
        <f>IF(AND(CG$10&gt;='Torrance Inputs'!$N$38,CG$10&lt;'Torrance Inputs'!$N$40),'Torrance Inputs'!$Q6*'Torrance Pro Forma'!CG$49,IF(CG$10&gt;='Torrance Inputs'!$I$18,'Torrance Inputs'!$M$3*'Torrance Pro Forma'!CG$49,0))</f>
        <v>18119.890761378912</v>
      </c>
      <c r="CH27" s="266">
        <f>IF(AND(CH$10&gt;='Torrance Inputs'!$N$38,CH$10&lt;'Torrance Inputs'!$N$40),'Torrance Inputs'!$Q6*'Torrance Pro Forma'!CH$49,IF(CH$10&gt;='Torrance Inputs'!$I$18,'Torrance Inputs'!$M$3*'Torrance Pro Forma'!CH$49,0))</f>
        <v>18119.890761378912</v>
      </c>
      <c r="CI27" s="266">
        <f>IF(AND(CI$10&gt;='Torrance Inputs'!$N$38,CI$10&lt;'Torrance Inputs'!$N$40),'Torrance Inputs'!$Q6*'Torrance Pro Forma'!CI$49,IF(CI$10&gt;='Torrance Inputs'!$I$18,'Torrance Inputs'!$M$3*'Torrance Pro Forma'!CI$49,0))</f>
        <v>18482.288576606486</v>
      </c>
      <c r="CJ27" s="266">
        <f>IF(AND(CJ$10&gt;='Torrance Inputs'!$N$38,CJ$10&lt;'Torrance Inputs'!$N$40),'Torrance Inputs'!$Q6*'Torrance Pro Forma'!CJ$49,IF(CJ$10&gt;='Torrance Inputs'!$I$18,'Torrance Inputs'!$M$3*'Torrance Pro Forma'!CJ$49,0))</f>
        <v>18482.288576606486</v>
      </c>
      <c r="CK27" s="266">
        <f>IF(AND(CK$10&gt;='Torrance Inputs'!$N$38,CK$10&lt;'Torrance Inputs'!$N$40),'Torrance Inputs'!$Q6*'Torrance Pro Forma'!CK$49,IF(CK$10&gt;='Torrance Inputs'!$I$18,'Torrance Inputs'!$M$3*'Torrance Pro Forma'!CK$49,0))</f>
        <v>18482.288576606486</v>
      </c>
      <c r="CL27" s="266">
        <f>IF(AND(CL$10&gt;='Torrance Inputs'!$N$38,CL$10&lt;'Torrance Inputs'!$N$40),'Torrance Inputs'!$Q6*'Torrance Pro Forma'!CL$49,IF(CL$10&gt;='Torrance Inputs'!$I$18,'Torrance Inputs'!$M$3*'Torrance Pro Forma'!CL$49,0))</f>
        <v>18482.288576606486</v>
      </c>
      <c r="CM27" s="266">
        <f>IF(AND(CM$10&gt;='Torrance Inputs'!$N$38,CM$10&lt;'Torrance Inputs'!$N$40),'Torrance Inputs'!$Q6*'Torrance Pro Forma'!CM$49,IF(CM$10&gt;='Torrance Inputs'!$I$18,'Torrance Inputs'!$M$3*'Torrance Pro Forma'!CM$49,0))</f>
        <v>18482.288576606486</v>
      </c>
      <c r="CN27" s="266">
        <f>IF(AND(CN$10&gt;='Torrance Inputs'!$N$38,CN$10&lt;'Torrance Inputs'!$N$40),'Torrance Inputs'!$Q6*'Torrance Pro Forma'!CN$49,IF(CN$10&gt;='Torrance Inputs'!$I$18,'Torrance Inputs'!$M$3*'Torrance Pro Forma'!CN$49,0))</f>
        <v>18482.288576606486</v>
      </c>
      <c r="CO27" s="266">
        <f>IF(AND(CO$10&gt;='Torrance Inputs'!$N$38,CO$10&lt;'Torrance Inputs'!$N$40),'Torrance Inputs'!$Q6*'Torrance Pro Forma'!CO$49,IF(CO$10&gt;='Torrance Inputs'!$I$18,'Torrance Inputs'!$M$3*'Torrance Pro Forma'!CO$49,0))</f>
        <v>18482.288576606486</v>
      </c>
      <c r="CP27" s="266">
        <f>IF(AND(CP$10&gt;='Torrance Inputs'!$N$38,CP$10&lt;'Torrance Inputs'!$N$40),'Torrance Inputs'!$Q6*'Torrance Pro Forma'!CP$49,IF(CP$10&gt;='Torrance Inputs'!$I$18,'Torrance Inputs'!$M$3*'Torrance Pro Forma'!CP$49,0))</f>
        <v>18482.288576606486</v>
      </c>
      <c r="CQ27" s="266">
        <f>IF(AND(CQ$10&gt;='Torrance Inputs'!$N$38,CQ$10&lt;'Torrance Inputs'!$N$40),'Torrance Inputs'!$Q6*'Torrance Pro Forma'!CQ$49,IF(CQ$10&gt;='Torrance Inputs'!$I$18,'Torrance Inputs'!$M$3*'Torrance Pro Forma'!CQ$49,0))</f>
        <v>18482.288576606486</v>
      </c>
      <c r="CR27" s="266">
        <f>IF(AND(CR$10&gt;='Torrance Inputs'!$N$38,CR$10&lt;'Torrance Inputs'!$N$40),'Torrance Inputs'!$Q6*'Torrance Pro Forma'!CR$49,IF(CR$10&gt;='Torrance Inputs'!$I$18,'Torrance Inputs'!$M$3*'Torrance Pro Forma'!CR$49,0))</f>
        <v>18482.288576606486</v>
      </c>
      <c r="CS27" s="266">
        <f>IF(AND(CS$10&gt;='Torrance Inputs'!$N$38,CS$10&lt;'Torrance Inputs'!$N$40),'Torrance Inputs'!$Q6*'Torrance Pro Forma'!CS$49,IF(CS$10&gt;='Torrance Inputs'!$I$18,'Torrance Inputs'!$M$3*'Torrance Pro Forma'!CS$49,0))</f>
        <v>18482.288576606486</v>
      </c>
      <c r="CT27" s="266">
        <f>IF(AND(CT$10&gt;='Torrance Inputs'!$N$38,CT$10&lt;'Torrance Inputs'!$N$40),'Torrance Inputs'!$Q6*'Torrance Pro Forma'!CT$49,IF(CT$10&gt;='Torrance Inputs'!$I$18,'Torrance Inputs'!$M$3*'Torrance Pro Forma'!CT$49,0))</f>
        <v>18482.288576606486</v>
      </c>
      <c r="CU27" s="266">
        <f>IF(AND(CU$10&gt;='Torrance Inputs'!$N$38,CU$10&lt;'Torrance Inputs'!$N$40),'Torrance Inputs'!$Q6*'Torrance Pro Forma'!CU$49,IF(CU$10&gt;='Torrance Inputs'!$I$18,'Torrance Inputs'!$M$3*'Torrance Pro Forma'!CU$49,0))</f>
        <v>18851.93434813862</v>
      </c>
      <c r="CV27" s="266">
        <f>IF(AND(CV$10&gt;='Torrance Inputs'!$N$38,CV$10&lt;'Torrance Inputs'!$N$40),'Torrance Inputs'!$Q6*'Torrance Pro Forma'!CV$49,IF(CV$10&gt;='Torrance Inputs'!$I$18,'Torrance Inputs'!$M$3*'Torrance Pro Forma'!CV$49,0))</f>
        <v>18851.93434813862</v>
      </c>
      <c r="CW27" s="266">
        <f>IF(AND(CW$10&gt;='Torrance Inputs'!$N$38,CW$10&lt;'Torrance Inputs'!$N$40),'Torrance Inputs'!$Q6*'Torrance Pro Forma'!CW$49,IF(CW$10&gt;='Torrance Inputs'!$I$18,'Torrance Inputs'!$M$3*'Torrance Pro Forma'!CW$49,0))</f>
        <v>18851.93434813862</v>
      </c>
      <c r="CX27" s="266">
        <f>IF(AND(CX$10&gt;='Torrance Inputs'!$N$38,CX$10&lt;'Torrance Inputs'!$N$40),'Torrance Inputs'!$Q6*'Torrance Pro Forma'!CX$49,IF(CX$10&gt;='Torrance Inputs'!$I$18,'Torrance Inputs'!$M$3*'Torrance Pro Forma'!CX$49,0))</f>
        <v>18851.93434813862</v>
      </c>
      <c r="CY27" s="266">
        <f>IF(AND(CY$10&gt;='Torrance Inputs'!$N$38,CY$10&lt;'Torrance Inputs'!$N$40),'Torrance Inputs'!$Q6*'Torrance Pro Forma'!CY$49,IF(CY$10&gt;='Torrance Inputs'!$I$18,'Torrance Inputs'!$M$3*'Torrance Pro Forma'!CY$49,0))</f>
        <v>18851.93434813862</v>
      </c>
      <c r="CZ27" s="266">
        <f>IF(AND(CZ$10&gt;='Torrance Inputs'!$N$38,CZ$10&lt;'Torrance Inputs'!$N$40),'Torrance Inputs'!$Q6*'Torrance Pro Forma'!CZ$49,IF(CZ$10&gt;='Torrance Inputs'!$I$18,'Torrance Inputs'!$M$3*'Torrance Pro Forma'!CZ$49,0))</f>
        <v>18851.93434813862</v>
      </c>
      <c r="DA27" s="266">
        <f>IF(AND(DA$10&gt;='Torrance Inputs'!$N$38,DA$10&lt;'Torrance Inputs'!$N$40),'Torrance Inputs'!$Q6*'Torrance Pro Forma'!DA$49,IF(DA$10&gt;='Torrance Inputs'!$I$18,'Torrance Inputs'!$M$3*'Torrance Pro Forma'!DA$49,0))</f>
        <v>18851.93434813862</v>
      </c>
      <c r="DB27" s="266">
        <f>IF(AND(DB$10&gt;='Torrance Inputs'!$N$38,DB$10&lt;'Torrance Inputs'!$N$40),'Torrance Inputs'!$Q6*'Torrance Pro Forma'!DB$49,IF(DB$10&gt;='Torrance Inputs'!$I$18,'Torrance Inputs'!$M$3*'Torrance Pro Forma'!DB$49,0))</f>
        <v>18851.93434813862</v>
      </c>
      <c r="DC27" s="266">
        <f>IF(AND(DC$10&gt;='Torrance Inputs'!$N$38,DC$10&lt;'Torrance Inputs'!$N$40),'Torrance Inputs'!$Q6*'Torrance Pro Forma'!DC$49,IF(DC$10&gt;='Torrance Inputs'!$I$18,'Torrance Inputs'!$M$3*'Torrance Pro Forma'!DC$49,0))</f>
        <v>18851.93434813862</v>
      </c>
      <c r="DD27" s="266">
        <f>IF(AND(DD$10&gt;='Torrance Inputs'!$N$38,DD$10&lt;'Torrance Inputs'!$N$40),'Torrance Inputs'!$Q6*'Torrance Pro Forma'!DD$49,IF(DD$10&gt;='Torrance Inputs'!$I$18,'Torrance Inputs'!$M$3*'Torrance Pro Forma'!DD$49,0))</f>
        <v>18851.93434813862</v>
      </c>
      <c r="DE27" s="266">
        <f>IF(AND(DE$10&gt;='Torrance Inputs'!$N$38,DE$10&lt;'Torrance Inputs'!$N$40),'Torrance Inputs'!$Q6*'Torrance Pro Forma'!DE$49,IF(DE$10&gt;='Torrance Inputs'!$I$18,'Torrance Inputs'!$M$3*'Torrance Pro Forma'!DE$49,0))</f>
        <v>18851.93434813862</v>
      </c>
      <c r="DF27" s="266">
        <f>IF(AND(DF$10&gt;='Torrance Inputs'!$N$38,DF$10&lt;'Torrance Inputs'!$N$40),'Torrance Inputs'!$Q6*'Torrance Pro Forma'!DF$49,IF(DF$10&gt;='Torrance Inputs'!$I$18,'Torrance Inputs'!$M$3*'Torrance Pro Forma'!DF$49,0))</f>
        <v>18851.93434813862</v>
      </c>
      <c r="DG27" s="266">
        <f>IF(AND(DG$10&gt;='Torrance Inputs'!$N$38,DG$10&lt;'Torrance Inputs'!$N$40),'Torrance Inputs'!$Q6*'Torrance Pro Forma'!DG$49,IF(DG$10&gt;='Torrance Inputs'!$I$18,'Torrance Inputs'!$M$3*'Torrance Pro Forma'!DG$49,0))</f>
        <v>19228.973035101393</v>
      </c>
      <c r="DH27" s="266">
        <f>IF(AND(DH$10&gt;='Torrance Inputs'!$N$38,DH$10&lt;'Torrance Inputs'!$N$40),'Torrance Inputs'!$Q6*'Torrance Pro Forma'!DH$49,IF(DH$10&gt;='Torrance Inputs'!$I$18,'Torrance Inputs'!$M$3*'Torrance Pro Forma'!DH$49,0))</f>
        <v>19228.973035101393</v>
      </c>
      <c r="DI27" s="266">
        <f>IF(AND(DI$10&gt;='Torrance Inputs'!$N$38,DI$10&lt;'Torrance Inputs'!$N$40),'Torrance Inputs'!$Q6*'Torrance Pro Forma'!DI$49,IF(DI$10&gt;='Torrance Inputs'!$I$18,'Torrance Inputs'!$M$3*'Torrance Pro Forma'!DI$49,0))</f>
        <v>19228.973035101393</v>
      </c>
      <c r="DJ27" s="266">
        <f>IF(AND(DJ$10&gt;='Torrance Inputs'!$N$38,DJ$10&lt;'Torrance Inputs'!$N$40),'Torrance Inputs'!$Q6*'Torrance Pro Forma'!DJ$49,IF(DJ$10&gt;='Torrance Inputs'!$I$18,'Torrance Inputs'!$M$3*'Torrance Pro Forma'!DJ$49,0))</f>
        <v>19228.973035101393</v>
      </c>
      <c r="DK27" s="266">
        <f>IF(AND(DK$10&gt;='Torrance Inputs'!$N$38,DK$10&lt;'Torrance Inputs'!$N$40),'Torrance Inputs'!$Q6*'Torrance Pro Forma'!DK$49,IF(DK$10&gt;='Torrance Inputs'!$I$18,'Torrance Inputs'!$M$3*'Torrance Pro Forma'!DK$49,0))</f>
        <v>19228.973035101393</v>
      </c>
      <c r="DL27" s="266">
        <f>IF(AND(DL$10&gt;='Torrance Inputs'!$N$38,DL$10&lt;'Torrance Inputs'!$N$40),'Torrance Inputs'!$Q6*'Torrance Pro Forma'!DL$49,IF(DL$10&gt;='Torrance Inputs'!$I$18,'Torrance Inputs'!$M$3*'Torrance Pro Forma'!DL$49,0))</f>
        <v>19228.973035101393</v>
      </c>
      <c r="DM27" s="266">
        <f>IF(AND(DM$10&gt;='Torrance Inputs'!$N$38,DM$10&lt;'Torrance Inputs'!$N$40),'Torrance Inputs'!$Q6*'Torrance Pro Forma'!DM$49,IF(DM$10&gt;='Torrance Inputs'!$I$18,'Torrance Inputs'!$M$3*'Torrance Pro Forma'!DM$49,0))</f>
        <v>19228.973035101393</v>
      </c>
      <c r="DN27" s="266">
        <f>IF(AND(DN$10&gt;='Torrance Inputs'!$N$38,DN$10&lt;'Torrance Inputs'!$N$40),'Torrance Inputs'!$Q6*'Torrance Pro Forma'!DN$49,IF(DN$10&gt;='Torrance Inputs'!$I$18,'Torrance Inputs'!$M$3*'Torrance Pro Forma'!DN$49,0))</f>
        <v>19228.973035101393</v>
      </c>
      <c r="DO27" s="266">
        <f>IF(AND(DO$10&gt;='Torrance Inputs'!$N$38,DO$10&lt;'Torrance Inputs'!$N$40),'Torrance Inputs'!$Q6*'Torrance Pro Forma'!DO$49,IF(DO$10&gt;='Torrance Inputs'!$I$18,'Torrance Inputs'!$M$3*'Torrance Pro Forma'!DO$49,0))</f>
        <v>19228.973035101393</v>
      </c>
      <c r="DP27" s="266">
        <f>IF(AND(DP$10&gt;='Torrance Inputs'!$N$38,DP$10&lt;'Torrance Inputs'!$N$40),'Torrance Inputs'!$Q6*'Torrance Pro Forma'!DP$49,IF(DP$10&gt;='Torrance Inputs'!$I$18,'Torrance Inputs'!$M$3*'Torrance Pro Forma'!DP$49,0))</f>
        <v>19228.973035101393</v>
      </c>
      <c r="DQ27" s="266">
        <f>IF(AND(DQ$10&gt;='Torrance Inputs'!$N$38,DQ$10&lt;'Torrance Inputs'!$N$40),'Torrance Inputs'!$Q6*'Torrance Pro Forma'!DQ$49,IF(DQ$10&gt;='Torrance Inputs'!$I$18,'Torrance Inputs'!$M$3*'Torrance Pro Forma'!DQ$49,0))</f>
        <v>19228.973035101393</v>
      </c>
      <c r="DR27" s="266">
        <f>IF(AND(DR$10&gt;='Torrance Inputs'!$N$38,DR$10&lt;'Torrance Inputs'!$N$40),'Torrance Inputs'!$Q6*'Torrance Pro Forma'!DR$49,IF(DR$10&gt;='Torrance Inputs'!$I$18,'Torrance Inputs'!$M$3*'Torrance Pro Forma'!DR$49,0))</f>
        <v>19228.973035101393</v>
      </c>
      <c r="DS27" s="266">
        <f>IF(AND(DS$10&gt;='Torrance Inputs'!$N$38,DS$10&lt;'Torrance Inputs'!$N$40),'Torrance Inputs'!$Q6*'Torrance Pro Forma'!DS$49,IF(DS$10&gt;='Torrance Inputs'!$I$18,'Torrance Inputs'!$M$3*'Torrance Pro Forma'!DS$49,0))</f>
        <v>19613.552495803422</v>
      </c>
      <c r="DT27" s="266">
        <f>IF(AND(DT$10&gt;='Torrance Inputs'!$N$38,DT$10&lt;'Torrance Inputs'!$N$40),'Torrance Inputs'!$Q6*'Torrance Pro Forma'!DT$49,IF(DT$10&gt;='Torrance Inputs'!$I$18,'Torrance Inputs'!$M$3*'Torrance Pro Forma'!DT$49,0))</f>
        <v>19613.552495803422</v>
      </c>
      <c r="DU27" s="266">
        <f>IF(AND(DU$10&gt;='Torrance Inputs'!$N$38,DU$10&lt;'Torrance Inputs'!$N$40),'Torrance Inputs'!$Q6*'Torrance Pro Forma'!DU$49,IF(DU$10&gt;='Torrance Inputs'!$I$18,'Torrance Inputs'!$M$3*'Torrance Pro Forma'!DU$49,0))</f>
        <v>19613.552495803422</v>
      </c>
      <c r="DV27" s="266">
        <f>IF(AND(DV$10&gt;='Torrance Inputs'!$N$38,DV$10&lt;'Torrance Inputs'!$N$40),'Torrance Inputs'!$Q6*'Torrance Pro Forma'!DV$49,IF(DV$10&gt;='Torrance Inputs'!$I$18,'Torrance Inputs'!$M$3*'Torrance Pro Forma'!DV$49,0))</f>
        <v>19613.552495803422</v>
      </c>
      <c r="DW27" s="266">
        <f>IF(AND(DW$10&gt;='Torrance Inputs'!$N$38,DW$10&lt;'Torrance Inputs'!$N$40),'Torrance Inputs'!$Q6*'Torrance Pro Forma'!DW$49,IF(DW$10&gt;='Torrance Inputs'!$I$18,'Torrance Inputs'!$M$3*'Torrance Pro Forma'!DW$49,0))</f>
        <v>19613.552495803422</v>
      </c>
      <c r="DX27" s="266">
        <f>IF(AND(DX$10&gt;='Torrance Inputs'!$N$38,DX$10&lt;'Torrance Inputs'!$N$40),'Torrance Inputs'!$Q6*'Torrance Pro Forma'!DX$49,IF(DX$10&gt;='Torrance Inputs'!$I$18,'Torrance Inputs'!$M$3*'Torrance Pro Forma'!DX$49,0))</f>
        <v>19613.552495803422</v>
      </c>
      <c r="DY27" s="266">
        <f>IF(AND(DY$10&gt;='Torrance Inputs'!$N$38,DY$10&lt;'Torrance Inputs'!$N$40),'Torrance Inputs'!$Q6*'Torrance Pro Forma'!DY$49,IF(DY$10&gt;='Torrance Inputs'!$I$18,'Torrance Inputs'!$M$3*'Torrance Pro Forma'!DY$49,0))</f>
        <v>19613.552495803422</v>
      </c>
      <c r="DZ27" s="266">
        <f>IF(AND(DZ$10&gt;='Torrance Inputs'!$N$38,DZ$10&lt;'Torrance Inputs'!$N$40),'Torrance Inputs'!$Q6*'Torrance Pro Forma'!DZ$49,IF(DZ$10&gt;='Torrance Inputs'!$I$18,'Torrance Inputs'!$M$3*'Torrance Pro Forma'!DZ$49,0))</f>
        <v>19613.552495803422</v>
      </c>
      <c r="EA27" s="266">
        <f>IF(AND(EA$10&gt;='Torrance Inputs'!$N$38,EA$10&lt;'Torrance Inputs'!$N$40),'Torrance Inputs'!$Q6*'Torrance Pro Forma'!EA$49,IF(EA$10&gt;='Torrance Inputs'!$I$18,'Torrance Inputs'!$M$3*'Torrance Pro Forma'!EA$49,0))</f>
        <v>19613.552495803422</v>
      </c>
      <c r="EB27" s="266">
        <f>IF(AND(EB$10&gt;='Torrance Inputs'!$N$38,EB$10&lt;'Torrance Inputs'!$N$40),'Torrance Inputs'!$Q6*'Torrance Pro Forma'!EB$49,IF(EB$10&gt;='Torrance Inputs'!$I$18,'Torrance Inputs'!$M$3*'Torrance Pro Forma'!EB$49,0))</f>
        <v>19613.552495803422</v>
      </c>
      <c r="EC27" s="266">
        <f>IF(AND(EC$10&gt;='Torrance Inputs'!$N$38,EC$10&lt;'Torrance Inputs'!$N$40),'Torrance Inputs'!$Q6*'Torrance Pro Forma'!EC$49,IF(EC$10&gt;='Torrance Inputs'!$I$18,'Torrance Inputs'!$M$3*'Torrance Pro Forma'!EC$49,0))</f>
        <v>19613.552495803422</v>
      </c>
      <c r="ED27" s="266">
        <f>IF(AND(ED$10&gt;='Torrance Inputs'!$N$38,ED$10&lt;'Torrance Inputs'!$N$40),'Torrance Inputs'!$Q6*'Torrance Pro Forma'!ED$49,IF(ED$10&gt;='Torrance Inputs'!$I$18,'Torrance Inputs'!$M$3*'Torrance Pro Forma'!ED$49,0))</f>
        <v>19613.552495803422</v>
      </c>
    </row>
    <row r="28" spans="1:134" ht="19.149999999999999" customHeight="1" x14ac:dyDescent="0.4">
      <c r="A28" s="265" t="s">
        <v>205</v>
      </c>
      <c r="B28" s="265"/>
      <c r="C28" s="272">
        <f t="shared" ref="C28:AH28" si="23">SUM(C24:C27)</f>
        <v>2916.6666666666665</v>
      </c>
      <c r="D28" s="263">
        <f t="shared" si="23"/>
        <v>2916.6666666666665</v>
      </c>
      <c r="E28" s="263">
        <f t="shared" si="23"/>
        <v>2916.6666666666665</v>
      </c>
      <c r="F28" s="263">
        <f t="shared" si="23"/>
        <v>2916.6666666666665</v>
      </c>
      <c r="G28" s="263">
        <f t="shared" si="23"/>
        <v>2916.6666666666665</v>
      </c>
      <c r="H28" s="263">
        <f t="shared" si="23"/>
        <v>2916.6666666666665</v>
      </c>
      <c r="I28" s="263">
        <f t="shared" si="23"/>
        <v>2916.6666666666665</v>
      </c>
      <c r="J28" s="263">
        <f t="shared" si="23"/>
        <v>2916.6666666666665</v>
      </c>
      <c r="K28" s="263">
        <f t="shared" si="23"/>
        <v>2916.6666666666665</v>
      </c>
      <c r="L28" s="263">
        <f t="shared" si="23"/>
        <v>2916.6666666666665</v>
      </c>
      <c r="M28" s="263">
        <f t="shared" si="23"/>
        <v>2916.6666666666665</v>
      </c>
      <c r="N28" s="263">
        <f t="shared" si="23"/>
        <v>2916.6666666666665</v>
      </c>
      <c r="O28" s="263">
        <f t="shared" si="23"/>
        <v>2966.6666666666665</v>
      </c>
      <c r="P28" s="263">
        <f t="shared" si="23"/>
        <v>2966.6666666666665</v>
      </c>
      <c r="Q28" s="263">
        <f t="shared" si="23"/>
        <v>2966.6666666666665</v>
      </c>
      <c r="R28" s="263">
        <f t="shared" si="23"/>
        <v>2966.6666666666665</v>
      </c>
      <c r="S28" s="263">
        <f t="shared" si="23"/>
        <v>2966.6666666666665</v>
      </c>
      <c r="T28" s="263">
        <f t="shared" si="23"/>
        <v>2966.6666666666665</v>
      </c>
      <c r="U28" s="263">
        <f t="shared" si="23"/>
        <v>2966.6666666666665</v>
      </c>
      <c r="V28" s="263">
        <f t="shared" si="23"/>
        <v>2966.6666666666665</v>
      </c>
      <c r="W28" s="263">
        <f t="shared" si="23"/>
        <v>2966.6666666666665</v>
      </c>
      <c r="X28" s="263">
        <f t="shared" si="23"/>
        <v>2966.6666666666665</v>
      </c>
      <c r="Y28" s="263">
        <f t="shared" si="23"/>
        <v>2966.6666666666665</v>
      </c>
      <c r="Z28" s="263">
        <f t="shared" si="23"/>
        <v>2966.6666666666665</v>
      </c>
      <c r="AA28" s="263">
        <f t="shared" si="23"/>
        <v>3018.1666666666665</v>
      </c>
      <c r="AB28" s="263">
        <f t="shared" si="23"/>
        <v>3018.1666666666665</v>
      </c>
      <c r="AC28" s="263">
        <f t="shared" si="23"/>
        <v>3018.1666666666665</v>
      </c>
      <c r="AD28" s="263">
        <f t="shared" si="23"/>
        <v>3018.1666666666665</v>
      </c>
      <c r="AE28" s="263">
        <f t="shared" si="23"/>
        <v>3018.1666666666665</v>
      </c>
      <c r="AF28" s="263">
        <f t="shared" si="23"/>
        <v>3018.1666666666665</v>
      </c>
      <c r="AG28" s="263">
        <f t="shared" si="23"/>
        <v>3018.1666666666665</v>
      </c>
      <c r="AH28" s="263">
        <f t="shared" si="23"/>
        <v>3018.1666666666665</v>
      </c>
      <c r="AI28" s="263">
        <f t="shared" ref="AI28:BN28" si="24">SUM(AI24:AI27)</f>
        <v>3018.1666666666665</v>
      </c>
      <c r="AJ28" s="263">
        <f t="shared" si="24"/>
        <v>3018.1666666666665</v>
      </c>
      <c r="AK28" s="263">
        <f t="shared" si="24"/>
        <v>3018.1666666666665</v>
      </c>
      <c r="AL28" s="263">
        <f t="shared" si="24"/>
        <v>3018.1666666666665</v>
      </c>
      <c r="AM28" s="263">
        <f t="shared" si="24"/>
        <v>3071.2116666666666</v>
      </c>
      <c r="AN28" s="263">
        <f t="shared" si="24"/>
        <v>3071.2116666666666</v>
      </c>
      <c r="AO28" s="263">
        <f t="shared" si="24"/>
        <v>3071.2116666666666</v>
      </c>
      <c r="AP28" s="263">
        <f t="shared" si="24"/>
        <v>3071.2116666666666</v>
      </c>
      <c r="AQ28" s="263">
        <f t="shared" si="24"/>
        <v>3071.2116666666666</v>
      </c>
      <c r="AR28" s="263">
        <f t="shared" si="24"/>
        <v>3071.2116666666666</v>
      </c>
      <c r="AS28" s="263">
        <f t="shared" si="24"/>
        <v>3071.2116666666666</v>
      </c>
      <c r="AT28" s="263">
        <f t="shared" si="24"/>
        <v>3071.2116666666666</v>
      </c>
      <c r="AU28" s="263">
        <f t="shared" si="24"/>
        <v>3071.2116666666666</v>
      </c>
      <c r="AV28" s="263">
        <f t="shared" si="24"/>
        <v>3071.2116666666666</v>
      </c>
      <c r="AW28" s="263">
        <f t="shared" si="24"/>
        <v>3071.2116666666666</v>
      </c>
      <c r="AX28" s="263">
        <f t="shared" si="24"/>
        <v>3071.2116666666666</v>
      </c>
      <c r="AY28" s="263">
        <f t="shared" si="24"/>
        <v>0</v>
      </c>
      <c r="AZ28" s="263">
        <f t="shared" si="24"/>
        <v>0</v>
      </c>
      <c r="BA28" s="263">
        <f t="shared" si="24"/>
        <v>0</v>
      </c>
      <c r="BB28" s="263">
        <f t="shared" si="24"/>
        <v>0</v>
      </c>
      <c r="BC28" s="263">
        <f t="shared" si="24"/>
        <v>0</v>
      </c>
      <c r="BD28" s="263">
        <f t="shared" si="24"/>
        <v>0</v>
      </c>
      <c r="BE28" s="263">
        <f t="shared" si="24"/>
        <v>0</v>
      </c>
      <c r="BF28" s="263">
        <f t="shared" si="24"/>
        <v>0</v>
      </c>
      <c r="BG28" s="263">
        <f t="shared" si="24"/>
        <v>0</v>
      </c>
      <c r="BH28" s="263">
        <f t="shared" si="24"/>
        <v>0</v>
      </c>
      <c r="BI28" s="263">
        <f t="shared" si="24"/>
        <v>0</v>
      </c>
      <c r="BJ28" s="263">
        <f t="shared" si="24"/>
        <v>0</v>
      </c>
      <c r="BK28" s="263">
        <f t="shared" si="24"/>
        <v>20946.722242832271</v>
      </c>
      <c r="BL28" s="263">
        <f t="shared" si="24"/>
        <v>20946.722242832271</v>
      </c>
      <c r="BM28" s="263">
        <f t="shared" si="24"/>
        <v>20946.722242832271</v>
      </c>
      <c r="BN28" s="263">
        <f t="shared" si="24"/>
        <v>20946.722242832271</v>
      </c>
      <c r="BO28" s="263">
        <f t="shared" ref="BO28:CT28" si="25">SUM(BO24:BO27)</f>
        <v>20946.722242832271</v>
      </c>
      <c r="BP28" s="263">
        <f t="shared" si="25"/>
        <v>20946.722242832271</v>
      </c>
      <c r="BQ28" s="263">
        <f t="shared" si="25"/>
        <v>20946.722242832271</v>
      </c>
      <c r="BR28" s="263">
        <f t="shared" si="25"/>
        <v>20946.722242832271</v>
      </c>
      <c r="BS28" s="263">
        <f t="shared" si="25"/>
        <v>20946.722242832271</v>
      </c>
      <c r="BT28" s="263">
        <f t="shared" si="25"/>
        <v>20946.722242832271</v>
      </c>
      <c r="BU28" s="263">
        <f t="shared" si="25"/>
        <v>20946.722242832271</v>
      </c>
      <c r="BV28" s="263">
        <f t="shared" si="25"/>
        <v>20946.722242832271</v>
      </c>
      <c r="BW28" s="263">
        <f t="shared" si="25"/>
        <v>21359.977922260579</v>
      </c>
      <c r="BX28" s="263">
        <f t="shared" si="25"/>
        <v>21359.977922260579</v>
      </c>
      <c r="BY28" s="263">
        <f t="shared" si="25"/>
        <v>21359.977922260579</v>
      </c>
      <c r="BZ28" s="263">
        <f t="shared" si="25"/>
        <v>21359.977922260579</v>
      </c>
      <c r="CA28" s="263">
        <f t="shared" si="25"/>
        <v>21359.977922260579</v>
      </c>
      <c r="CB28" s="263">
        <f t="shared" si="25"/>
        <v>21359.977922260579</v>
      </c>
      <c r="CC28" s="263">
        <f t="shared" si="25"/>
        <v>21359.977922260579</v>
      </c>
      <c r="CD28" s="263">
        <f t="shared" si="25"/>
        <v>21359.977922260579</v>
      </c>
      <c r="CE28" s="263">
        <f t="shared" si="25"/>
        <v>21359.977922260579</v>
      </c>
      <c r="CF28" s="263">
        <f t="shared" si="25"/>
        <v>21359.977922260579</v>
      </c>
      <c r="CG28" s="263">
        <f t="shared" si="25"/>
        <v>21359.977922260579</v>
      </c>
      <c r="CH28" s="263">
        <f t="shared" si="25"/>
        <v>21359.977922260579</v>
      </c>
      <c r="CI28" s="263">
        <f t="shared" si="25"/>
        <v>21782.078352314602</v>
      </c>
      <c r="CJ28" s="263">
        <f t="shared" si="25"/>
        <v>21782.078352314602</v>
      </c>
      <c r="CK28" s="263">
        <f t="shared" si="25"/>
        <v>21782.078352314602</v>
      </c>
      <c r="CL28" s="263">
        <f t="shared" si="25"/>
        <v>21782.078352314602</v>
      </c>
      <c r="CM28" s="263">
        <f t="shared" si="25"/>
        <v>21782.078352314602</v>
      </c>
      <c r="CN28" s="263">
        <f t="shared" si="25"/>
        <v>21782.078352314602</v>
      </c>
      <c r="CO28" s="263">
        <f t="shared" si="25"/>
        <v>21782.078352314602</v>
      </c>
      <c r="CP28" s="263">
        <f t="shared" si="25"/>
        <v>21782.078352314602</v>
      </c>
      <c r="CQ28" s="263">
        <f t="shared" si="25"/>
        <v>21782.078352314602</v>
      </c>
      <c r="CR28" s="263">
        <f t="shared" si="25"/>
        <v>21782.078352314602</v>
      </c>
      <c r="CS28" s="263">
        <f t="shared" si="25"/>
        <v>21782.078352314602</v>
      </c>
      <c r="CT28" s="263">
        <f t="shared" si="25"/>
        <v>21782.078352314602</v>
      </c>
      <c r="CU28" s="263">
        <f t="shared" ref="CU28:DZ28" si="26">SUM(CU24:CU27)</f>
        <v>22213.21781711798</v>
      </c>
      <c r="CV28" s="263">
        <f t="shared" si="26"/>
        <v>22213.21781711798</v>
      </c>
      <c r="CW28" s="263">
        <f t="shared" si="26"/>
        <v>22213.21781711798</v>
      </c>
      <c r="CX28" s="263">
        <f t="shared" si="26"/>
        <v>22213.21781711798</v>
      </c>
      <c r="CY28" s="263">
        <f t="shared" si="26"/>
        <v>22213.21781711798</v>
      </c>
      <c r="CZ28" s="263">
        <f t="shared" si="26"/>
        <v>22213.21781711798</v>
      </c>
      <c r="DA28" s="263">
        <f t="shared" si="26"/>
        <v>22213.21781711798</v>
      </c>
      <c r="DB28" s="263">
        <f t="shared" si="26"/>
        <v>22213.21781711798</v>
      </c>
      <c r="DC28" s="263">
        <f t="shared" si="26"/>
        <v>22213.21781711798</v>
      </c>
      <c r="DD28" s="263">
        <f t="shared" si="26"/>
        <v>22213.21781711798</v>
      </c>
      <c r="DE28" s="263">
        <f t="shared" si="26"/>
        <v>22213.21781711798</v>
      </c>
      <c r="DF28" s="263">
        <f t="shared" si="26"/>
        <v>22213.21781711798</v>
      </c>
      <c r="DG28" s="263">
        <f t="shared" si="26"/>
        <v>22653.595008150132</v>
      </c>
      <c r="DH28" s="263">
        <f t="shared" si="26"/>
        <v>22653.595008150132</v>
      </c>
      <c r="DI28" s="263">
        <f t="shared" si="26"/>
        <v>22653.595008150132</v>
      </c>
      <c r="DJ28" s="263">
        <f t="shared" si="26"/>
        <v>22653.595008150132</v>
      </c>
      <c r="DK28" s="263">
        <f t="shared" si="26"/>
        <v>22653.595008150132</v>
      </c>
      <c r="DL28" s="263">
        <f t="shared" si="26"/>
        <v>22653.595008150132</v>
      </c>
      <c r="DM28" s="263">
        <f t="shared" si="26"/>
        <v>22653.595008150132</v>
      </c>
      <c r="DN28" s="263">
        <f t="shared" si="26"/>
        <v>22653.595008150132</v>
      </c>
      <c r="DO28" s="263">
        <f t="shared" si="26"/>
        <v>22653.595008150132</v>
      </c>
      <c r="DP28" s="263">
        <f t="shared" si="26"/>
        <v>22653.595008150132</v>
      </c>
      <c r="DQ28" s="263">
        <f t="shared" si="26"/>
        <v>22653.595008150132</v>
      </c>
      <c r="DR28" s="263">
        <f t="shared" si="26"/>
        <v>22653.595008150132</v>
      </c>
      <c r="DS28" s="263">
        <f t="shared" si="26"/>
        <v>23103.413128043627</v>
      </c>
      <c r="DT28" s="263">
        <f t="shared" si="26"/>
        <v>23103.413128043627</v>
      </c>
      <c r="DU28" s="263">
        <f t="shared" si="26"/>
        <v>23103.413128043627</v>
      </c>
      <c r="DV28" s="263">
        <f t="shared" si="26"/>
        <v>23103.413128043627</v>
      </c>
      <c r="DW28" s="263">
        <f t="shared" si="26"/>
        <v>23103.413128043627</v>
      </c>
      <c r="DX28" s="263">
        <f t="shared" si="26"/>
        <v>23103.413128043627</v>
      </c>
      <c r="DY28" s="263">
        <f t="shared" si="26"/>
        <v>23103.413128043627</v>
      </c>
      <c r="DZ28" s="263">
        <f t="shared" si="26"/>
        <v>23103.413128043627</v>
      </c>
      <c r="EA28" s="263">
        <f t="shared" ref="EA28:ED28" si="27">SUM(EA24:EA27)</f>
        <v>23103.413128043627</v>
      </c>
      <c r="EB28" s="263">
        <f t="shared" si="27"/>
        <v>23103.413128043627</v>
      </c>
      <c r="EC28" s="263">
        <f t="shared" si="27"/>
        <v>23103.413128043627</v>
      </c>
      <c r="ED28" s="263">
        <f t="shared" si="27"/>
        <v>23103.413128043627</v>
      </c>
    </row>
    <row r="29" spans="1:134" ht="19.149999999999999" customHeight="1" x14ac:dyDescent="0.4">
      <c r="A29" s="264" t="s">
        <v>204</v>
      </c>
      <c r="B29" s="264"/>
      <c r="C29" s="263">
        <f t="shared" ref="C29:AH29" si="28">SUM(C28)</f>
        <v>2916.6666666666665</v>
      </c>
      <c r="D29" s="263">
        <f t="shared" si="28"/>
        <v>2916.6666666666665</v>
      </c>
      <c r="E29" s="263">
        <f t="shared" si="28"/>
        <v>2916.6666666666665</v>
      </c>
      <c r="F29" s="263">
        <f t="shared" si="28"/>
        <v>2916.6666666666665</v>
      </c>
      <c r="G29" s="263">
        <f t="shared" si="28"/>
        <v>2916.6666666666665</v>
      </c>
      <c r="H29" s="263">
        <f t="shared" si="28"/>
        <v>2916.6666666666665</v>
      </c>
      <c r="I29" s="263">
        <f t="shared" si="28"/>
        <v>2916.6666666666665</v>
      </c>
      <c r="J29" s="263">
        <f t="shared" si="28"/>
        <v>2916.6666666666665</v>
      </c>
      <c r="K29" s="263">
        <f t="shared" si="28"/>
        <v>2916.6666666666665</v>
      </c>
      <c r="L29" s="263">
        <f t="shared" si="28"/>
        <v>2916.6666666666665</v>
      </c>
      <c r="M29" s="263">
        <f t="shared" si="28"/>
        <v>2916.6666666666665</v>
      </c>
      <c r="N29" s="263">
        <f t="shared" si="28"/>
        <v>2916.6666666666665</v>
      </c>
      <c r="O29" s="263">
        <f t="shared" si="28"/>
        <v>2966.6666666666665</v>
      </c>
      <c r="P29" s="263">
        <f t="shared" si="28"/>
        <v>2966.6666666666665</v>
      </c>
      <c r="Q29" s="263">
        <f t="shared" si="28"/>
        <v>2966.6666666666665</v>
      </c>
      <c r="R29" s="263">
        <f t="shared" si="28"/>
        <v>2966.6666666666665</v>
      </c>
      <c r="S29" s="263">
        <f t="shared" si="28"/>
        <v>2966.6666666666665</v>
      </c>
      <c r="T29" s="263">
        <f t="shared" si="28"/>
        <v>2966.6666666666665</v>
      </c>
      <c r="U29" s="263">
        <f t="shared" si="28"/>
        <v>2966.6666666666665</v>
      </c>
      <c r="V29" s="263">
        <f t="shared" si="28"/>
        <v>2966.6666666666665</v>
      </c>
      <c r="W29" s="263">
        <f t="shared" si="28"/>
        <v>2966.6666666666665</v>
      </c>
      <c r="X29" s="263">
        <f t="shared" si="28"/>
        <v>2966.6666666666665</v>
      </c>
      <c r="Y29" s="263">
        <f t="shared" si="28"/>
        <v>2966.6666666666665</v>
      </c>
      <c r="Z29" s="263">
        <f t="shared" si="28"/>
        <v>2966.6666666666665</v>
      </c>
      <c r="AA29" s="263">
        <f t="shared" si="28"/>
        <v>3018.1666666666665</v>
      </c>
      <c r="AB29" s="263">
        <f t="shared" si="28"/>
        <v>3018.1666666666665</v>
      </c>
      <c r="AC29" s="263">
        <f t="shared" si="28"/>
        <v>3018.1666666666665</v>
      </c>
      <c r="AD29" s="263">
        <f t="shared" si="28"/>
        <v>3018.1666666666665</v>
      </c>
      <c r="AE29" s="263">
        <f t="shared" si="28"/>
        <v>3018.1666666666665</v>
      </c>
      <c r="AF29" s="263">
        <f t="shared" si="28"/>
        <v>3018.1666666666665</v>
      </c>
      <c r="AG29" s="263">
        <f t="shared" si="28"/>
        <v>3018.1666666666665</v>
      </c>
      <c r="AH29" s="263">
        <f t="shared" si="28"/>
        <v>3018.1666666666665</v>
      </c>
      <c r="AI29" s="263">
        <f t="shared" ref="AI29:BN29" si="29">SUM(AI28)</f>
        <v>3018.1666666666665</v>
      </c>
      <c r="AJ29" s="263">
        <f t="shared" si="29"/>
        <v>3018.1666666666665</v>
      </c>
      <c r="AK29" s="263">
        <f t="shared" si="29"/>
        <v>3018.1666666666665</v>
      </c>
      <c r="AL29" s="263">
        <f t="shared" si="29"/>
        <v>3018.1666666666665</v>
      </c>
      <c r="AM29" s="263">
        <f t="shared" si="29"/>
        <v>3071.2116666666666</v>
      </c>
      <c r="AN29" s="263">
        <f t="shared" si="29"/>
        <v>3071.2116666666666</v>
      </c>
      <c r="AO29" s="263">
        <f t="shared" si="29"/>
        <v>3071.2116666666666</v>
      </c>
      <c r="AP29" s="263">
        <f t="shared" si="29"/>
        <v>3071.2116666666666</v>
      </c>
      <c r="AQ29" s="263">
        <f t="shared" si="29"/>
        <v>3071.2116666666666</v>
      </c>
      <c r="AR29" s="263">
        <f t="shared" si="29"/>
        <v>3071.2116666666666</v>
      </c>
      <c r="AS29" s="263">
        <f t="shared" si="29"/>
        <v>3071.2116666666666</v>
      </c>
      <c r="AT29" s="263">
        <f t="shared" si="29"/>
        <v>3071.2116666666666</v>
      </c>
      <c r="AU29" s="263">
        <f t="shared" si="29"/>
        <v>3071.2116666666666</v>
      </c>
      <c r="AV29" s="263">
        <f t="shared" si="29"/>
        <v>3071.2116666666666</v>
      </c>
      <c r="AW29" s="263">
        <f t="shared" si="29"/>
        <v>3071.2116666666666</v>
      </c>
      <c r="AX29" s="263">
        <f t="shared" si="29"/>
        <v>3071.2116666666666</v>
      </c>
      <c r="AY29" s="263">
        <f t="shared" si="29"/>
        <v>0</v>
      </c>
      <c r="AZ29" s="263">
        <f t="shared" si="29"/>
        <v>0</v>
      </c>
      <c r="BA29" s="263">
        <f t="shared" si="29"/>
        <v>0</v>
      </c>
      <c r="BB29" s="263">
        <f t="shared" si="29"/>
        <v>0</v>
      </c>
      <c r="BC29" s="263">
        <f t="shared" si="29"/>
        <v>0</v>
      </c>
      <c r="BD29" s="263">
        <f t="shared" si="29"/>
        <v>0</v>
      </c>
      <c r="BE29" s="263">
        <f t="shared" si="29"/>
        <v>0</v>
      </c>
      <c r="BF29" s="263">
        <f t="shared" si="29"/>
        <v>0</v>
      </c>
      <c r="BG29" s="263">
        <f t="shared" si="29"/>
        <v>0</v>
      </c>
      <c r="BH29" s="263">
        <f t="shared" si="29"/>
        <v>0</v>
      </c>
      <c r="BI29" s="263">
        <f t="shared" si="29"/>
        <v>0</v>
      </c>
      <c r="BJ29" s="263">
        <f t="shared" si="29"/>
        <v>0</v>
      </c>
      <c r="BK29" s="263">
        <f t="shared" si="29"/>
        <v>20946.722242832271</v>
      </c>
      <c r="BL29" s="263">
        <f t="shared" si="29"/>
        <v>20946.722242832271</v>
      </c>
      <c r="BM29" s="263">
        <f t="shared" si="29"/>
        <v>20946.722242832271</v>
      </c>
      <c r="BN29" s="263">
        <f t="shared" si="29"/>
        <v>20946.722242832271</v>
      </c>
      <c r="BO29" s="263">
        <f t="shared" ref="BO29:CT29" si="30">SUM(BO28)</f>
        <v>20946.722242832271</v>
      </c>
      <c r="BP29" s="263">
        <f t="shared" si="30"/>
        <v>20946.722242832271</v>
      </c>
      <c r="BQ29" s="263">
        <f t="shared" si="30"/>
        <v>20946.722242832271</v>
      </c>
      <c r="BR29" s="263">
        <f t="shared" si="30"/>
        <v>20946.722242832271</v>
      </c>
      <c r="BS29" s="263">
        <f t="shared" si="30"/>
        <v>20946.722242832271</v>
      </c>
      <c r="BT29" s="263">
        <f t="shared" si="30"/>
        <v>20946.722242832271</v>
      </c>
      <c r="BU29" s="263">
        <f t="shared" si="30"/>
        <v>20946.722242832271</v>
      </c>
      <c r="BV29" s="263">
        <f t="shared" si="30"/>
        <v>20946.722242832271</v>
      </c>
      <c r="BW29" s="263">
        <f t="shared" si="30"/>
        <v>21359.977922260579</v>
      </c>
      <c r="BX29" s="263">
        <f t="shared" si="30"/>
        <v>21359.977922260579</v>
      </c>
      <c r="BY29" s="263">
        <f t="shared" si="30"/>
        <v>21359.977922260579</v>
      </c>
      <c r="BZ29" s="263">
        <f t="shared" si="30"/>
        <v>21359.977922260579</v>
      </c>
      <c r="CA29" s="263">
        <f t="shared" si="30"/>
        <v>21359.977922260579</v>
      </c>
      <c r="CB29" s="263">
        <f t="shared" si="30"/>
        <v>21359.977922260579</v>
      </c>
      <c r="CC29" s="263">
        <f t="shared" si="30"/>
        <v>21359.977922260579</v>
      </c>
      <c r="CD29" s="263">
        <f t="shared" si="30"/>
        <v>21359.977922260579</v>
      </c>
      <c r="CE29" s="263">
        <f t="shared" si="30"/>
        <v>21359.977922260579</v>
      </c>
      <c r="CF29" s="263">
        <f t="shared" si="30"/>
        <v>21359.977922260579</v>
      </c>
      <c r="CG29" s="263">
        <f t="shared" si="30"/>
        <v>21359.977922260579</v>
      </c>
      <c r="CH29" s="263">
        <f t="shared" si="30"/>
        <v>21359.977922260579</v>
      </c>
      <c r="CI29" s="263">
        <f t="shared" si="30"/>
        <v>21782.078352314602</v>
      </c>
      <c r="CJ29" s="263">
        <f t="shared" si="30"/>
        <v>21782.078352314602</v>
      </c>
      <c r="CK29" s="263">
        <f t="shared" si="30"/>
        <v>21782.078352314602</v>
      </c>
      <c r="CL29" s="263">
        <f t="shared" si="30"/>
        <v>21782.078352314602</v>
      </c>
      <c r="CM29" s="263">
        <f t="shared" si="30"/>
        <v>21782.078352314602</v>
      </c>
      <c r="CN29" s="263">
        <f t="shared" si="30"/>
        <v>21782.078352314602</v>
      </c>
      <c r="CO29" s="263">
        <f t="shared" si="30"/>
        <v>21782.078352314602</v>
      </c>
      <c r="CP29" s="263">
        <f t="shared" si="30"/>
        <v>21782.078352314602</v>
      </c>
      <c r="CQ29" s="263">
        <f t="shared" si="30"/>
        <v>21782.078352314602</v>
      </c>
      <c r="CR29" s="263">
        <f t="shared" si="30"/>
        <v>21782.078352314602</v>
      </c>
      <c r="CS29" s="263">
        <f t="shared" si="30"/>
        <v>21782.078352314602</v>
      </c>
      <c r="CT29" s="263">
        <f t="shared" si="30"/>
        <v>21782.078352314602</v>
      </c>
      <c r="CU29" s="263">
        <f t="shared" ref="CU29:DZ29" si="31">SUM(CU28)</f>
        <v>22213.21781711798</v>
      </c>
      <c r="CV29" s="263">
        <f t="shared" si="31"/>
        <v>22213.21781711798</v>
      </c>
      <c r="CW29" s="263">
        <f t="shared" si="31"/>
        <v>22213.21781711798</v>
      </c>
      <c r="CX29" s="263">
        <f t="shared" si="31"/>
        <v>22213.21781711798</v>
      </c>
      <c r="CY29" s="263">
        <f t="shared" si="31"/>
        <v>22213.21781711798</v>
      </c>
      <c r="CZ29" s="263">
        <f t="shared" si="31"/>
        <v>22213.21781711798</v>
      </c>
      <c r="DA29" s="263">
        <f t="shared" si="31"/>
        <v>22213.21781711798</v>
      </c>
      <c r="DB29" s="263">
        <f t="shared" si="31"/>
        <v>22213.21781711798</v>
      </c>
      <c r="DC29" s="263">
        <f t="shared" si="31"/>
        <v>22213.21781711798</v>
      </c>
      <c r="DD29" s="263">
        <f t="shared" si="31"/>
        <v>22213.21781711798</v>
      </c>
      <c r="DE29" s="263">
        <f t="shared" si="31"/>
        <v>22213.21781711798</v>
      </c>
      <c r="DF29" s="263">
        <f t="shared" si="31"/>
        <v>22213.21781711798</v>
      </c>
      <c r="DG29" s="263">
        <f t="shared" si="31"/>
        <v>22653.595008150132</v>
      </c>
      <c r="DH29" s="263">
        <f t="shared" si="31"/>
        <v>22653.595008150132</v>
      </c>
      <c r="DI29" s="263">
        <f t="shared" si="31"/>
        <v>22653.595008150132</v>
      </c>
      <c r="DJ29" s="263">
        <f t="shared" si="31"/>
        <v>22653.595008150132</v>
      </c>
      <c r="DK29" s="263">
        <f t="shared" si="31"/>
        <v>22653.595008150132</v>
      </c>
      <c r="DL29" s="263">
        <f t="shared" si="31"/>
        <v>22653.595008150132</v>
      </c>
      <c r="DM29" s="263">
        <f t="shared" si="31"/>
        <v>22653.595008150132</v>
      </c>
      <c r="DN29" s="263">
        <f t="shared" si="31"/>
        <v>22653.595008150132</v>
      </c>
      <c r="DO29" s="263">
        <f t="shared" si="31"/>
        <v>22653.595008150132</v>
      </c>
      <c r="DP29" s="263">
        <f t="shared" si="31"/>
        <v>22653.595008150132</v>
      </c>
      <c r="DQ29" s="263">
        <f t="shared" si="31"/>
        <v>22653.595008150132</v>
      </c>
      <c r="DR29" s="263">
        <f t="shared" si="31"/>
        <v>22653.595008150132</v>
      </c>
      <c r="DS29" s="263">
        <f t="shared" si="31"/>
        <v>23103.413128043627</v>
      </c>
      <c r="DT29" s="263">
        <f t="shared" si="31"/>
        <v>23103.413128043627</v>
      </c>
      <c r="DU29" s="263">
        <f t="shared" si="31"/>
        <v>23103.413128043627</v>
      </c>
      <c r="DV29" s="263">
        <f t="shared" si="31"/>
        <v>23103.413128043627</v>
      </c>
      <c r="DW29" s="263">
        <f t="shared" si="31"/>
        <v>23103.413128043627</v>
      </c>
      <c r="DX29" s="263">
        <f t="shared" si="31"/>
        <v>23103.413128043627</v>
      </c>
      <c r="DY29" s="263">
        <f t="shared" si="31"/>
        <v>23103.413128043627</v>
      </c>
      <c r="DZ29" s="263">
        <f t="shared" si="31"/>
        <v>23103.413128043627</v>
      </c>
      <c r="EA29" s="263">
        <f t="shared" ref="EA29:ED29" si="32">SUM(EA28)</f>
        <v>23103.413128043627</v>
      </c>
      <c r="EB29" s="263">
        <f t="shared" si="32"/>
        <v>23103.413128043627</v>
      </c>
      <c r="EC29" s="263">
        <f t="shared" si="32"/>
        <v>23103.413128043627</v>
      </c>
      <c r="ED29" s="263">
        <f t="shared" si="32"/>
        <v>23103.413128043627</v>
      </c>
    </row>
    <row r="30" spans="1:134" ht="19.149999999999999" customHeight="1" x14ac:dyDescent="0.4">
      <c r="A30" s="259" t="s">
        <v>182</v>
      </c>
      <c r="C30" s="267"/>
      <c r="D30" s="267"/>
      <c r="E30" s="267"/>
      <c r="F30" s="267"/>
      <c r="G30" s="267"/>
      <c r="H30" s="267"/>
      <c r="I30" s="267"/>
      <c r="J30" s="267"/>
      <c r="K30" s="267"/>
      <c r="L30" s="267"/>
      <c r="M30" s="267"/>
      <c r="N30" s="267"/>
      <c r="O30" s="267"/>
      <c r="P30" s="267"/>
      <c r="Q30" s="267"/>
      <c r="R30" s="267"/>
      <c r="S30" s="267"/>
      <c r="T30" s="267"/>
      <c r="U30" s="267"/>
      <c r="V30" s="267"/>
      <c r="W30" s="267"/>
      <c r="X30" s="267"/>
      <c r="Y30" s="267"/>
      <c r="Z30" s="267"/>
      <c r="AA30" s="267"/>
      <c r="AB30" s="267"/>
      <c r="AC30" s="267"/>
      <c r="AD30" s="267"/>
      <c r="AE30" s="267"/>
      <c r="AF30" s="267"/>
      <c r="AG30" s="267"/>
      <c r="AH30" s="267"/>
      <c r="AI30" s="267"/>
      <c r="AJ30" s="267"/>
      <c r="AK30" s="267"/>
      <c r="AL30" s="267"/>
      <c r="AM30" s="267"/>
      <c r="AN30" s="267"/>
      <c r="AO30" s="267"/>
      <c r="AP30" s="267"/>
      <c r="AQ30" s="267"/>
      <c r="AR30" s="267"/>
      <c r="AS30" s="267"/>
      <c r="AT30" s="267"/>
      <c r="AU30" s="267"/>
      <c r="AV30" s="267"/>
      <c r="AW30" s="267"/>
      <c r="AX30" s="267"/>
      <c r="AY30" s="267"/>
      <c r="AZ30" s="267"/>
      <c r="BA30" s="267"/>
      <c r="BB30" s="267"/>
      <c r="BC30" s="267"/>
      <c r="BD30" s="267"/>
      <c r="BE30" s="267"/>
      <c r="BF30" s="267"/>
      <c r="BG30" s="267"/>
      <c r="BH30" s="267"/>
      <c r="BI30" s="267"/>
      <c r="BJ30" s="267"/>
      <c r="BK30" s="267"/>
      <c r="BL30" s="267"/>
      <c r="BM30" s="267"/>
      <c r="BN30" s="267"/>
      <c r="BO30" s="267"/>
      <c r="BP30" s="267"/>
      <c r="BQ30" s="267"/>
      <c r="BR30" s="267"/>
      <c r="BS30" s="267"/>
      <c r="BT30" s="267"/>
      <c r="BU30" s="267"/>
      <c r="BV30" s="267"/>
      <c r="BW30" s="267"/>
      <c r="BX30" s="267"/>
      <c r="BY30" s="267"/>
      <c r="BZ30" s="267"/>
      <c r="CA30" s="267"/>
      <c r="CB30" s="267"/>
      <c r="CC30" s="267"/>
      <c r="CD30" s="267"/>
      <c r="CE30" s="267"/>
      <c r="CF30" s="267"/>
      <c r="CG30" s="267"/>
      <c r="CH30" s="267"/>
      <c r="CI30" s="267"/>
      <c r="CJ30" s="267"/>
      <c r="CK30" s="267"/>
      <c r="CL30" s="267"/>
      <c r="CM30" s="267"/>
      <c r="CN30" s="267"/>
      <c r="CO30" s="267"/>
      <c r="CP30" s="267"/>
      <c r="CQ30" s="267"/>
      <c r="CR30" s="267"/>
      <c r="CS30" s="267"/>
      <c r="CT30" s="267"/>
      <c r="CU30" s="267"/>
      <c r="CV30" s="267"/>
      <c r="CW30" s="267"/>
      <c r="CX30" s="267"/>
      <c r="CY30" s="267"/>
      <c r="CZ30" s="267"/>
      <c r="DA30" s="267"/>
      <c r="DB30" s="267"/>
      <c r="DC30" s="267"/>
      <c r="DD30" s="267"/>
      <c r="DE30" s="267"/>
      <c r="DF30" s="267"/>
      <c r="DG30" s="267"/>
      <c r="DH30" s="267"/>
      <c r="DI30" s="267"/>
      <c r="DJ30" s="267"/>
      <c r="DK30" s="267"/>
      <c r="DL30" s="267"/>
      <c r="DM30" s="267"/>
      <c r="DN30" s="267"/>
      <c r="DO30" s="267"/>
      <c r="DP30" s="267"/>
      <c r="DQ30" s="267"/>
      <c r="DR30" s="267"/>
      <c r="DS30" s="267"/>
      <c r="DT30" s="267"/>
      <c r="DU30" s="267"/>
      <c r="DV30" s="267"/>
      <c r="DW30" s="267"/>
      <c r="DX30" s="267"/>
      <c r="DY30" s="267"/>
      <c r="DZ30" s="267"/>
      <c r="EA30" s="267"/>
      <c r="EB30" s="267"/>
      <c r="EC30" s="267"/>
      <c r="ED30" s="267"/>
    </row>
    <row r="31" spans="1:134" ht="19.149999999999999" customHeight="1" x14ac:dyDescent="0.4">
      <c r="A31" s="264" t="s">
        <v>203</v>
      </c>
      <c r="B31" s="264"/>
      <c r="C31" s="263">
        <f t="shared" ref="C31:AH31" si="33">C21+C29</f>
        <v>94583.333333333343</v>
      </c>
      <c r="D31" s="263">
        <f t="shared" si="33"/>
        <v>94583.333333333343</v>
      </c>
      <c r="E31" s="263">
        <f t="shared" si="33"/>
        <v>94583.333333333343</v>
      </c>
      <c r="F31" s="263">
        <f t="shared" si="33"/>
        <v>94583.333333333343</v>
      </c>
      <c r="G31" s="263">
        <f t="shared" si="33"/>
        <v>94583.333333333343</v>
      </c>
      <c r="H31" s="263">
        <f t="shared" si="33"/>
        <v>94583.333333333343</v>
      </c>
      <c r="I31" s="263">
        <f t="shared" si="33"/>
        <v>94583.333333333343</v>
      </c>
      <c r="J31" s="263">
        <f t="shared" si="33"/>
        <v>94583.333333333343</v>
      </c>
      <c r="K31" s="263">
        <f t="shared" si="33"/>
        <v>94583.333333333343</v>
      </c>
      <c r="L31" s="263">
        <f t="shared" si="33"/>
        <v>94583.333333333343</v>
      </c>
      <c r="M31" s="263">
        <f t="shared" si="33"/>
        <v>94583.333333333343</v>
      </c>
      <c r="N31" s="263">
        <f t="shared" si="33"/>
        <v>94583.333333333343</v>
      </c>
      <c r="O31" s="263">
        <f t="shared" si="33"/>
        <v>96466.666666666672</v>
      </c>
      <c r="P31" s="263">
        <f t="shared" si="33"/>
        <v>96466.666666666672</v>
      </c>
      <c r="Q31" s="263">
        <f t="shared" si="33"/>
        <v>96466.666666666672</v>
      </c>
      <c r="R31" s="263">
        <f t="shared" si="33"/>
        <v>96466.666666666672</v>
      </c>
      <c r="S31" s="263">
        <f t="shared" si="33"/>
        <v>96466.666666666672</v>
      </c>
      <c r="T31" s="263">
        <f t="shared" si="33"/>
        <v>96466.666666666672</v>
      </c>
      <c r="U31" s="263">
        <f t="shared" si="33"/>
        <v>96466.666666666672</v>
      </c>
      <c r="V31" s="263">
        <f t="shared" si="33"/>
        <v>96466.666666666672</v>
      </c>
      <c r="W31" s="263">
        <f t="shared" si="33"/>
        <v>96466.666666666672</v>
      </c>
      <c r="X31" s="263">
        <f t="shared" si="33"/>
        <v>96466.666666666672</v>
      </c>
      <c r="Y31" s="263">
        <f t="shared" si="33"/>
        <v>96466.666666666672</v>
      </c>
      <c r="Z31" s="263">
        <f t="shared" si="33"/>
        <v>96466.666666666672</v>
      </c>
      <c r="AA31" s="263">
        <f t="shared" si="33"/>
        <v>98388.166666666672</v>
      </c>
      <c r="AB31" s="263">
        <f t="shared" si="33"/>
        <v>98388.166666666672</v>
      </c>
      <c r="AC31" s="263">
        <f t="shared" si="33"/>
        <v>98388.166666666672</v>
      </c>
      <c r="AD31" s="263">
        <f t="shared" si="33"/>
        <v>98388.166666666672</v>
      </c>
      <c r="AE31" s="263">
        <f t="shared" si="33"/>
        <v>98388.166666666672</v>
      </c>
      <c r="AF31" s="263">
        <f t="shared" si="33"/>
        <v>98388.166666666672</v>
      </c>
      <c r="AG31" s="263">
        <f t="shared" si="33"/>
        <v>98388.166666666672</v>
      </c>
      <c r="AH31" s="263">
        <f t="shared" si="33"/>
        <v>98388.166666666672</v>
      </c>
      <c r="AI31" s="263">
        <f t="shared" ref="AI31:BN31" si="34">AI21+AI29</f>
        <v>98388.166666666672</v>
      </c>
      <c r="AJ31" s="263">
        <f t="shared" si="34"/>
        <v>98388.166666666672</v>
      </c>
      <c r="AK31" s="263">
        <f t="shared" si="34"/>
        <v>98388.166666666672</v>
      </c>
      <c r="AL31" s="263">
        <f t="shared" si="34"/>
        <v>98388.166666666672</v>
      </c>
      <c r="AM31" s="263">
        <f t="shared" si="34"/>
        <v>100348.61166666666</v>
      </c>
      <c r="AN31" s="263">
        <f t="shared" si="34"/>
        <v>100348.61166666666</v>
      </c>
      <c r="AO31" s="263">
        <f t="shared" si="34"/>
        <v>100348.61166666666</v>
      </c>
      <c r="AP31" s="263">
        <f t="shared" si="34"/>
        <v>100348.61166666666</v>
      </c>
      <c r="AQ31" s="263">
        <f t="shared" si="34"/>
        <v>100348.61166666666</v>
      </c>
      <c r="AR31" s="263">
        <f t="shared" si="34"/>
        <v>100348.61166666666</v>
      </c>
      <c r="AS31" s="263">
        <f t="shared" si="34"/>
        <v>100348.61166666666</v>
      </c>
      <c r="AT31" s="263">
        <f t="shared" si="34"/>
        <v>100348.61166666666</v>
      </c>
      <c r="AU31" s="263">
        <f t="shared" si="34"/>
        <v>100348.61166666666</v>
      </c>
      <c r="AV31" s="263">
        <f t="shared" si="34"/>
        <v>100348.61166666666</v>
      </c>
      <c r="AW31" s="263">
        <f t="shared" si="34"/>
        <v>100348.61166666666</v>
      </c>
      <c r="AX31" s="263">
        <f t="shared" si="34"/>
        <v>100348.61166666666</v>
      </c>
      <c r="AY31" s="263">
        <f t="shared" si="34"/>
        <v>0</v>
      </c>
      <c r="AZ31" s="263">
        <f t="shared" si="34"/>
        <v>0</v>
      </c>
      <c r="BA31" s="263">
        <f t="shared" si="34"/>
        <v>0</v>
      </c>
      <c r="BB31" s="263">
        <f t="shared" si="34"/>
        <v>0</v>
      </c>
      <c r="BC31" s="263">
        <f t="shared" si="34"/>
        <v>0</v>
      </c>
      <c r="BD31" s="263">
        <f t="shared" si="34"/>
        <v>0</v>
      </c>
      <c r="BE31" s="263">
        <f t="shared" si="34"/>
        <v>0</v>
      </c>
      <c r="BF31" s="263">
        <f t="shared" si="34"/>
        <v>0</v>
      </c>
      <c r="BG31" s="263">
        <f t="shared" si="34"/>
        <v>0</v>
      </c>
      <c r="BH31" s="263">
        <f t="shared" si="34"/>
        <v>0</v>
      </c>
      <c r="BI31" s="263">
        <f t="shared" si="34"/>
        <v>0</v>
      </c>
      <c r="BJ31" s="263">
        <f t="shared" si="34"/>
        <v>0</v>
      </c>
      <c r="BK31" s="263">
        <f t="shared" si="34"/>
        <v>926782.6508128565</v>
      </c>
      <c r="BL31" s="263">
        <f t="shared" si="34"/>
        <v>422615.98414618988</v>
      </c>
      <c r="BM31" s="263">
        <f t="shared" si="34"/>
        <v>422615.98414618988</v>
      </c>
      <c r="BN31" s="263">
        <f t="shared" si="34"/>
        <v>422615.98414618988</v>
      </c>
      <c r="BO31" s="263">
        <f t="shared" ref="BO31:CT31" si="35">BO21+BO29</f>
        <v>422615.98414618988</v>
      </c>
      <c r="BP31" s="263">
        <f t="shared" si="35"/>
        <v>422615.98414618988</v>
      </c>
      <c r="BQ31" s="263">
        <f t="shared" si="35"/>
        <v>422615.98414618988</v>
      </c>
      <c r="BR31" s="263">
        <f t="shared" si="35"/>
        <v>422615.98414618988</v>
      </c>
      <c r="BS31" s="263">
        <f t="shared" si="35"/>
        <v>422615.98414618988</v>
      </c>
      <c r="BT31" s="263">
        <f t="shared" si="35"/>
        <v>422615.98414618988</v>
      </c>
      <c r="BU31" s="263">
        <f t="shared" si="35"/>
        <v>422615.98414618988</v>
      </c>
      <c r="BV31" s="263">
        <f t="shared" si="35"/>
        <v>422615.98414618988</v>
      </c>
      <c r="BW31" s="263">
        <f t="shared" si="35"/>
        <v>431158.64927164692</v>
      </c>
      <c r="BX31" s="263">
        <f t="shared" si="35"/>
        <v>431158.64927164692</v>
      </c>
      <c r="BY31" s="263">
        <f t="shared" si="35"/>
        <v>431158.64927164692</v>
      </c>
      <c r="BZ31" s="263">
        <f t="shared" si="35"/>
        <v>431158.64927164692</v>
      </c>
      <c r="CA31" s="263">
        <f t="shared" si="35"/>
        <v>431158.64927164692</v>
      </c>
      <c r="CB31" s="263">
        <f t="shared" si="35"/>
        <v>431158.64927164692</v>
      </c>
      <c r="CC31" s="263">
        <f t="shared" si="35"/>
        <v>431158.64927164692</v>
      </c>
      <c r="CD31" s="263">
        <f t="shared" si="35"/>
        <v>431158.64927164692</v>
      </c>
      <c r="CE31" s="263">
        <f t="shared" si="35"/>
        <v>431158.64927164692</v>
      </c>
      <c r="CF31" s="263">
        <f t="shared" si="35"/>
        <v>431158.64927164692</v>
      </c>
      <c r="CG31" s="263">
        <f t="shared" si="35"/>
        <v>431158.64927164692</v>
      </c>
      <c r="CH31" s="263">
        <f t="shared" si="35"/>
        <v>431158.64927164692</v>
      </c>
      <c r="CI31" s="263">
        <f t="shared" si="35"/>
        <v>439872.74733665021</v>
      </c>
      <c r="CJ31" s="263">
        <f t="shared" si="35"/>
        <v>439872.74733665021</v>
      </c>
      <c r="CK31" s="263">
        <f t="shared" si="35"/>
        <v>439872.74733665021</v>
      </c>
      <c r="CL31" s="263">
        <f t="shared" si="35"/>
        <v>439872.74733665021</v>
      </c>
      <c r="CM31" s="263">
        <f t="shared" si="35"/>
        <v>439872.74733665021</v>
      </c>
      <c r="CN31" s="263">
        <f t="shared" si="35"/>
        <v>439872.74733665021</v>
      </c>
      <c r="CO31" s="263">
        <f t="shared" si="35"/>
        <v>439872.74733665021</v>
      </c>
      <c r="CP31" s="263">
        <f t="shared" si="35"/>
        <v>439872.74733665021</v>
      </c>
      <c r="CQ31" s="263">
        <f t="shared" si="35"/>
        <v>439872.74733665021</v>
      </c>
      <c r="CR31" s="263">
        <f t="shared" si="35"/>
        <v>439872.74733665021</v>
      </c>
      <c r="CS31" s="263">
        <f t="shared" si="35"/>
        <v>439872.74733665021</v>
      </c>
      <c r="CT31" s="263">
        <f t="shared" si="35"/>
        <v>439872.74733665021</v>
      </c>
      <c r="CU31" s="263">
        <f t="shared" ref="CU31:ED31" si="36">CU21+CU29</f>
        <v>448761.72438910196</v>
      </c>
      <c r="CV31" s="263">
        <f t="shared" si="36"/>
        <v>448761.72438910196</v>
      </c>
      <c r="CW31" s="263">
        <f t="shared" si="36"/>
        <v>448761.72438910196</v>
      </c>
      <c r="CX31" s="263">
        <f t="shared" si="36"/>
        <v>448761.72438910196</v>
      </c>
      <c r="CY31" s="263">
        <f t="shared" si="36"/>
        <v>448761.72438910196</v>
      </c>
      <c r="CZ31" s="263">
        <f t="shared" si="36"/>
        <v>448761.72438910196</v>
      </c>
      <c r="DA31" s="263">
        <f t="shared" si="36"/>
        <v>448761.72438910196</v>
      </c>
      <c r="DB31" s="263">
        <f t="shared" si="36"/>
        <v>448761.72438910196</v>
      </c>
      <c r="DC31" s="263">
        <f t="shared" si="36"/>
        <v>448761.72438910196</v>
      </c>
      <c r="DD31" s="263">
        <f t="shared" si="36"/>
        <v>448761.72438910196</v>
      </c>
      <c r="DE31" s="263">
        <f t="shared" si="36"/>
        <v>448761.72438910196</v>
      </c>
      <c r="DF31" s="263">
        <f t="shared" si="36"/>
        <v>448761.72438910196</v>
      </c>
      <c r="DG31" s="263">
        <f t="shared" si="36"/>
        <v>457829.09591953538</v>
      </c>
      <c r="DH31" s="263">
        <f t="shared" si="36"/>
        <v>457829.09591953538</v>
      </c>
      <c r="DI31" s="263">
        <f t="shared" si="36"/>
        <v>457829.09591953538</v>
      </c>
      <c r="DJ31" s="263">
        <f t="shared" si="36"/>
        <v>457829.09591953538</v>
      </c>
      <c r="DK31" s="263">
        <f t="shared" si="36"/>
        <v>457829.09591953538</v>
      </c>
      <c r="DL31" s="263">
        <f t="shared" si="36"/>
        <v>457829.09591953538</v>
      </c>
      <c r="DM31" s="263">
        <f t="shared" si="36"/>
        <v>457829.09591953538</v>
      </c>
      <c r="DN31" s="263">
        <f t="shared" si="36"/>
        <v>457829.09591953538</v>
      </c>
      <c r="DO31" s="263">
        <f t="shared" si="36"/>
        <v>457829.09591953538</v>
      </c>
      <c r="DP31" s="263">
        <f t="shared" si="36"/>
        <v>457829.09591953538</v>
      </c>
      <c r="DQ31" s="263">
        <f t="shared" si="36"/>
        <v>457829.09591953538</v>
      </c>
      <c r="DR31" s="263">
        <f t="shared" si="36"/>
        <v>457829.09591953538</v>
      </c>
      <c r="DS31" s="263">
        <f t="shared" si="36"/>
        <v>467078.44826561824</v>
      </c>
      <c r="DT31" s="263">
        <f t="shared" si="36"/>
        <v>467078.44826561824</v>
      </c>
      <c r="DU31" s="263">
        <f t="shared" si="36"/>
        <v>467078.44826561824</v>
      </c>
      <c r="DV31" s="263">
        <f t="shared" si="36"/>
        <v>467078.44826561824</v>
      </c>
      <c r="DW31" s="263">
        <f t="shared" si="36"/>
        <v>467078.44826561824</v>
      </c>
      <c r="DX31" s="263">
        <f t="shared" si="36"/>
        <v>467078.44826561824</v>
      </c>
      <c r="DY31" s="263">
        <f t="shared" si="36"/>
        <v>467078.44826561824</v>
      </c>
      <c r="DZ31" s="263">
        <f t="shared" si="36"/>
        <v>467078.44826561824</v>
      </c>
      <c r="EA31" s="263">
        <f t="shared" si="36"/>
        <v>467078.44826561824</v>
      </c>
      <c r="EB31" s="263">
        <f t="shared" si="36"/>
        <v>467078.44826561824</v>
      </c>
      <c r="EC31" s="263">
        <f t="shared" si="36"/>
        <v>467078.44826561824</v>
      </c>
      <c r="ED31" s="263">
        <f t="shared" si="36"/>
        <v>467078.44826561824</v>
      </c>
    </row>
    <row r="32" spans="1:134" ht="19.149999999999999" customHeight="1" x14ac:dyDescent="0.4">
      <c r="A32" s="264"/>
      <c r="B32" s="264"/>
      <c r="C32" s="266"/>
      <c r="D32" s="266"/>
      <c r="E32" s="266"/>
      <c r="F32" s="266"/>
      <c r="G32" s="266"/>
      <c r="H32" s="266"/>
      <c r="I32" s="266"/>
      <c r="J32" s="266"/>
      <c r="K32" s="266"/>
      <c r="L32" s="266"/>
      <c r="M32" s="266"/>
      <c r="N32" s="266"/>
      <c r="O32" s="266"/>
      <c r="P32" s="266"/>
      <c r="Q32" s="266"/>
      <c r="R32" s="266"/>
      <c r="S32" s="266"/>
      <c r="T32" s="266"/>
      <c r="U32" s="266"/>
      <c r="V32" s="266"/>
      <c r="W32" s="266"/>
      <c r="X32" s="266"/>
      <c r="Y32" s="266"/>
      <c r="Z32" s="266"/>
      <c r="AA32" s="266"/>
      <c r="AB32" s="266"/>
      <c r="AC32" s="266"/>
      <c r="AD32" s="266"/>
      <c r="AE32" s="266"/>
      <c r="AF32" s="266"/>
      <c r="AG32" s="266"/>
      <c r="AH32" s="266"/>
      <c r="AI32" s="266"/>
      <c r="AJ32" s="266"/>
      <c r="AK32" s="266"/>
      <c r="AL32" s="266"/>
      <c r="AM32" s="266"/>
      <c r="AN32" s="266"/>
      <c r="AO32" s="266"/>
      <c r="AP32" s="266"/>
      <c r="AQ32" s="266"/>
      <c r="AR32" s="266"/>
      <c r="AS32" s="266"/>
      <c r="AT32" s="266"/>
      <c r="AU32" s="266"/>
      <c r="AV32" s="266"/>
      <c r="AW32" s="266"/>
      <c r="AX32" s="266"/>
      <c r="AY32" s="266"/>
      <c r="AZ32" s="266"/>
      <c r="BA32" s="266"/>
      <c r="BB32" s="266"/>
      <c r="BC32" s="266"/>
      <c r="BD32" s="266"/>
      <c r="BE32" s="266"/>
      <c r="BF32" s="266"/>
      <c r="BG32" s="266"/>
      <c r="BH32" s="266"/>
      <c r="BI32" s="266"/>
      <c r="BJ32" s="266"/>
      <c r="BK32" s="266"/>
      <c r="BL32" s="266"/>
      <c r="BM32" s="266"/>
      <c r="BN32" s="266"/>
      <c r="BO32" s="266"/>
      <c r="BP32" s="266"/>
      <c r="BQ32" s="266"/>
      <c r="BR32" s="266"/>
      <c r="BS32" s="266"/>
      <c r="BT32" s="266"/>
      <c r="BU32" s="266"/>
      <c r="BV32" s="266"/>
      <c r="BW32" s="266"/>
      <c r="BX32" s="266"/>
      <c r="BY32" s="266"/>
      <c r="BZ32" s="266"/>
      <c r="CA32" s="266"/>
      <c r="CB32" s="266"/>
      <c r="CC32" s="266"/>
      <c r="CD32" s="266"/>
      <c r="CE32" s="266"/>
      <c r="CF32" s="266"/>
      <c r="CG32" s="266"/>
      <c r="CH32" s="266"/>
      <c r="CI32" s="266"/>
      <c r="CJ32" s="266"/>
      <c r="CK32" s="266"/>
      <c r="CL32" s="266"/>
      <c r="CM32" s="266"/>
      <c r="CN32" s="266"/>
      <c r="CO32" s="266"/>
      <c r="CP32" s="266"/>
      <c r="CQ32" s="266"/>
      <c r="CR32" s="266"/>
      <c r="CS32" s="266"/>
      <c r="CT32" s="266"/>
      <c r="CU32" s="266"/>
      <c r="CV32" s="266"/>
      <c r="CW32" s="266"/>
      <c r="CX32" s="266"/>
      <c r="CY32" s="266"/>
      <c r="CZ32" s="266"/>
      <c r="DA32" s="266"/>
      <c r="DB32" s="266"/>
      <c r="DC32" s="266"/>
      <c r="DD32" s="266"/>
      <c r="DE32" s="266"/>
      <c r="DF32" s="266"/>
      <c r="DG32" s="266"/>
      <c r="DH32" s="266"/>
      <c r="DI32" s="266"/>
      <c r="DJ32" s="266"/>
      <c r="DK32" s="266"/>
      <c r="DL32" s="266"/>
      <c r="DM32" s="266"/>
      <c r="DN32" s="266"/>
      <c r="DO32" s="266"/>
      <c r="DP32" s="266"/>
      <c r="DQ32" s="266"/>
      <c r="DR32" s="266"/>
      <c r="DS32" s="266"/>
      <c r="DT32" s="266"/>
      <c r="DU32" s="266"/>
      <c r="DV32" s="266"/>
      <c r="DW32" s="266"/>
      <c r="DX32" s="266"/>
      <c r="DY32" s="266"/>
      <c r="DZ32" s="266"/>
      <c r="EA32" s="266"/>
      <c r="EB32" s="266"/>
      <c r="EC32" s="266"/>
      <c r="ED32" s="266"/>
    </row>
    <row r="33" spans="1:134" ht="19.149999999999999" customHeight="1" x14ac:dyDescent="0.4">
      <c r="A33" s="268" t="s">
        <v>127</v>
      </c>
      <c r="B33" s="264"/>
      <c r="C33" s="266"/>
      <c r="D33" s="266"/>
      <c r="E33" s="266"/>
      <c r="F33" s="266"/>
      <c r="G33" s="266"/>
      <c r="H33" s="266"/>
      <c r="I33" s="266"/>
      <c r="J33" s="266"/>
      <c r="K33" s="266"/>
      <c r="L33" s="266"/>
      <c r="M33" s="266"/>
      <c r="N33" s="266"/>
      <c r="O33" s="266"/>
      <c r="P33" s="266"/>
      <c r="Q33" s="266"/>
      <c r="R33" s="266"/>
      <c r="S33" s="266"/>
      <c r="T33" s="266"/>
      <c r="U33" s="266"/>
      <c r="V33" s="266"/>
      <c r="W33" s="266"/>
      <c r="X33" s="266"/>
      <c r="Y33" s="266"/>
      <c r="Z33" s="266"/>
      <c r="AA33" s="266"/>
      <c r="AB33" s="266"/>
      <c r="AC33" s="266"/>
      <c r="AD33" s="266"/>
      <c r="AE33" s="266"/>
      <c r="AF33" s="266"/>
      <c r="AG33" s="266"/>
      <c r="AH33" s="266"/>
      <c r="AI33" s="266"/>
      <c r="AJ33" s="266"/>
      <c r="AK33" s="266"/>
      <c r="AL33" s="266"/>
      <c r="AM33" s="266"/>
      <c r="AN33" s="266"/>
      <c r="AO33" s="266"/>
      <c r="AP33" s="266"/>
      <c r="AQ33" s="266"/>
      <c r="AR33" s="266"/>
      <c r="AS33" s="266"/>
      <c r="AT33" s="266"/>
      <c r="AU33" s="266"/>
      <c r="AV33" s="266"/>
      <c r="AW33" s="266"/>
      <c r="AX33" s="266"/>
      <c r="AY33" s="266"/>
      <c r="AZ33" s="266"/>
      <c r="BA33" s="266"/>
      <c r="BB33" s="266"/>
      <c r="BC33" s="266"/>
      <c r="BD33" s="266"/>
      <c r="BE33" s="266"/>
      <c r="BF33" s="266"/>
      <c r="BG33" s="266"/>
      <c r="BH33" s="266"/>
      <c r="BI33" s="266"/>
      <c r="BJ33" s="266"/>
      <c r="BK33" s="266"/>
      <c r="BL33" s="266"/>
      <c r="BM33" s="266"/>
      <c r="BN33" s="266"/>
      <c r="BO33" s="266"/>
      <c r="BP33" s="266"/>
      <c r="BQ33" s="266"/>
      <c r="BR33" s="266"/>
      <c r="BS33" s="266"/>
      <c r="BT33" s="266"/>
      <c r="BU33" s="266"/>
      <c r="BV33" s="266"/>
      <c r="BW33" s="266"/>
      <c r="BX33" s="266"/>
      <c r="BY33" s="266"/>
      <c r="BZ33" s="266"/>
      <c r="CA33" s="266"/>
      <c r="CB33" s="266"/>
      <c r="CC33" s="266"/>
      <c r="CD33" s="266"/>
      <c r="CE33" s="266"/>
      <c r="CF33" s="266"/>
      <c r="CG33" s="266"/>
      <c r="CH33" s="266"/>
      <c r="CI33" s="266"/>
      <c r="CJ33" s="266"/>
      <c r="CK33" s="266"/>
      <c r="CL33" s="266"/>
      <c r="CM33" s="266"/>
      <c r="CN33" s="266"/>
      <c r="CO33" s="266"/>
      <c r="CP33" s="266"/>
      <c r="CQ33" s="266"/>
      <c r="CR33" s="266"/>
      <c r="CS33" s="266"/>
      <c r="CT33" s="266"/>
      <c r="CU33" s="266"/>
      <c r="CV33" s="266"/>
      <c r="CW33" s="266"/>
      <c r="CX33" s="266"/>
      <c r="CY33" s="266"/>
      <c r="CZ33" s="266"/>
      <c r="DA33" s="266"/>
      <c r="DB33" s="266"/>
      <c r="DC33" s="266"/>
      <c r="DD33" s="266"/>
      <c r="DE33" s="266"/>
      <c r="DF33" s="266"/>
      <c r="DG33" s="266"/>
      <c r="DH33" s="266"/>
      <c r="DI33" s="266"/>
      <c r="DJ33" s="266"/>
      <c r="DK33" s="266"/>
      <c r="DL33" s="266"/>
      <c r="DM33" s="266"/>
      <c r="DN33" s="266"/>
      <c r="DO33" s="266"/>
      <c r="DP33" s="266"/>
      <c r="DQ33" s="266"/>
      <c r="DR33" s="266"/>
      <c r="DS33" s="266"/>
      <c r="DT33" s="266"/>
      <c r="DU33" s="266"/>
      <c r="DV33" s="266"/>
      <c r="DW33" s="266"/>
      <c r="DX33" s="266"/>
      <c r="DY33" s="266"/>
      <c r="DZ33" s="266"/>
      <c r="EA33" s="266"/>
      <c r="EB33" s="266"/>
      <c r="EC33" s="266"/>
      <c r="ED33" s="266"/>
    </row>
    <row r="34" spans="1:134" ht="19.149999999999999" customHeight="1" x14ac:dyDescent="0.4">
      <c r="A34" s="270" t="s">
        <v>202</v>
      </c>
      <c r="B34" s="264"/>
      <c r="C34" s="272">
        <f>IF(AND(C$14=0,C$15=0),0,'Torrance Inputs'!$R$24*(1+'Torrance Inputs'!$T$22)^('Torrance Pro Forma'!C$8-1))</f>
        <v>15895</v>
      </c>
      <c r="D34" s="272">
        <f>IF(AND(D$14=0,D$15=0),0,'Torrance Inputs'!$R$24*(1+'Torrance Inputs'!$T$22)^('Torrance Pro Forma'!D$8-1))</f>
        <v>15895</v>
      </c>
      <c r="E34" s="272">
        <f>IF(AND(E$14=0,E$15=0),0,'Torrance Inputs'!$R$24*(1+'Torrance Inputs'!$T$22)^('Torrance Pro Forma'!E$8-1))</f>
        <v>15895</v>
      </c>
      <c r="F34" s="272">
        <f>IF(AND(F$14=0,F$15=0),0,'Torrance Inputs'!$R$24*(1+'Torrance Inputs'!$T$22)^('Torrance Pro Forma'!F$8-1))</f>
        <v>15895</v>
      </c>
      <c r="G34" s="272">
        <f>IF(AND(G$14=0,G$15=0),0,'Torrance Inputs'!$R$24*(1+'Torrance Inputs'!$T$22)^('Torrance Pro Forma'!G$8-1))</f>
        <v>15895</v>
      </c>
      <c r="H34" s="272">
        <f>IF(AND(H$14=0,H$15=0),0,'Torrance Inputs'!$R$24*(1+'Torrance Inputs'!$T$22)^('Torrance Pro Forma'!H$8-1))</f>
        <v>15895</v>
      </c>
      <c r="I34" s="272">
        <f>IF(AND(I$14=0,I$15=0),0,'Torrance Inputs'!$R$24*(1+'Torrance Inputs'!$T$22)^('Torrance Pro Forma'!I$8-1))</f>
        <v>15895</v>
      </c>
      <c r="J34" s="272">
        <f>IF(AND(J$14=0,J$15=0),0,'Torrance Inputs'!$R$24*(1+'Torrance Inputs'!$T$22)^('Torrance Pro Forma'!J$8-1))</f>
        <v>15895</v>
      </c>
      <c r="K34" s="272">
        <f>IF(AND(K$14=0,K$15=0),0,'Torrance Inputs'!$R$24*(1+'Torrance Inputs'!$T$22)^('Torrance Pro Forma'!K$8-1))</f>
        <v>15895</v>
      </c>
      <c r="L34" s="272">
        <f>IF(AND(L$14=0,L$15=0),0,'Torrance Inputs'!$R$24*(1+'Torrance Inputs'!$T$22)^('Torrance Pro Forma'!L$8-1))</f>
        <v>15895</v>
      </c>
      <c r="M34" s="272">
        <f>IF(AND(M$14=0,M$15=0),0,'Torrance Inputs'!$R$24*(1+'Torrance Inputs'!$T$22)^('Torrance Pro Forma'!M$8-1))</f>
        <v>15895</v>
      </c>
      <c r="N34" s="272">
        <f>IF(AND(N$14=0,N$15=0),0,'Torrance Inputs'!$R$24*(1+'Torrance Inputs'!$T$22)^('Torrance Pro Forma'!N$8-1))</f>
        <v>15895</v>
      </c>
      <c r="O34" s="272">
        <f>IF(AND(O$14=0,O$15=0),0,'Torrance Inputs'!$R$24*(1+'Torrance Inputs'!$T$22)^('Torrance Pro Forma'!O$8-1))</f>
        <v>16212.9</v>
      </c>
      <c r="P34" s="272">
        <f>IF(AND(P$14=0,P$15=0),0,'Torrance Inputs'!$R$24*(1+'Torrance Inputs'!$T$22)^('Torrance Pro Forma'!P$8-1))</f>
        <v>16212.9</v>
      </c>
      <c r="Q34" s="272">
        <f>IF(AND(Q$14=0,Q$15=0),0,'Torrance Inputs'!$R$24*(1+'Torrance Inputs'!$T$22)^('Torrance Pro Forma'!Q$8-1))</f>
        <v>16212.9</v>
      </c>
      <c r="R34" s="272">
        <f>IF(AND(R$14=0,R$15=0),0,'Torrance Inputs'!$R$24*(1+'Torrance Inputs'!$T$22)^('Torrance Pro Forma'!R$8-1))</f>
        <v>16212.9</v>
      </c>
      <c r="S34" s="272">
        <f>IF(AND(S$14=0,S$15=0),0,'Torrance Inputs'!$R$24*(1+'Torrance Inputs'!$T$22)^('Torrance Pro Forma'!S$8-1))</f>
        <v>16212.9</v>
      </c>
      <c r="T34" s="272">
        <f>IF(AND(T$14=0,T$15=0),0,'Torrance Inputs'!$R$24*(1+'Torrance Inputs'!$T$22)^('Torrance Pro Forma'!T$8-1))</f>
        <v>16212.9</v>
      </c>
      <c r="U34" s="272">
        <f>IF(AND(U$14=0,U$15=0),0,'Torrance Inputs'!$R$24*(1+'Torrance Inputs'!$T$22)^('Torrance Pro Forma'!U$8-1))</f>
        <v>16212.9</v>
      </c>
      <c r="V34" s="272">
        <f>IF(AND(V$14=0,V$15=0),0,'Torrance Inputs'!$R$24*(1+'Torrance Inputs'!$T$22)^('Torrance Pro Forma'!V$8-1))</f>
        <v>16212.9</v>
      </c>
      <c r="W34" s="272">
        <f>IF(AND(W$14=0,W$15=0),0,'Torrance Inputs'!$R$24*(1+'Torrance Inputs'!$T$22)^('Torrance Pro Forma'!W$8-1))</f>
        <v>16212.9</v>
      </c>
      <c r="X34" s="272">
        <f>IF(AND(X$14=0,X$15=0),0,'Torrance Inputs'!$R$24*(1+'Torrance Inputs'!$T$22)^('Torrance Pro Forma'!X$8-1))</f>
        <v>16212.9</v>
      </c>
      <c r="Y34" s="272">
        <f>IF(AND(Y$14=0,Y$15=0),0,'Torrance Inputs'!$R$24*(1+'Torrance Inputs'!$T$22)^('Torrance Pro Forma'!Y$8-1))</f>
        <v>16212.9</v>
      </c>
      <c r="Z34" s="272">
        <f>IF(AND(Z$14=0,Z$15=0),0,'Torrance Inputs'!$R$24*(1+'Torrance Inputs'!$T$22)^('Torrance Pro Forma'!Z$8-1))</f>
        <v>16212.9</v>
      </c>
      <c r="AA34" s="272">
        <f>IF(AND(AA$14=0,AA$15=0),0,'Torrance Inputs'!$R$24*(1+'Torrance Inputs'!$T$22)^('Torrance Pro Forma'!AA$8-1))</f>
        <v>16537.157999999999</v>
      </c>
      <c r="AB34" s="272">
        <f>IF(AND(AB$14=0,AB$15=0),0,'Torrance Inputs'!$R$24*(1+'Torrance Inputs'!$T$22)^('Torrance Pro Forma'!AB$8-1))</f>
        <v>16537.157999999999</v>
      </c>
      <c r="AC34" s="272">
        <f>IF(AND(AC$14=0,AC$15=0),0,'Torrance Inputs'!$R$24*(1+'Torrance Inputs'!$T$22)^('Torrance Pro Forma'!AC$8-1))</f>
        <v>16537.157999999999</v>
      </c>
      <c r="AD34" s="272">
        <f>IF(AND(AD$14=0,AD$15=0),0,'Torrance Inputs'!$R$24*(1+'Torrance Inputs'!$T$22)^('Torrance Pro Forma'!AD$8-1))</f>
        <v>16537.157999999999</v>
      </c>
      <c r="AE34" s="272">
        <f>IF(AND(AE$14=0,AE$15=0),0,'Torrance Inputs'!$R$24*(1+'Torrance Inputs'!$T$22)^('Torrance Pro Forma'!AE$8-1))</f>
        <v>16537.157999999999</v>
      </c>
      <c r="AF34" s="272">
        <f>IF(AND(AF$14=0,AF$15=0),0,'Torrance Inputs'!$R$24*(1+'Torrance Inputs'!$T$22)^('Torrance Pro Forma'!AF$8-1))</f>
        <v>16537.157999999999</v>
      </c>
      <c r="AG34" s="272">
        <f>IF(AND(AG$14=0,AG$15=0),0,'Torrance Inputs'!$R$24*(1+'Torrance Inputs'!$T$22)^('Torrance Pro Forma'!AG$8-1))</f>
        <v>16537.157999999999</v>
      </c>
      <c r="AH34" s="272">
        <f>IF(AND(AH$14=0,AH$15=0),0,'Torrance Inputs'!$R$24*(1+'Torrance Inputs'!$T$22)^('Torrance Pro Forma'!AH$8-1))</f>
        <v>16537.157999999999</v>
      </c>
      <c r="AI34" s="272">
        <f>IF(AND(AI$14=0,AI$15=0),0,'Torrance Inputs'!$R$24*(1+'Torrance Inputs'!$T$22)^('Torrance Pro Forma'!AI$8-1))</f>
        <v>16537.157999999999</v>
      </c>
      <c r="AJ34" s="272">
        <f>IF(AND(AJ$14=0,AJ$15=0),0,'Torrance Inputs'!$R$24*(1+'Torrance Inputs'!$T$22)^('Torrance Pro Forma'!AJ$8-1))</f>
        <v>16537.157999999999</v>
      </c>
      <c r="AK34" s="272">
        <f>IF(AND(AK$14=0,AK$15=0),0,'Torrance Inputs'!$R$24*(1+'Torrance Inputs'!$T$22)^('Torrance Pro Forma'!AK$8-1))</f>
        <v>16537.157999999999</v>
      </c>
      <c r="AL34" s="272">
        <f>IF(AND(AL$14=0,AL$15=0),0,'Torrance Inputs'!$R$24*(1+'Torrance Inputs'!$T$22)^('Torrance Pro Forma'!AL$8-1))</f>
        <v>16537.157999999999</v>
      </c>
      <c r="AM34" s="272">
        <f>IF(AND(AM$14=0,AM$15=0),0,'Torrance Inputs'!$R$24*(1+'Torrance Inputs'!$T$22)^('Torrance Pro Forma'!AM$8-1))</f>
        <v>16867.901159999998</v>
      </c>
      <c r="AN34" s="272">
        <f>IF(AND(AN$14=0,AN$15=0),0,'Torrance Inputs'!$R$24*(1+'Torrance Inputs'!$T$22)^('Torrance Pro Forma'!AN$8-1))</f>
        <v>16867.901159999998</v>
      </c>
      <c r="AO34" s="272">
        <f>IF(AND(AO$14=0,AO$15=0),0,'Torrance Inputs'!$R$24*(1+'Torrance Inputs'!$T$22)^('Torrance Pro Forma'!AO$8-1))</f>
        <v>16867.901159999998</v>
      </c>
      <c r="AP34" s="272">
        <f>IF(AND(AP$14=0,AP$15=0),0,'Torrance Inputs'!$R$24*(1+'Torrance Inputs'!$T$22)^('Torrance Pro Forma'!AP$8-1))</f>
        <v>16867.901159999998</v>
      </c>
      <c r="AQ34" s="272">
        <f>IF(AND(AQ$14=0,AQ$15=0),0,'Torrance Inputs'!$R$24*(1+'Torrance Inputs'!$T$22)^('Torrance Pro Forma'!AQ$8-1))</f>
        <v>16867.901159999998</v>
      </c>
      <c r="AR34" s="272">
        <f>IF(AND(AR$14=0,AR$15=0),0,'Torrance Inputs'!$R$24*(1+'Torrance Inputs'!$T$22)^('Torrance Pro Forma'!AR$8-1))</f>
        <v>16867.901159999998</v>
      </c>
      <c r="AS34" s="272">
        <f>IF(AND(AS$14=0,AS$15=0),0,'Torrance Inputs'!$R$24*(1+'Torrance Inputs'!$T$22)^('Torrance Pro Forma'!AS$8-1))</f>
        <v>16867.901159999998</v>
      </c>
      <c r="AT34" s="272">
        <f>IF(AND(AT$14=0,AT$15=0),0,'Torrance Inputs'!$R$24*(1+'Torrance Inputs'!$T$22)^('Torrance Pro Forma'!AT$8-1))</f>
        <v>16867.901159999998</v>
      </c>
      <c r="AU34" s="272">
        <f>IF(AND(AU$14=0,AU$15=0),0,'Torrance Inputs'!$R$24*(1+'Torrance Inputs'!$T$22)^('Torrance Pro Forma'!AU$8-1))</f>
        <v>16867.901159999998</v>
      </c>
      <c r="AV34" s="272">
        <f>IF(AND(AV$14=0,AV$15=0),0,'Torrance Inputs'!$R$24*(1+'Torrance Inputs'!$T$22)^('Torrance Pro Forma'!AV$8-1))</f>
        <v>16867.901159999998</v>
      </c>
      <c r="AW34" s="272">
        <f>IF(AND(AW$14=0,AW$15=0),0,'Torrance Inputs'!$R$24*(1+'Torrance Inputs'!$T$22)^('Torrance Pro Forma'!AW$8-1))</f>
        <v>16867.901159999998</v>
      </c>
      <c r="AX34" s="272">
        <f>IF(AND(AX$14=0,AX$15=0),0,'Torrance Inputs'!$R$24*(1+'Torrance Inputs'!$T$22)^('Torrance Pro Forma'!AX$8-1))</f>
        <v>16867.901159999998</v>
      </c>
      <c r="AY34" s="272">
        <f>IF(AND(AY$14=0,AY$15=0),0,'Torrance Inputs'!$R$24*(1+'Torrance Inputs'!$T$22)^('Torrance Pro Forma'!AY$8-1))</f>
        <v>0</v>
      </c>
      <c r="AZ34" s="272">
        <f>IF(AND(AZ$14=0,AZ$15=0),0,'Torrance Inputs'!$R$24*(1+'Torrance Inputs'!$T$22)^('Torrance Pro Forma'!AZ$8-1))</f>
        <v>0</v>
      </c>
      <c r="BA34" s="272">
        <f>IF(AND(BA$14=0,BA$15=0),0,'Torrance Inputs'!$R$24*(1+'Torrance Inputs'!$T$22)^('Torrance Pro Forma'!BA$8-1))</f>
        <v>0</v>
      </c>
      <c r="BB34" s="272">
        <f>IF(AND(BB$14=0,BB$15=0),0,'Torrance Inputs'!$R$24*(1+'Torrance Inputs'!$T$22)^('Torrance Pro Forma'!BB$8-1))</f>
        <v>0</v>
      </c>
      <c r="BC34" s="272">
        <f>IF(AND(BC$14=0,BC$15=0),0,'Torrance Inputs'!$R$24*(1+'Torrance Inputs'!$T$22)^('Torrance Pro Forma'!BC$8-1))</f>
        <v>0</v>
      </c>
      <c r="BD34" s="272">
        <f>IF(AND(BD$14=0,BD$15=0),0,'Torrance Inputs'!$R$24*(1+'Torrance Inputs'!$T$22)^('Torrance Pro Forma'!BD$8-1))</f>
        <v>0</v>
      </c>
      <c r="BE34" s="272">
        <f>IF(AND(BE$14=0,BE$15=0),0,'Torrance Inputs'!$R$24*(1+'Torrance Inputs'!$T$22)^('Torrance Pro Forma'!BE$8-1))</f>
        <v>0</v>
      </c>
      <c r="BF34" s="272">
        <f>IF(AND(BF$14=0,BF$15=0),0,'Torrance Inputs'!$R$24*(1+'Torrance Inputs'!$T$22)^('Torrance Pro Forma'!BF$8-1))</f>
        <v>0</v>
      </c>
      <c r="BG34" s="272">
        <f>IF(AND(BG$14=0,BG$15=0),0,'Torrance Inputs'!$R$24*(1+'Torrance Inputs'!$T$22)^('Torrance Pro Forma'!BG$8-1))</f>
        <v>0</v>
      </c>
      <c r="BH34" s="272">
        <f>IF(AND(BH$14=0,BH$15=0),0,'Torrance Inputs'!$R$24*(1+'Torrance Inputs'!$T$22)^('Torrance Pro Forma'!BH$8-1))</f>
        <v>0</v>
      </c>
      <c r="BI34" s="272">
        <f>IF(AND(BI$14=0,BI$15=0),0,'Torrance Inputs'!$R$24*(1+'Torrance Inputs'!$T$22)^('Torrance Pro Forma'!BI$8-1))</f>
        <v>0</v>
      </c>
      <c r="BJ34" s="272">
        <f>IF(AND(BJ$14=0,BJ$15=0),0,'Torrance Inputs'!$R$24*(1+'Torrance Inputs'!$T$22)^('Torrance Pro Forma'!BJ$8-1))</f>
        <v>0</v>
      </c>
      <c r="BK34" s="272">
        <f>IF(AND(BK$14=0,BK$15=0),0,'Torrance Inputs'!$R$24*(1+'Torrance Inputs'!$T$22)^('Torrance Pro Forma'!BK$8-1))</f>
        <v>17549.364366864</v>
      </c>
      <c r="BL34" s="272">
        <f>IF(AND(BL$14=0,BL$15=0),0,'Torrance Inputs'!$R$24*(1+'Torrance Inputs'!$T$22)^('Torrance Pro Forma'!BL$8-1))</f>
        <v>17549.364366864</v>
      </c>
      <c r="BM34" s="272">
        <f>IF(AND(BM$14=0,BM$15=0),0,'Torrance Inputs'!$R$24*(1+'Torrance Inputs'!$T$22)^('Torrance Pro Forma'!BM$8-1))</f>
        <v>17549.364366864</v>
      </c>
      <c r="BN34" s="272">
        <f>IF(AND(BN$14=0,BN$15=0),0,'Torrance Inputs'!$R$24*(1+'Torrance Inputs'!$T$22)^('Torrance Pro Forma'!BN$8-1))</f>
        <v>17549.364366864</v>
      </c>
      <c r="BO34" s="272">
        <f>IF(AND(BO$14=0,BO$15=0),0,'Torrance Inputs'!$R$24*(1+'Torrance Inputs'!$T$22)^('Torrance Pro Forma'!BO$8-1))</f>
        <v>17549.364366864</v>
      </c>
      <c r="BP34" s="272">
        <f>IF(AND(BP$14=0,BP$15=0),0,'Torrance Inputs'!$R$24*(1+'Torrance Inputs'!$T$22)^('Torrance Pro Forma'!BP$8-1))</f>
        <v>17549.364366864</v>
      </c>
      <c r="BQ34" s="272">
        <f>IF(AND(BQ$14=0,BQ$15=0),0,'Torrance Inputs'!$R$24*(1+'Torrance Inputs'!$T$22)^('Torrance Pro Forma'!BQ$8-1))</f>
        <v>17549.364366864</v>
      </c>
      <c r="BR34" s="272">
        <f>IF(AND(BR$14=0,BR$15=0),0,'Torrance Inputs'!$R$24*(1+'Torrance Inputs'!$T$22)^('Torrance Pro Forma'!BR$8-1))</f>
        <v>17549.364366864</v>
      </c>
      <c r="BS34" s="272">
        <f>IF(AND(BS$14=0,BS$15=0),0,'Torrance Inputs'!$R$24*(1+'Torrance Inputs'!$T$22)^('Torrance Pro Forma'!BS$8-1))</f>
        <v>17549.364366864</v>
      </c>
      <c r="BT34" s="272">
        <f>IF(AND(BT$14=0,BT$15=0),0,'Torrance Inputs'!$R$24*(1+'Torrance Inputs'!$T$22)^('Torrance Pro Forma'!BT$8-1))</f>
        <v>17549.364366864</v>
      </c>
      <c r="BU34" s="272">
        <f>IF(AND(BU$14=0,BU$15=0),0,'Torrance Inputs'!$R$24*(1+'Torrance Inputs'!$T$22)^('Torrance Pro Forma'!BU$8-1))</f>
        <v>17549.364366864</v>
      </c>
      <c r="BV34" s="272">
        <f>IF(AND(BV$14=0,BV$15=0),0,'Torrance Inputs'!$R$24*(1+'Torrance Inputs'!$T$22)^('Torrance Pro Forma'!BV$8-1))</f>
        <v>17549.364366864</v>
      </c>
      <c r="BW34" s="272">
        <f>IF(AND(BW$14=0,BW$15=0),0,'Torrance Inputs'!$R$24*(1+'Torrance Inputs'!$T$22)^('Torrance Pro Forma'!BW$8-1))</f>
        <v>17900.35165420128</v>
      </c>
      <c r="BX34" s="272">
        <f>IF(AND(BX$14=0,BX$15=0),0,'Torrance Inputs'!$R$24*(1+'Torrance Inputs'!$T$22)^('Torrance Pro Forma'!BX$8-1))</f>
        <v>17900.35165420128</v>
      </c>
      <c r="BY34" s="272">
        <f>IF(AND(BY$14=0,BY$15=0),0,'Torrance Inputs'!$R$24*(1+'Torrance Inputs'!$T$22)^('Torrance Pro Forma'!BY$8-1))</f>
        <v>17900.35165420128</v>
      </c>
      <c r="BZ34" s="272">
        <f>IF(AND(BZ$14=0,BZ$15=0),0,'Torrance Inputs'!$R$24*(1+'Torrance Inputs'!$T$22)^('Torrance Pro Forma'!BZ$8-1))</f>
        <v>17900.35165420128</v>
      </c>
      <c r="CA34" s="272">
        <f>IF(AND(CA$14=0,CA$15=0),0,'Torrance Inputs'!$R$24*(1+'Torrance Inputs'!$T$22)^('Torrance Pro Forma'!CA$8-1))</f>
        <v>17900.35165420128</v>
      </c>
      <c r="CB34" s="272">
        <f>IF(AND(CB$14=0,CB$15=0),0,'Torrance Inputs'!$R$24*(1+'Torrance Inputs'!$T$22)^('Torrance Pro Forma'!CB$8-1))</f>
        <v>17900.35165420128</v>
      </c>
      <c r="CC34" s="272">
        <f>IF(AND(CC$14=0,CC$15=0),0,'Torrance Inputs'!$R$24*(1+'Torrance Inputs'!$T$22)^('Torrance Pro Forma'!CC$8-1))</f>
        <v>17900.35165420128</v>
      </c>
      <c r="CD34" s="272">
        <f>IF(AND(CD$14=0,CD$15=0),0,'Torrance Inputs'!$R$24*(1+'Torrance Inputs'!$T$22)^('Torrance Pro Forma'!CD$8-1))</f>
        <v>17900.35165420128</v>
      </c>
      <c r="CE34" s="272">
        <f>IF(AND(CE$14=0,CE$15=0),0,'Torrance Inputs'!$R$24*(1+'Torrance Inputs'!$T$22)^('Torrance Pro Forma'!CE$8-1))</f>
        <v>17900.35165420128</v>
      </c>
      <c r="CF34" s="272">
        <f>IF(AND(CF$14=0,CF$15=0),0,'Torrance Inputs'!$R$24*(1+'Torrance Inputs'!$T$22)^('Torrance Pro Forma'!CF$8-1))</f>
        <v>17900.35165420128</v>
      </c>
      <c r="CG34" s="272">
        <f>IF(AND(CG$14=0,CG$15=0),0,'Torrance Inputs'!$R$24*(1+'Torrance Inputs'!$T$22)^('Torrance Pro Forma'!CG$8-1))</f>
        <v>17900.35165420128</v>
      </c>
      <c r="CH34" s="272">
        <f>IF(AND(CH$14=0,CH$15=0),0,'Torrance Inputs'!$R$24*(1+'Torrance Inputs'!$T$22)^('Torrance Pro Forma'!CH$8-1))</f>
        <v>17900.35165420128</v>
      </c>
      <c r="CI34" s="272">
        <f>IF(AND(CI$14=0,CI$15=0),0,'Torrance Inputs'!$R$24*(1+'Torrance Inputs'!$T$22)^('Torrance Pro Forma'!CI$8-1))</f>
        <v>18258.358687285301</v>
      </c>
      <c r="CJ34" s="272">
        <f>IF(AND(CJ$14=0,CJ$15=0),0,'Torrance Inputs'!$R$24*(1+'Torrance Inputs'!$T$22)^('Torrance Pro Forma'!CJ$8-1))</f>
        <v>18258.358687285301</v>
      </c>
      <c r="CK34" s="272">
        <f>IF(AND(CK$14=0,CK$15=0),0,'Torrance Inputs'!$R$24*(1+'Torrance Inputs'!$T$22)^('Torrance Pro Forma'!CK$8-1))</f>
        <v>18258.358687285301</v>
      </c>
      <c r="CL34" s="272">
        <f>IF(AND(CL$14=0,CL$15=0),0,'Torrance Inputs'!$R$24*(1+'Torrance Inputs'!$T$22)^('Torrance Pro Forma'!CL$8-1))</f>
        <v>18258.358687285301</v>
      </c>
      <c r="CM34" s="272">
        <f>IF(AND(CM$14=0,CM$15=0),0,'Torrance Inputs'!$R$24*(1+'Torrance Inputs'!$T$22)^('Torrance Pro Forma'!CM$8-1))</f>
        <v>18258.358687285301</v>
      </c>
      <c r="CN34" s="272">
        <f>IF(AND(CN$14=0,CN$15=0),0,'Torrance Inputs'!$R$24*(1+'Torrance Inputs'!$T$22)^('Torrance Pro Forma'!CN$8-1))</f>
        <v>18258.358687285301</v>
      </c>
      <c r="CO34" s="272">
        <f>IF(AND(CO$14=0,CO$15=0),0,'Torrance Inputs'!$R$24*(1+'Torrance Inputs'!$T$22)^('Torrance Pro Forma'!CO$8-1))</f>
        <v>18258.358687285301</v>
      </c>
      <c r="CP34" s="272">
        <f>IF(AND(CP$14=0,CP$15=0),0,'Torrance Inputs'!$R$24*(1+'Torrance Inputs'!$T$22)^('Torrance Pro Forma'!CP$8-1))</f>
        <v>18258.358687285301</v>
      </c>
      <c r="CQ34" s="272">
        <f>IF(AND(CQ$14=0,CQ$15=0),0,'Torrance Inputs'!$R$24*(1+'Torrance Inputs'!$T$22)^('Torrance Pro Forma'!CQ$8-1))</f>
        <v>18258.358687285301</v>
      </c>
      <c r="CR34" s="272">
        <f>IF(AND(CR$14=0,CR$15=0),0,'Torrance Inputs'!$R$24*(1+'Torrance Inputs'!$T$22)^('Torrance Pro Forma'!CR$8-1))</f>
        <v>18258.358687285301</v>
      </c>
      <c r="CS34" s="272">
        <f>IF(AND(CS$14=0,CS$15=0),0,'Torrance Inputs'!$R$24*(1+'Torrance Inputs'!$T$22)^('Torrance Pro Forma'!CS$8-1))</f>
        <v>18258.358687285301</v>
      </c>
      <c r="CT34" s="272">
        <f>IF(AND(CT$14=0,CT$15=0),0,'Torrance Inputs'!$R$24*(1+'Torrance Inputs'!$T$22)^('Torrance Pro Forma'!CT$8-1))</f>
        <v>18258.358687285301</v>
      </c>
      <c r="CU34" s="272">
        <f>IF(AND(CU$14=0,CU$15=0),0,'Torrance Inputs'!$R$24*(1+'Torrance Inputs'!$T$22)^('Torrance Pro Forma'!CU$8-1))</f>
        <v>18623.525861031012</v>
      </c>
      <c r="CV34" s="272">
        <f>IF(AND(CV$14=0,CV$15=0),0,'Torrance Inputs'!$R$24*(1+'Torrance Inputs'!$T$22)^('Torrance Pro Forma'!CV$8-1))</f>
        <v>18623.525861031012</v>
      </c>
      <c r="CW34" s="272">
        <f>IF(AND(CW$14=0,CW$15=0),0,'Torrance Inputs'!$R$24*(1+'Torrance Inputs'!$T$22)^('Torrance Pro Forma'!CW$8-1))</f>
        <v>18623.525861031012</v>
      </c>
      <c r="CX34" s="272">
        <f>IF(AND(CX$14=0,CX$15=0),0,'Torrance Inputs'!$R$24*(1+'Torrance Inputs'!$T$22)^('Torrance Pro Forma'!CX$8-1))</f>
        <v>18623.525861031012</v>
      </c>
      <c r="CY34" s="272">
        <f>IF(AND(CY$14=0,CY$15=0),0,'Torrance Inputs'!$R$24*(1+'Torrance Inputs'!$T$22)^('Torrance Pro Forma'!CY$8-1))</f>
        <v>18623.525861031012</v>
      </c>
      <c r="CZ34" s="272">
        <f>IF(AND(CZ$14=0,CZ$15=0),0,'Torrance Inputs'!$R$24*(1+'Torrance Inputs'!$T$22)^('Torrance Pro Forma'!CZ$8-1))</f>
        <v>18623.525861031012</v>
      </c>
      <c r="DA34" s="272">
        <f>IF(AND(DA$14=0,DA$15=0),0,'Torrance Inputs'!$R$24*(1+'Torrance Inputs'!$T$22)^('Torrance Pro Forma'!DA$8-1))</f>
        <v>18623.525861031012</v>
      </c>
      <c r="DB34" s="272">
        <f>IF(AND(DB$14=0,DB$15=0),0,'Torrance Inputs'!$R$24*(1+'Torrance Inputs'!$T$22)^('Torrance Pro Forma'!DB$8-1))</f>
        <v>18623.525861031012</v>
      </c>
      <c r="DC34" s="272">
        <f>IF(AND(DC$14=0,DC$15=0),0,'Torrance Inputs'!$R$24*(1+'Torrance Inputs'!$T$22)^('Torrance Pro Forma'!DC$8-1))</f>
        <v>18623.525861031012</v>
      </c>
      <c r="DD34" s="272">
        <f>IF(AND(DD$14=0,DD$15=0),0,'Torrance Inputs'!$R$24*(1+'Torrance Inputs'!$T$22)^('Torrance Pro Forma'!DD$8-1))</f>
        <v>18623.525861031012</v>
      </c>
      <c r="DE34" s="272">
        <f>IF(AND(DE$14=0,DE$15=0),0,'Torrance Inputs'!$R$24*(1+'Torrance Inputs'!$T$22)^('Torrance Pro Forma'!DE$8-1))</f>
        <v>18623.525861031012</v>
      </c>
      <c r="DF34" s="272">
        <f>IF(AND(DF$14=0,DF$15=0),0,'Torrance Inputs'!$R$24*(1+'Torrance Inputs'!$T$22)^('Torrance Pro Forma'!DF$8-1))</f>
        <v>18623.525861031012</v>
      </c>
      <c r="DG34" s="272">
        <f>IF(AND(DG$14=0,DG$15=0),0,'Torrance Inputs'!$R$24*(1+'Torrance Inputs'!$T$22)^('Torrance Pro Forma'!DG$8-1))</f>
        <v>18995.996378251632</v>
      </c>
      <c r="DH34" s="272">
        <f>IF(AND(DH$14=0,DH$15=0),0,'Torrance Inputs'!$R$24*(1+'Torrance Inputs'!$T$22)^('Torrance Pro Forma'!DH$8-1))</f>
        <v>18995.996378251632</v>
      </c>
      <c r="DI34" s="272">
        <f>IF(AND(DI$14=0,DI$15=0),0,'Torrance Inputs'!$R$24*(1+'Torrance Inputs'!$T$22)^('Torrance Pro Forma'!DI$8-1))</f>
        <v>18995.996378251632</v>
      </c>
      <c r="DJ34" s="272">
        <f>IF(AND(DJ$14=0,DJ$15=0),0,'Torrance Inputs'!$R$24*(1+'Torrance Inputs'!$T$22)^('Torrance Pro Forma'!DJ$8-1))</f>
        <v>18995.996378251632</v>
      </c>
      <c r="DK34" s="272">
        <f>IF(AND(DK$14=0,DK$15=0),0,'Torrance Inputs'!$R$24*(1+'Torrance Inputs'!$T$22)^('Torrance Pro Forma'!DK$8-1))</f>
        <v>18995.996378251632</v>
      </c>
      <c r="DL34" s="272">
        <f>IF(AND(DL$14=0,DL$15=0),0,'Torrance Inputs'!$R$24*(1+'Torrance Inputs'!$T$22)^('Torrance Pro Forma'!DL$8-1))</f>
        <v>18995.996378251632</v>
      </c>
      <c r="DM34" s="272">
        <f>IF(AND(DM$14=0,DM$15=0),0,'Torrance Inputs'!$R$24*(1+'Torrance Inputs'!$T$22)^('Torrance Pro Forma'!DM$8-1))</f>
        <v>18995.996378251632</v>
      </c>
      <c r="DN34" s="272">
        <f>IF(AND(DN$14=0,DN$15=0),0,'Torrance Inputs'!$R$24*(1+'Torrance Inputs'!$T$22)^('Torrance Pro Forma'!DN$8-1))</f>
        <v>18995.996378251632</v>
      </c>
      <c r="DO34" s="272">
        <f>IF(AND(DO$14=0,DO$15=0),0,'Torrance Inputs'!$R$24*(1+'Torrance Inputs'!$T$22)^('Torrance Pro Forma'!DO$8-1))</f>
        <v>18995.996378251632</v>
      </c>
      <c r="DP34" s="272">
        <f>IF(AND(DP$14=0,DP$15=0),0,'Torrance Inputs'!$R$24*(1+'Torrance Inputs'!$T$22)^('Torrance Pro Forma'!DP$8-1))</f>
        <v>18995.996378251632</v>
      </c>
      <c r="DQ34" s="272">
        <f>IF(AND(DQ$14=0,DQ$15=0),0,'Torrance Inputs'!$R$24*(1+'Torrance Inputs'!$T$22)^('Torrance Pro Forma'!DQ$8-1))</f>
        <v>18995.996378251632</v>
      </c>
      <c r="DR34" s="272">
        <f>IF(AND(DR$14=0,DR$15=0),0,'Torrance Inputs'!$R$24*(1+'Torrance Inputs'!$T$22)^('Torrance Pro Forma'!DR$8-1))</f>
        <v>18995.996378251632</v>
      </c>
      <c r="DS34" s="272">
        <f>IF(AND(DS$14=0,DS$15=0),0,'Torrance Inputs'!$R$24*(1+'Torrance Inputs'!$T$22)^('Torrance Pro Forma'!DS$8-1))</f>
        <v>19375.916305816663</v>
      </c>
      <c r="DT34" s="272">
        <f>IF(AND(DT$14=0,DT$15=0),0,'Torrance Inputs'!$R$24*(1+'Torrance Inputs'!$T$22)^('Torrance Pro Forma'!DT$8-1))</f>
        <v>19375.916305816663</v>
      </c>
      <c r="DU34" s="272">
        <f>IF(AND(DU$14=0,DU$15=0),0,'Torrance Inputs'!$R$24*(1+'Torrance Inputs'!$T$22)^('Torrance Pro Forma'!DU$8-1))</f>
        <v>19375.916305816663</v>
      </c>
      <c r="DV34" s="272">
        <f>IF(AND(DV$14=0,DV$15=0),0,'Torrance Inputs'!$R$24*(1+'Torrance Inputs'!$T$22)^('Torrance Pro Forma'!DV$8-1))</f>
        <v>19375.916305816663</v>
      </c>
      <c r="DW34" s="272">
        <f>IF(AND(DW$14=0,DW$15=0),0,'Torrance Inputs'!$R$24*(1+'Torrance Inputs'!$T$22)^('Torrance Pro Forma'!DW$8-1))</f>
        <v>19375.916305816663</v>
      </c>
      <c r="DX34" s="272">
        <f>IF(AND(DX$14=0,DX$15=0),0,'Torrance Inputs'!$R$24*(1+'Torrance Inputs'!$T$22)^('Torrance Pro Forma'!DX$8-1))</f>
        <v>19375.916305816663</v>
      </c>
      <c r="DY34" s="272">
        <f>IF(AND(DY$14=0,DY$15=0),0,'Torrance Inputs'!$R$24*(1+'Torrance Inputs'!$T$22)^('Torrance Pro Forma'!DY$8-1))</f>
        <v>19375.916305816663</v>
      </c>
      <c r="DZ34" s="272">
        <f>IF(AND(DZ$14=0,DZ$15=0),0,'Torrance Inputs'!$R$24*(1+'Torrance Inputs'!$T$22)^('Torrance Pro Forma'!DZ$8-1))</f>
        <v>19375.916305816663</v>
      </c>
      <c r="EA34" s="272">
        <f>IF(AND(EA$14=0,EA$15=0),0,'Torrance Inputs'!$R$24*(1+'Torrance Inputs'!$T$22)^('Torrance Pro Forma'!EA$8-1))</f>
        <v>19375.916305816663</v>
      </c>
      <c r="EB34" s="272">
        <f>IF(AND(EB$14=0,EB$15=0),0,'Torrance Inputs'!$R$24*(1+'Torrance Inputs'!$T$22)^('Torrance Pro Forma'!EB$8-1))</f>
        <v>19375.916305816663</v>
      </c>
      <c r="EC34" s="272">
        <f>IF(AND(EC$14=0,EC$15=0),0,'Torrance Inputs'!$R$24*(1+'Torrance Inputs'!$T$22)^('Torrance Pro Forma'!EC$8-1))</f>
        <v>19375.916305816663</v>
      </c>
      <c r="ED34" s="272">
        <f>IF(AND(ED$14=0,ED$15=0),0,'Torrance Inputs'!$R$24*(1+'Torrance Inputs'!$T$22)^('Torrance Pro Forma'!ED$8-1))</f>
        <v>19375.916305816663</v>
      </c>
    </row>
    <row r="35" spans="1:134" ht="19.149999999999999" customHeight="1" x14ac:dyDescent="0.4">
      <c r="A35" s="264" t="s">
        <v>201</v>
      </c>
      <c r="B35" s="264"/>
      <c r="C35" s="266">
        <f t="shared" ref="C35:AH35" si="37">C34</f>
        <v>15895</v>
      </c>
      <c r="D35" s="266">
        <f t="shared" si="37"/>
        <v>15895</v>
      </c>
      <c r="E35" s="266">
        <f t="shared" si="37"/>
        <v>15895</v>
      </c>
      <c r="F35" s="266">
        <f t="shared" si="37"/>
        <v>15895</v>
      </c>
      <c r="G35" s="266">
        <f t="shared" si="37"/>
        <v>15895</v>
      </c>
      <c r="H35" s="266">
        <f t="shared" si="37"/>
        <v>15895</v>
      </c>
      <c r="I35" s="266">
        <f t="shared" si="37"/>
        <v>15895</v>
      </c>
      <c r="J35" s="266">
        <f t="shared" si="37"/>
        <v>15895</v>
      </c>
      <c r="K35" s="266">
        <f t="shared" si="37"/>
        <v>15895</v>
      </c>
      <c r="L35" s="266">
        <f t="shared" si="37"/>
        <v>15895</v>
      </c>
      <c r="M35" s="266">
        <f t="shared" si="37"/>
        <v>15895</v>
      </c>
      <c r="N35" s="266">
        <f t="shared" si="37"/>
        <v>15895</v>
      </c>
      <c r="O35" s="266">
        <f t="shared" si="37"/>
        <v>16212.9</v>
      </c>
      <c r="P35" s="266">
        <f t="shared" si="37"/>
        <v>16212.9</v>
      </c>
      <c r="Q35" s="266">
        <f t="shared" si="37"/>
        <v>16212.9</v>
      </c>
      <c r="R35" s="266">
        <f t="shared" si="37"/>
        <v>16212.9</v>
      </c>
      <c r="S35" s="266">
        <f t="shared" si="37"/>
        <v>16212.9</v>
      </c>
      <c r="T35" s="266">
        <f t="shared" si="37"/>
        <v>16212.9</v>
      </c>
      <c r="U35" s="266">
        <f t="shared" si="37"/>
        <v>16212.9</v>
      </c>
      <c r="V35" s="266">
        <f t="shared" si="37"/>
        <v>16212.9</v>
      </c>
      <c r="W35" s="266">
        <f t="shared" si="37"/>
        <v>16212.9</v>
      </c>
      <c r="X35" s="266">
        <f t="shared" si="37"/>
        <v>16212.9</v>
      </c>
      <c r="Y35" s="266">
        <f t="shared" si="37"/>
        <v>16212.9</v>
      </c>
      <c r="Z35" s="266">
        <f t="shared" si="37"/>
        <v>16212.9</v>
      </c>
      <c r="AA35" s="266">
        <f t="shared" si="37"/>
        <v>16537.157999999999</v>
      </c>
      <c r="AB35" s="266">
        <f t="shared" si="37"/>
        <v>16537.157999999999</v>
      </c>
      <c r="AC35" s="266">
        <f t="shared" si="37"/>
        <v>16537.157999999999</v>
      </c>
      <c r="AD35" s="266">
        <f t="shared" si="37"/>
        <v>16537.157999999999</v>
      </c>
      <c r="AE35" s="266">
        <f t="shared" si="37"/>
        <v>16537.157999999999</v>
      </c>
      <c r="AF35" s="266">
        <f t="shared" si="37"/>
        <v>16537.157999999999</v>
      </c>
      <c r="AG35" s="266">
        <f t="shared" si="37"/>
        <v>16537.157999999999</v>
      </c>
      <c r="AH35" s="266">
        <f t="shared" si="37"/>
        <v>16537.157999999999</v>
      </c>
      <c r="AI35" s="266">
        <f t="shared" ref="AI35:BN35" si="38">AI34</f>
        <v>16537.157999999999</v>
      </c>
      <c r="AJ35" s="266">
        <f t="shared" si="38"/>
        <v>16537.157999999999</v>
      </c>
      <c r="AK35" s="266">
        <f t="shared" si="38"/>
        <v>16537.157999999999</v>
      </c>
      <c r="AL35" s="266">
        <f t="shared" si="38"/>
        <v>16537.157999999999</v>
      </c>
      <c r="AM35" s="266">
        <f t="shared" si="38"/>
        <v>16867.901159999998</v>
      </c>
      <c r="AN35" s="266">
        <f t="shared" si="38"/>
        <v>16867.901159999998</v>
      </c>
      <c r="AO35" s="266">
        <f t="shared" si="38"/>
        <v>16867.901159999998</v>
      </c>
      <c r="AP35" s="266">
        <f t="shared" si="38"/>
        <v>16867.901159999998</v>
      </c>
      <c r="AQ35" s="266">
        <f t="shared" si="38"/>
        <v>16867.901159999998</v>
      </c>
      <c r="AR35" s="266">
        <f t="shared" si="38"/>
        <v>16867.901159999998</v>
      </c>
      <c r="AS35" s="266">
        <f t="shared" si="38"/>
        <v>16867.901159999998</v>
      </c>
      <c r="AT35" s="266">
        <f t="shared" si="38"/>
        <v>16867.901159999998</v>
      </c>
      <c r="AU35" s="266">
        <f t="shared" si="38"/>
        <v>16867.901159999998</v>
      </c>
      <c r="AV35" s="266">
        <f t="shared" si="38"/>
        <v>16867.901159999998</v>
      </c>
      <c r="AW35" s="266">
        <f t="shared" si="38"/>
        <v>16867.901159999998</v>
      </c>
      <c r="AX35" s="266">
        <f t="shared" si="38"/>
        <v>16867.901159999998</v>
      </c>
      <c r="AY35" s="266">
        <f t="shared" si="38"/>
        <v>0</v>
      </c>
      <c r="AZ35" s="266">
        <f t="shared" si="38"/>
        <v>0</v>
      </c>
      <c r="BA35" s="266">
        <f t="shared" si="38"/>
        <v>0</v>
      </c>
      <c r="BB35" s="266">
        <f t="shared" si="38"/>
        <v>0</v>
      </c>
      <c r="BC35" s="266">
        <f t="shared" si="38"/>
        <v>0</v>
      </c>
      <c r="BD35" s="266">
        <f t="shared" si="38"/>
        <v>0</v>
      </c>
      <c r="BE35" s="266">
        <f t="shared" si="38"/>
        <v>0</v>
      </c>
      <c r="BF35" s="266">
        <f t="shared" si="38"/>
        <v>0</v>
      </c>
      <c r="BG35" s="266">
        <f t="shared" si="38"/>
        <v>0</v>
      </c>
      <c r="BH35" s="266">
        <f t="shared" si="38"/>
        <v>0</v>
      </c>
      <c r="BI35" s="266">
        <f t="shared" si="38"/>
        <v>0</v>
      </c>
      <c r="BJ35" s="266">
        <f t="shared" si="38"/>
        <v>0</v>
      </c>
      <c r="BK35" s="266">
        <f t="shared" si="38"/>
        <v>17549.364366864</v>
      </c>
      <c r="BL35" s="266">
        <f t="shared" si="38"/>
        <v>17549.364366864</v>
      </c>
      <c r="BM35" s="266">
        <f t="shared" si="38"/>
        <v>17549.364366864</v>
      </c>
      <c r="BN35" s="266">
        <f t="shared" si="38"/>
        <v>17549.364366864</v>
      </c>
      <c r="BO35" s="266">
        <f t="shared" ref="BO35:CT35" si="39">BO34</f>
        <v>17549.364366864</v>
      </c>
      <c r="BP35" s="266">
        <f t="shared" si="39"/>
        <v>17549.364366864</v>
      </c>
      <c r="BQ35" s="266">
        <f t="shared" si="39"/>
        <v>17549.364366864</v>
      </c>
      <c r="BR35" s="266">
        <f t="shared" si="39"/>
        <v>17549.364366864</v>
      </c>
      <c r="BS35" s="266">
        <f t="shared" si="39"/>
        <v>17549.364366864</v>
      </c>
      <c r="BT35" s="266">
        <f t="shared" si="39"/>
        <v>17549.364366864</v>
      </c>
      <c r="BU35" s="266">
        <f t="shared" si="39"/>
        <v>17549.364366864</v>
      </c>
      <c r="BV35" s="266">
        <f t="shared" si="39"/>
        <v>17549.364366864</v>
      </c>
      <c r="BW35" s="266">
        <f t="shared" si="39"/>
        <v>17900.35165420128</v>
      </c>
      <c r="BX35" s="266">
        <f t="shared" si="39"/>
        <v>17900.35165420128</v>
      </c>
      <c r="BY35" s="266">
        <f t="shared" si="39"/>
        <v>17900.35165420128</v>
      </c>
      <c r="BZ35" s="266">
        <f t="shared" si="39"/>
        <v>17900.35165420128</v>
      </c>
      <c r="CA35" s="266">
        <f t="shared" si="39"/>
        <v>17900.35165420128</v>
      </c>
      <c r="CB35" s="266">
        <f t="shared" si="39"/>
        <v>17900.35165420128</v>
      </c>
      <c r="CC35" s="266">
        <f t="shared" si="39"/>
        <v>17900.35165420128</v>
      </c>
      <c r="CD35" s="266">
        <f t="shared" si="39"/>
        <v>17900.35165420128</v>
      </c>
      <c r="CE35" s="266">
        <f t="shared" si="39"/>
        <v>17900.35165420128</v>
      </c>
      <c r="CF35" s="266">
        <f t="shared" si="39"/>
        <v>17900.35165420128</v>
      </c>
      <c r="CG35" s="266">
        <f t="shared" si="39"/>
        <v>17900.35165420128</v>
      </c>
      <c r="CH35" s="266">
        <f t="shared" si="39"/>
        <v>17900.35165420128</v>
      </c>
      <c r="CI35" s="266">
        <f t="shared" si="39"/>
        <v>18258.358687285301</v>
      </c>
      <c r="CJ35" s="266">
        <f t="shared" si="39"/>
        <v>18258.358687285301</v>
      </c>
      <c r="CK35" s="266">
        <f t="shared" si="39"/>
        <v>18258.358687285301</v>
      </c>
      <c r="CL35" s="266">
        <f t="shared" si="39"/>
        <v>18258.358687285301</v>
      </c>
      <c r="CM35" s="266">
        <f t="shared" si="39"/>
        <v>18258.358687285301</v>
      </c>
      <c r="CN35" s="266">
        <f t="shared" si="39"/>
        <v>18258.358687285301</v>
      </c>
      <c r="CO35" s="266">
        <f t="shared" si="39"/>
        <v>18258.358687285301</v>
      </c>
      <c r="CP35" s="266">
        <f t="shared" si="39"/>
        <v>18258.358687285301</v>
      </c>
      <c r="CQ35" s="266">
        <f t="shared" si="39"/>
        <v>18258.358687285301</v>
      </c>
      <c r="CR35" s="266">
        <f t="shared" si="39"/>
        <v>18258.358687285301</v>
      </c>
      <c r="CS35" s="266">
        <f t="shared" si="39"/>
        <v>18258.358687285301</v>
      </c>
      <c r="CT35" s="266">
        <f t="shared" si="39"/>
        <v>18258.358687285301</v>
      </c>
      <c r="CU35" s="266">
        <f t="shared" ref="CU35:DZ35" si="40">CU34</f>
        <v>18623.525861031012</v>
      </c>
      <c r="CV35" s="266">
        <f t="shared" si="40"/>
        <v>18623.525861031012</v>
      </c>
      <c r="CW35" s="266">
        <f t="shared" si="40"/>
        <v>18623.525861031012</v>
      </c>
      <c r="CX35" s="266">
        <f t="shared" si="40"/>
        <v>18623.525861031012</v>
      </c>
      <c r="CY35" s="266">
        <f t="shared" si="40"/>
        <v>18623.525861031012</v>
      </c>
      <c r="CZ35" s="266">
        <f t="shared" si="40"/>
        <v>18623.525861031012</v>
      </c>
      <c r="DA35" s="266">
        <f t="shared" si="40"/>
        <v>18623.525861031012</v>
      </c>
      <c r="DB35" s="266">
        <f t="shared" si="40"/>
        <v>18623.525861031012</v>
      </c>
      <c r="DC35" s="266">
        <f t="shared" si="40"/>
        <v>18623.525861031012</v>
      </c>
      <c r="DD35" s="266">
        <f t="shared" si="40"/>
        <v>18623.525861031012</v>
      </c>
      <c r="DE35" s="266">
        <f t="shared" si="40"/>
        <v>18623.525861031012</v>
      </c>
      <c r="DF35" s="266">
        <f t="shared" si="40"/>
        <v>18623.525861031012</v>
      </c>
      <c r="DG35" s="266">
        <f t="shared" si="40"/>
        <v>18995.996378251632</v>
      </c>
      <c r="DH35" s="266">
        <f t="shared" si="40"/>
        <v>18995.996378251632</v>
      </c>
      <c r="DI35" s="266">
        <f t="shared" si="40"/>
        <v>18995.996378251632</v>
      </c>
      <c r="DJ35" s="266">
        <f t="shared" si="40"/>
        <v>18995.996378251632</v>
      </c>
      <c r="DK35" s="266">
        <f t="shared" si="40"/>
        <v>18995.996378251632</v>
      </c>
      <c r="DL35" s="266">
        <f t="shared" si="40"/>
        <v>18995.996378251632</v>
      </c>
      <c r="DM35" s="266">
        <f t="shared" si="40"/>
        <v>18995.996378251632</v>
      </c>
      <c r="DN35" s="266">
        <f t="shared" si="40"/>
        <v>18995.996378251632</v>
      </c>
      <c r="DO35" s="266">
        <f t="shared" si="40"/>
        <v>18995.996378251632</v>
      </c>
      <c r="DP35" s="266">
        <f t="shared" si="40"/>
        <v>18995.996378251632</v>
      </c>
      <c r="DQ35" s="266">
        <f t="shared" si="40"/>
        <v>18995.996378251632</v>
      </c>
      <c r="DR35" s="266">
        <f t="shared" si="40"/>
        <v>18995.996378251632</v>
      </c>
      <c r="DS35" s="266">
        <f t="shared" si="40"/>
        <v>19375.916305816663</v>
      </c>
      <c r="DT35" s="266">
        <f t="shared" si="40"/>
        <v>19375.916305816663</v>
      </c>
      <c r="DU35" s="266">
        <f t="shared" si="40"/>
        <v>19375.916305816663</v>
      </c>
      <c r="DV35" s="266">
        <f t="shared" si="40"/>
        <v>19375.916305816663</v>
      </c>
      <c r="DW35" s="266">
        <f t="shared" si="40"/>
        <v>19375.916305816663</v>
      </c>
      <c r="DX35" s="266">
        <f t="shared" si="40"/>
        <v>19375.916305816663</v>
      </c>
      <c r="DY35" s="266">
        <f t="shared" si="40"/>
        <v>19375.916305816663</v>
      </c>
      <c r="DZ35" s="266">
        <f t="shared" si="40"/>
        <v>19375.916305816663</v>
      </c>
      <c r="EA35" s="266">
        <f t="shared" ref="EA35:ED35" si="41">EA34</f>
        <v>19375.916305816663</v>
      </c>
      <c r="EB35" s="266">
        <f t="shared" si="41"/>
        <v>19375.916305816663</v>
      </c>
      <c r="EC35" s="266">
        <f t="shared" si="41"/>
        <v>19375.916305816663</v>
      </c>
      <c r="ED35" s="266">
        <f t="shared" si="41"/>
        <v>19375.916305816663</v>
      </c>
    </row>
    <row r="36" spans="1:134" ht="19.149999999999999" customHeight="1" x14ac:dyDescent="0.4">
      <c r="A36" s="259" t="s">
        <v>182</v>
      </c>
      <c r="C36" s="267"/>
      <c r="D36" s="267"/>
      <c r="E36" s="267"/>
      <c r="F36" s="267"/>
      <c r="G36" s="267"/>
      <c r="H36" s="267"/>
      <c r="I36" s="267"/>
      <c r="J36" s="267"/>
      <c r="K36" s="267"/>
      <c r="L36" s="267"/>
      <c r="M36" s="267"/>
      <c r="N36" s="267"/>
      <c r="O36" s="267"/>
      <c r="P36" s="267"/>
      <c r="Q36" s="267"/>
      <c r="R36" s="267"/>
      <c r="S36" s="267"/>
      <c r="T36" s="267"/>
      <c r="U36" s="267"/>
      <c r="V36" s="267"/>
      <c r="W36" s="267"/>
      <c r="X36" s="267"/>
      <c r="Y36" s="267"/>
      <c r="Z36" s="267"/>
      <c r="AA36" s="267"/>
      <c r="AB36" s="267"/>
      <c r="AC36" s="267"/>
      <c r="AD36" s="267"/>
      <c r="AE36" s="267"/>
      <c r="AF36" s="267"/>
      <c r="AG36" s="267"/>
      <c r="AH36" s="267"/>
      <c r="AI36" s="267"/>
      <c r="AJ36" s="267"/>
      <c r="AK36" s="267"/>
      <c r="AL36" s="267"/>
      <c r="AM36" s="267"/>
      <c r="AN36" s="267"/>
      <c r="AO36" s="267"/>
      <c r="AP36" s="267"/>
      <c r="AQ36" s="267"/>
      <c r="AR36" s="267"/>
      <c r="AS36" s="267"/>
      <c r="AT36" s="267"/>
      <c r="AU36" s="267"/>
      <c r="AV36" s="267"/>
      <c r="AW36" s="267"/>
      <c r="AX36" s="267"/>
      <c r="AY36" s="267"/>
      <c r="AZ36" s="267"/>
      <c r="BA36" s="267"/>
      <c r="BB36" s="267"/>
      <c r="BC36" s="267"/>
      <c r="BD36" s="267"/>
      <c r="BE36" s="267"/>
      <c r="BF36" s="267"/>
      <c r="BG36" s="267"/>
      <c r="BH36" s="267"/>
      <c r="BI36" s="267"/>
      <c r="BJ36" s="267"/>
      <c r="BK36" s="267"/>
      <c r="BL36" s="267"/>
      <c r="BM36" s="267"/>
      <c r="BN36" s="267"/>
      <c r="BO36" s="267"/>
      <c r="BP36" s="267"/>
      <c r="BQ36" s="267"/>
      <c r="BR36" s="267"/>
      <c r="BS36" s="267"/>
      <c r="BT36" s="267"/>
      <c r="BU36" s="267"/>
      <c r="BV36" s="267"/>
      <c r="BW36" s="267"/>
      <c r="BX36" s="267"/>
      <c r="BY36" s="267"/>
      <c r="BZ36" s="267"/>
      <c r="CA36" s="267"/>
      <c r="CB36" s="267"/>
      <c r="CC36" s="267"/>
      <c r="CD36" s="267"/>
      <c r="CE36" s="267"/>
      <c r="CF36" s="267"/>
      <c r="CG36" s="267"/>
      <c r="CH36" s="267"/>
      <c r="CI36" s="267"/>
      <c r="CJ36" s="267"/>
      <c r="CK36" s="267"/>
      <c r="CL36" s="267"/>
      <c r="CM36" s="267"/>
      <c r="CN36" s="267"/>
      <c r="CO36" s="267"/>
      <c r="CP36" s="267"/>
      <c r="CQ36" s="267"/>
      <c r="CR36" s="267"/>
      <c r="CS36" s="267"/>
      <c r="CT36" s="267"/>
      <c r="CU36" s="267"/>
      <c r="CV36" s="267"/>
      <c r="CW36" s="267"/>
      <c r="CX36" s="267"/>
      <c r="CY36" s="267"/>
      <c r="CZ36" s="267"/>
      <c r="DA36" s="267"/>
      <c r="DB36" s="267"/>
      <c r="DC36" s="267"/>
      <c r="DD36" s="267"/>
      <c r="DE36" s="267"/>
      <c r="DF36" s="267"/>
      <c r="DG36" s="267"/>
      <c r="DH36" s="267"/>
      <c r="DI36" s="267"/>
      <c r="DJ36" s="267"/>
      <c r="DK36" s="267"/>
      <c r="DL36" s="267"/>
      <c r="DM36" s="267"/>
      <c r="DN36" s="267"/>
      <c r="DO36" s="267"/>
      <c r="DP36" s="267"/>
      <c r="DQ36" s="267"/>
      <c r="DR36" s="267"/>
      <c r="DS36" s="267"/>
      <c r="DT36" s="267"/>
      <c r="DU36" s="267"/>
      <c r="DV36" s="267"/>
      <c r="DW36" s="267"/>
      <c r="DX36" s="267"/>
      <c r="DY36" s="267"/>
      <c r="DZ36" s="267"/>
      <c r="EA36" s="267"/>
      <c r="EB36" s="267"/>
      <c r="EC36" s="267"/>
      <c r="ED36" s="267"/>
    </row>
    <row r="37" spans="1:134" ht="19.149999999999999" customHeight="1" x14ac:dyDescent="0.4">
      <c r="A37" s="264" t="s">
        <v>200</v>
      </c>
      <c r="B37" s="264"/>
      <c r="C37" s="263">
        <f t="shared" ref="C37:AH37" si="42">C35+C31</f>
        <v>110478.33333333334</v>
      </c>
      <c r="D37" s="263">
        <f t="shared" si="42"/>
        <v>110478.33333333334</v>
      </c>
      <c r="E37" s="263">
        <f t="shared" si="42"/>
        <v>110478.33333333334</v>
      </c>
      <c r="F37" s="263">
        <f t="shared" si="42"/>
        <v>110478.33333333334</v>
      </c>
      <c r="G37" s="263">
        <f t="shared" si="42"/>
        <v>110478.33333333334</v>
      </c>
      <c r="H37" s="263">
        <f t="shared" si="42"/>
        <v>110478.33333333334</v>
      </c>
      <c r="I37" s="263">
        <f t="shared" si="42"/>
        <v>110478.33333333334</v>
      </c>
      <c r="J37" s="263">
        <f t="shared" si="42"/>
        <v>110478.33333333334</v>
      </c>
      <c r="K37" s="263">
        <f t="shared" si="42"/>
        <v>110478.33333333334</v>
      </c>
      <c r="L37" s="263">
        <f t="shared" si="42"/>
        <v>110478.33333333334</v>
      </c>
      <c r="M37" s="263">
        <f t="shared" si="42"/>
        <v>110478.33333333334</v>
      </c>
      <c r="N37" s="263">
        <f t="shared" si="42"/>
        <v>110478.33333333334</v>
      </c>
      <c r="O37" s="263">
        <f t="shared" si="42"/>
        <v>112679.56666666667</v>
      </c>
      <c r="P37" s="263">
        <f t="shared" si="42"/>
        <v>112679.56666666667</v>
      </c>
      <c r="Q37" s="263">
        <f t="shared" si="42"/>
        <v>112679.56666666667</v>
      </c>
      <c r="R37" s="263">
        <f t="shared" si="42"/>
        <v>112679.56666666667</v>
      </c>
      <c r="S37" s="263">
        <f t="shared" si="42"/>
        <v>112679.56666666667</v>
      </c>
      <c r="T37" s="263">
        <f t="shared" si="42"/>
        <v>112679.56666666667</v>
      </c>
      <c r="U37" s="263">
        <f t="shared" si="42"/>
        <v>112679.56666666667</v>
      </c>
      <c r="V37" s="263">
        <f t="shared" si="42"/>
        <v>112679.56666666667</v>
      </c>
      <c r="W37" s="263">
        <f t="shared" si="42"/>
        <v>112679.56666666667</v>
      </c>
      <c r="X37" s="263">
        <f t="shared" si="42"/>
        <v>112679.56666666667</v>
      </c>
      <c r="Y37" s="263">
        <f t="shared" si="42"/>
        <v>112679.56666666667</v>
      </c>
      <c r="Z37" s="263">
        <f t="shared" si="42"/>
        <v>112679.56666666667</v>
      </c>
      <c r="AA37" s="263">
        <f t="shared" si="42"/>
        <v>114925.32466666667</v>
      </c>
      <c r="AB37" s="263">
        <f t="shared" si="42"/>
        <v>114925.32466666667</v>
      </c>
      <c r="AC37" s="263">
        <f t="shared" si="42"/>
        <v>114925.32466666667</v>
      </c>
      <c r="AD37" s="263">
        <f t="shared" si="42"/>
        <v>114925.32466666667</v>
      </c>
      <c r="AE37" s="263">
        <f t="shared" si="42"/>
        <v>114925.32466666667</v>
      </c>
      <c r="AF37" s="263">
        <f t="shared" si="42"/>
        <v>114925.32466666667</v>
      </c>
      <c r="AG37" s="263">
        <f t="shared" si="42"/>
        <v>114925.32466666667</v>
      </c>
      <c r="AH37" s="263">
        <f t="shared" si="42"/>
        <v>114925.32466666667</v>
      </c>
      <c r="AI37" s="263">
        <f t="shared" ref="AI37:BN37" si="43">AI35+AI31</f>
        <v>114925.32466666667</v>
      </c>
      <c r="AJ37" s="263">
        <f t="shared" si="43"/>
        <v>114925.32466666667</v>
      </c>
      <c r="AK37" s="263">
        <f t="shared" si="43"/>
        <v>114925.32466666667</v>
      </c>
      <c r="AL37" s="263">
        <f t="shared" si="43"/>
        <v>114925.32466666667</v>
      </c>
      <c r="AM37" s="263">
        <f t="shared" si="43"/>
        <v>117216.51282666666</v>
      </c>
      <c r="AN37" s="263">
        <f t="shared" si="43"/>
        <v>117216.51282666666</v>
      </c>
      <c r="AO37" s="263">
        <f t="shared" si="43"/>
        <v>117216.51282666666</v>
      </c>
      <c r="AP37" s="263">
        <f t="shared" si="43"/>
        <v>117216.51282666666</v>
      </c>
      <c r="AQ37" s="263">
        <f t="shared" si="43"/>
        <v>117216.51282666666</v>
      </c>
      <c r="AR37" s="263">
        <f t="shared" si="43"/>
        <v>117216.51282666666</v>
      </c>
      <c r="AS37" s="263">
        <f t="shared" si="43"/>
        <v>117216.51282666666</v>
      </c>
      <c r="AT37" s="263">
        <f t="shared" si="43"/>
        <v>117216.51282666666</v>
      </c>
      <c r="AU37" s="263">
        <f t="shared" si="43"/>
        <v>117216.51282666666</v>
      </c>
      <c r="AV37" s="263">
        <f t="shared" si="43"/>
        <v>117216.51282666666</v>
      </c>
      <c r="AW37" s="263">
        <f t="shared" si="43"/>
        <v>117216.51282666666</v>
      </c>
      <c r="AX37" s="263">
        <f t="shared" si="43"/>
        <v>117216.51282666666</v>
      </c>
      <c r="AY37" s="263">
        <f t="shared" si="43"/>
        <v>0</v>
      </c>
      <c r="AZ37" s="263">
        <f t="shared" si="43"/>
        <v>0</v>
      </c>
      <c r="BA37" s="263">
        <f t="shared" si="43"/>
        <v>0</v>
      </c>
      <c r="BB37" s="263">
        <f t="shared" si="43"/>
        <v>0</v>
      </c>
      <c r="BC37" s="263">
        <f t="shared" si="43"/>
        <v>0</v>
      </c>
      <c r="BD37" s="263">
        <f t="shared" si="43"/>
        <v>0</v>
      </c>
      <c r="BE37" s="263">
        <f t="shared" si="43"/>
        <v>0</v>
      </c>
      <c r="BF37" s="263">
        <f t="shared" si="43"/>
        <v>0</v>
      </c>
      <c r="BG37" s="263">
        <f t="shared" si="43"/>
        <v>0</v>
      </c>
      <c r="BH37" s="263">
        <f t="shared" si="43"/>
        <v>0</v>
      </c>
      <c r="BI37" s="263">
        <f t="shared" si="43"/>
        <v>0</v>
      </c>
      <c r="BJ37" s="263">
        <f t="shared" si="43"/>
        <v>0</v>
      </c>
      <c r="BK37" s="263">
        <f t="shared" si="43"/>
        <v>944332.01517972047</v>
      </c>
      <c r="BL37" s="263">
        <f t="shared" si="43"/>
        <v>440165.34851305385</v>
      </c>
      <c r="BM37" s="263">
        <f t="shared" si="43"/>
        <v>440165.34851305385</v>
      </c>
      <c r="BN37" s="263">
        <f t="shared" si="43"/>
        <v>440165.34851305385</v>
      </c>
      <c r="BO37" s="263">
        <f t="shared" ref="BO37:CT37" si="44">BO35+BO31</f>
        <v>440165.34851305385</v>
      </c>
      <c r="BP37" s="263">
        <f t="shared" si="44"/>
        <v>440165.34851305385</v>
      </c>
      <c r="BQ37" s="263">
        <f t="shared" si="44"/>
        <v>440165.34851305385</v>
      </c>
      <c r="BR37" s="263">
        <f t="shared" si="44"/>
        <v>440165.34851305385</v>
      </c>
      <c r="BS37" s="263">
        <f t="shared" si="44"/>
        <v>440165.34851305385</v>
      </c>
      <c r="BT37" s="263">
        <f t="shared" si="44"/>
        <v>440165.34851305385</v>
      </c>
      <c r="BU37" s="263">
        <f t="shared" si="44"/>
        <v>440165.34851305385</v>
      </c>
      <c r="BV37" s="263">
        <f t="shared" si="44"/>
        <v>440165.34851305385</v>
      </c>
      <c r="BW37" s="263">
        <f t="shared" si="44"/>
        <v>449059.0009258482</v>
      </c>
      <c r="BX37" s="263">
        <f t="shared" si="44"/>
        <v>449059.0009258482</v>
      </c>
      <c r="BY37" s="263">
        <f t="shared" si="44"/>
        <v>449059.0009258482</v>
      </c>
      <c r="BZ37" s="263">
        <f t="shared" si="44"/>
        <v>449059.0009258482</v>
      </c>
      <c r="CA37" s="263">
        <f t="shared" si="44"/>
        <v>449059.0009258482</v>
      </c>
      <c r="CB37" s="263">
        <f t="shared" si="44"/>
        <v>449059.0009258482</v>
      </c>
      <c r="CC37" s="263">
        <f t="shared" si="44"/>
        <v>449059.0009258482</v>
      </c>
      <c r="CD37" s="263">
        <f t="shared" si="44"/>
        <v>449059.0009258482</v>
      </c>
      <c r="CE37" s="263">
        <f t="shared" si="44"/>
        <v>449059.0009258482</v>
      </c>
      <c r="CF37" s="263">
        <f t="shared" si="44"/>
        <v>449059.0009258482</v>
      </c>
      <c r="CG37" s="263">
        <f t="shared" si="44"/>
        <v>449059.0009258482</v>
      </c>
      <c r="CH37" s="263">
        <f t="shared" si="44"/>
        <v>449059.0009258482</v>
      </c>
      <c r="CI37" s="263">
        <f t="shared" si="44"/>
        <v>458131.10602393548</v>
      </c>
      <c r="CJ37" s="263">
        <f t="shared" si="44"/>
        <v>458131.10602393548</v>
      </c>
      <c r="CK37" s="263">
        <f t="shared" si="44"/>
        <v>458131.10602393548</v>
      </c>
      <c r="CL37" s="263">
        <f t="shared" si="44"/>
        <v>458131.10602393548</v>
      </c>
      <c r="CM37" s="263">
        <f t="shared" si="44"/>
        <v>458131.10602393548</v>
      </c>
      <c r="CN37" s="263">
        <f t="shared" si="44"/>
        <v>458131.10602393548</v>
      </c>
      <c r="CO37" s="263">
        <f t="shared" si="44"/>
        <v>458131.10602393548</v>
      </c>
      <c r="CP37" s="263">
        <f t="shared" si="44"/>
        <v>458131.10602393548</v>
      </c>
      <c r="CQ37" s="263">
        <f t="shared" si="44"/>
        <v>458131.10602393548</v>
      </c>
      <c r="CR37" s="263">
        <f t="shared" si="44"/>
        <v>458131.10602393548</v>
      </c>
      <c r="CS37" s="263">
        <f t="shared" si="44"/>
        <v>458131.10602393548</v>
      </c>
      <c r="CT37" s="263">
        <f t="shared" si="44"/>
        <v>458131.10602393548</v>
      </c>
      <c r="CU37" s="263">
        <f t="shared" ref="CU37:ED37" si="45">CU35+CU31</f>
        <v>467385.25025013299</v>
      </c>
      <c r="CV37" s="263">
        <f t="shared" si="45"/>
        <v>467385.25025013299</v>
      </c>
      <c r="CW37" s="263">
        <f t="shared" si="45"/>
        <v>467385.25025013299</v>
      </c>
      <c r="CX37" s="263">
        <f t="shared" si="45"/>
        <v>467385.25025013299</v>
      </c>
      <c r="CY37" s="263">
        <f t="shared" si="45"/>
        <v>467385.25025013299</v>
      </c>
      <c r="CZ37" s="263">
        <f t="shared" si="45"/>
        <v>467385.25025013299</v>
      </c>
      <c r="DA37" s="263">
        <f t="shared" si="45"/>
        <v>467385.25025013299</v>
      </c>
      <c r="DB37" s="263">
        <f t="shared" si="45"/>
        <v>467385.25025013299</v>
      </c>
      <c r="DC37" s="263">
        <f t="shared" si="45"/>
        <v>467385.25025013299</v>
      </c>
      <c r="DD37" s="263">
        <f t="shared" si="45"/>
        <v>467385.25025013299</v>
      </c>
      <c r="DE37" s="263">
        <f t="shared" si="45"/>
        <v>467385.25025013299</v>
      </c>
      <c r="DF37" s="263">
        <f t="shared" si="45"/>
        <v>467385.25025013299</v>
      </c>
      <c r="DG37" s="263">
        <f t="shared" si="45"/>
        <v>476825.09229778702</v>
      </c>
      <c r="DH37" s="263">
        <f t="shared" si="45"/>
        <v>476825.09229778702</v>
      </c>
      <c r="DI37" s="263">
        <f t="shared" si="45"/>
        <v>476825.09229778702</v>
      </c>
      <c r="DJ37" s="263">
        <f t="shared" si="45"/>
        <v>476825.09229778702</v>
      </c>
      <c r="DK37" s="263">
        <f t="shared" si="45"/>
        <v>476825.09229778702</v>
      </c>
      <c r="DL37" s="263">
        <f t="shared" si="45"/>
        <v>476825.09229778702</v>
      </c>
      <c r="DM37" s="263">
        <f t="shared" si="45"/>
        <v>476825.09229778702</v>
      </c>
      <c r="DN37" s="263">
        <f t="shared" si="45"/>
        <v>476825.09229778702</v>
      </c>
      <c r="DO37" s="263">
        <f t="shared" si="45"/>
        <v>476825.09229778702</v>
      </c>
      <c r="DP37" s="263">
        <f t="shared" si="45"/>
        <v>476825.09229778702</v>
      </c>
      <c r="DQ37" s="263">
        <f t="shared" si="45"/>
        <v>476825.09229778702</v>
      </c>
      <c r="DR37" s="263">
        <f t="shared" si="45"/>
        <v>476825.09229778702</v>
      </c>
      <c r="DS37" s="263">
        <f t="shared" si="45"/>
        <v>486454.36457143491</v>
      </c>
      <c r="DT37" s="263">
        <f t="shared" si="45"/>
        <v>486454.36457143491</v>
      </c>
      <c r="DU37" s="263">
        <f t="shared" si="45"/>
        <v>486454.36457143491</v>
      </c>
      <c r="DV37" s="263">
        <f t="shared" si="45"/>
        <v>486454.36457143491</v>
      </c>
      <c r="DW37" s="263">
        <f t="shared" si="45"/>
        <v>486454.36457143491</v>
      </c>
      <c r="DX37" s="263">
        <f t="shared" si="45"/>
        <v>486454.36457143491</v>
      </c>
      <c r="DY37" s="263">
        <f t="shared" si="45"/>
        <v>486454.36457143491</v>
      </c>
      <c r="DZ37" s="263">
        <f t="shared" si="45"/>
        <v>486454.36457143491</v>
      </c>
      <c r="EA37" s="263">
        <f t="shared" si="45"/>
        <v>486454.36457143491</v>
      </c>
      <c r="EB37" s="263">
        <f t="shared" si="45"/>
        <v>486454.36457143491</v>
      </c>
      <c r="EC37" s="263">
        <f t="shared" si="45"/>
        <v>486454.36457143491</v>
      </c>
      <c r="ED37" s="263">
        <f t="shared" si="45"/>
        <v>486454.36457143491</v>
      </c>
    </row>
    <row r="38" spans="1:134" ht="19.149999999999999" customHeight="1" x14ac:dyDescent="0.4">
      <c r="A38" s="259" t="s">
        <v>182</v>
      </c>
      <c r="C38" s="267"/>
      <c r="D38" s="267"/>
      <c r="E38" s="267"/>
      <c r="F38" s="267"/>
      <c r="G38" s="267"/>
      <c r="H38" s="267"/>
      <c r="I38" s="267"/>
      <c r="J38" s="267"/>
      <c r="K38" s="267"/>
      <c r="L38" s="267"/>
      <c r="M38" s="267"/>
      <c r="N38" s="267"/>
      <c r="O38" s="267"/>
      <c r="P38" s="267"/>
      <c r="Q38" s="267"/>
      <c r="R38" s="267"/>
      <c r="S38" s="267"/>
      <c r="T38" s="267"/>
      <c r="U38" s="267"/>
      <c r="V38" s="267"/>
      <c r="W38" s="267"/>
      <c r="X38" s="267"/>
      <c r="Y38" s="267"/>
      <c r="Z38" s="267"/>
      <c r="AA38" s="267"/>
      <c r="AB38" s="267"/>
      <c r="AC38" s="267"/>
      <c r="AD38" s="267"/>
      <c r="AE38" s="267"/>
      <c r="AF38" s="267"/>
      <c r="AG38" s="267"/>
      <c r="AH38" s="267"/>
      <c r="AI38" s="267"/>
      <c r="AJ38" s="267"/>
      <c r="AK38" s="267"/>
      <c r="AL38" s="267"/>
      <c r="AM38" s="267"/>
      <c r="AN38" s="267"/>
      <c r="AO38" s="267"/>
      <c r="AP38" s="267"/>
      <c r="AQ38" s="267"/>
      <c r="AR38" s="267"/>
      <c r="AS38" s="267"/>
      <c r="AT38" s="267"/>
      <c r="AU38" s="267"/>
      <c r="AV38" s="267"/>
      <c r="AW38" s="267"/>
      <c r="AX38" s="267"/>
      <c r="AY38" s="267"/>
      <c r="AZ38" s="267"/>
      <c r="BA38" s="267"/>
      <c r="BB38" s="267"/>
      <c r="BC38" s="267"/>
      <c r="BD38" s="267"/>
      <c r="BE38" s="267"/>
      <c r="BF38" s="267"/>
      <c r="BG38" s="267"/>
      <c r="BH38" s="267"/>
      <c r="BI38" s="267"/>
      <c r="BJ38" s="267"/>
      <c r="BK38" s="267"/>
      <c r="BL38" s="267"/>
      <c r="BM38" s="267"/>
      <c r="BN38" s="267"/>
      <c r="BO38" s="267"/>
      <c r="BP38" s="267"/>
      <c r="BQ38" s="267"/>
      <c r="BR38" s="267"/>
      <c r="BS38" s="267"/>
      <c r="BT38" s="267"/>
      <c r="BU38" s="267"/>
      <c r="BV38" s="267"/>
      <c r="BW38" s="267"/>
      <c r="BX38" s="267"/>
      <c r="BY38" s="267"/>
      <c r="BZ38" s="267"/>
      <c r="CA38" s="267"/>
      <c r="CB38" s="267"/>
      <c r="CC38" s="267"/>
      <c r="CD38" s="267"/>
      <c r="CE38" s="267"/>
      <c r="CF38" s="267"/>
      <c r="CG38" s="267"/>
      <c r="CH38" s="267"/>
      <c r="CI38" s="267"/>
      <c r="CJ38" s="267"/>
      <c r="CK38" s="267"/>
      <c r="CL38" s="267"/>
      <c r="CM38" s="267"/>
      <c r="CN38" s="267"/>
      <c r="CO38" s="267"/>
      <c r="CP38" s="267"/>
      <c r="CQ38" s="267"/>
      <c r="CR38" s="267"/>
      <c r="CS38" s="267"/>
      <c r="CT38" s="267"/>
      <c r="CU38" s="267"/>
      <c r="CV38" s="267"/>
      <c r="CW38" s="267"/>
      <c r="CX38" s="267"/>
      <c r="CY38" s="267"/>
      <c r="CZ38" s="267"/>
      <c r="DA38" s="267"/>
      <c r="DB38" s="267"/>
      <c r="DC38" s="267"/>
      <c r="DD38" s="267"/>
      <c r="DE38" s="267"/>
      <c r="DF38" s="267"/>
      <c r="DG38" s="267"/>
      <c r="DH38" s="267"/>
      <c r="DI38" s="267"/>
      <c r="DJ38" s="267"/>
      <c r="DK38" s="267"/>
      <c r="DL38" s="267"/>
      <c r="DM38" s="267"/>
      <c r="DN38" s="267"/>
      <c r="DO38" s="267"/>
      <c r="DP38" s="267"/>
      <c r="DQ38" s="267"/>
      <c r="DR38" s="267"/>
      <c r="DS38" s="267"/>
      <c r="DT38" s="267"/>
      <c r="DU38" s="267"/>
      <c r="DV38" s="267"/>
      <c r="DW38" s="267"/>
      <c r="DX38" s="267"/>
      <c r="DY38" s="267"/>
      <c r="DZ38" s="267"/>
      <c r="EA38" s="267"/>
      <c r="EB38" s="267"/>
      <c r="EC38" s="267"/>
      <c r="ED38" s="267"/>
    </row>
    <row r="39" spans="1:134" ht="19.149999999999999" customHeight="1" x14ac:dyDescent="0.4">
      <c r="A39" s="268" t="s">
        <v>199</v>
      </c>
      <c r="B39" s="268"/>
      <c r="C39" s="267"/>
      <c r="D39" s="267"/>
      <c r="E39" s="267"/>
      <c r="F39" s="267"/>
      <c r="G39" s="267"/>
      <c r="H39" s="267"/>
      <c r="I39" s="267"/>
      <c r="J39" s="267"/>
      <c r="K39" s="267"/>
      <c r="L39" s="267"/>
      <c r="M39" s="267"/>
      <c r="N39" s="267"/>
      <c r="O39" s="267"/>
      <c r="P39" s="267"/>
      <c r="Q39" s="267"/>
      <c r="R39" s="267"/>
      <c r="S39" s="267"/>
      <c r="T39" s="267"/>
      <c r="U39" s="267"/>
      <c r="V39" s="267"/>
      <c r="W39" s="267"/>
      <c r="X39" s="267"/>
      <c r="Y39" s="267"/>
      <c r="Z39" s="267"/>
      <c r="AA39" s="267"/>
      <c r="AB39" s="267"/>
      <c r="AC39" s="267"/>
      <c r="AD39" s="267"/>
      <c r="AE39" s="267"/>
      <c r="AF39" s="267"/>
      <c r="AG39" s="267"/>
      <c r="AH39" s="267"/>
      <c r="AI39" s="267"/>
      <c r="AJ39" s="267"/>
      <c r="AK39" s="267"/>
      <c r="AL39" s="267"/>
      <c r="AM39" s="267"/>
      <c r="AN39" s="267"/>
      <c r="AO39" s="267"/>
      <c r="AP39" s="267"/>
      <c r="AQ39" s="267"/>
      <c r="AR39" s="267"/>
      <c r="AS39" s="267"/>
      <c r="AT39" s="267"/>
      <c r="AU39" s="267"/>
      <c r="AV39" s="267"/>
      <c r="AW39" s="267"/>
      <c r="AX39" s="267"/>
      <c r="AY39" s="267"/>
      <c r="AZ39" s="267"/>
      <c r="BA39" s="267"/>
      <c r="BB39" s="267"/>
      <c r="BC39" s="267"/>
      <c r="BD39" s="267"/>
      <c r="BE39" s="267"/>
      <c r="BF39" s="267"/>
      <c r="BG39" s="267"/>
      <c r="BH39" s="267"/>
      <c r="BI39" s="267"/>
      <c r="BJ39" s="267"/>
      <c r="BK39" s="267"/>
      <c r="BL39" s="267"/>
      <c r="BM39" s="267"/>
      <c r="BN39" s="267"/>
      <c r="BO39" s="267"/>
      <c r="BP39" s="267"/>
      <c r="BQ39" s="267"/>
      <c r="BR39" s="267"/>
      <c r="BS39" s="267"/>
      <c r="BT39" s="267"/>
      <c r="BU39" s="267"/>
      <c r="BV39" s="267"/>
      <c r="BW39" s="267"/>
      <c r="BX39" s="267"/>
      <c r="BY39" s="267"/>
      <c r="BZ39" s="267"/>
      <c r="CA39" s="267"/>
      <c r="CB39" s="267"/>
      <c r="CC39" s="267"/>
      <c r="CD39" s="267"/>
      <c r="CE39" s="267"/>
      <c r="CF39" s="267"/>
      <c r="CG39" s="267"/>
      <c r="CH39" s="267"/>
      <c r="CI39" s="267"/>
      <c r="CJ39" s="267"/>
      <c r="CK39" s="267"/>
      <c r="CL39" s="267"/>
      <c r="CM39" s="267"/>
      <c r="CN39" s="267"/>
      <c r="CO39" s="267"/>
      <c r="CP39" s="267"/>
      <c r="CQ39" s="267"/>
      <c r="CR39" s="267"/>
      <c r="CS39" s="267"/>
      <c r="CT39" s="267"/>
      <c r="CU39" s="267"/>
      <c r="CV39" s="267"/>
      <c r="CW39" s="267"/>
      <c r="CX39" s="267"/>
      <c r="CY39" s="267"/>
      <c r="CZ39" s="267"/>
      <c r="DA39" s="267"/>
      <c r="DB39" s="267"/>
      <c r="DC39" s="267"/>
      <c r="DD39" s="267"/>
      <c r="DE39" s="267"/>
      <c r="DF39" s="267"/>
      <c r="DG39" s="267"/>
      <c r="DH39" s="267"/>
      <c r="DI39" s="267"/>
      <c r="DJ39" s="267"/>
      <c r="DK39" s="267"/>
      <c r="DL39" s="267"/>
      <c r="DM39" s="267"/>
      <c r="DN39" s="267"/>
      <c r="DO39" s="267"/>
      <c r="DP39" s="267"/>
      <c r="DQ39" s="267"/>
      <c r="DR39" s="267"/>
      <c r="DS39" s="267"/>
      <c r="DT39" s="267"/>
      <c r="DU39" s="267"/>
      <c r="DV39" s="267"/>
      <c r="DW39" s="267"/>
      <c r="DX39" s="267"/>
      <c r="DY39" s="267"/>
      <c r="DZ39" s="267"/>
      <c r="EA39" s="267"/>
      <c r="EB39" s="267"/>
      <c r="EC39" s="267"/>
      <c r="ED39" s="267"/>
    </row>
    <row r="40" spans="1:134" ht="19.149999999999999" customHeight="1" x14ac:dyDescent="0.4">
      <c r="A40" s="265" t="s">
        <v>198</v>
      </c>
      <c r="B40" s="265"/>
      <c r="C40" s="263"/>
      <c r="D40" s="263"/>
      <c r="E40" s="263"/>
      <c r="F40" s="263"/>
      <c r="G40" s="263"/>
      <c r="H40" s="263"/>
      <c r="I40" s="263"/>
      <c r="J40" s="263"/>
      <c r="K40" s="263"/>
      <c r="L40" s="263"/>
      <c r="M40" s="263"/>
      <c r="N40" s="263"/>
      <c r="O40" s="263"/>
      <c r="P40" s="263"/>
      <c r="Q40" s="263"/>
      <c r="R40" s="263"/>
      <c r="S40" s="263"/>
      <c r="T40" s="263"/>
      <c r="U40" s="263"/>
      <c r="V40" s="263"/>
      <c r="W40" s="263"/>
      <c r="X40" s="263"/>
      <c r="Y40" s="263"/>
      <c r="Z40" s="263"/>
      <c r="AA40" s="263"/>
      <c r="AB40" s="263"/>
      <c r="AC40" s="263"/>
      <c r="AD40" s="263"/>
      <c r="AE40" s="263"/>
      <c r="AF40" s="263"/>
      <c r="AG40" s="263"/>
      <c r="AH40" s="263"/>
      <c r="AI40" s="263"/>
      <c r="AJ40" s="263"/>
      <c r="AK40" s="263"/>
      <c r="AL40" s="263"/>
      <c r="AM40" s="263"/>
      <c r="AN40" s="263"/>
      <c r="AO40" s="263"/>
      <c r="AP40" s="263"/>
      <c r="AQ40" s="263"/>
      <c r="AR40" s="263"/>
      <c r="AS40" s="263"/>
      <c r="AT40" s="263"/>
      <c r="AU40" s="263"/>
      <c r="AV40" s="263"/>
      <c r="AW40" s="263"/>
      <c r="AX40" s="263"/>
      <c r="AY40" s="263"/>
      <c r="AZ40" s="263"/>
      <c r="BA40" s="263"/>
      <c r="BB40" s="263"/>
      <c r="BC40" s="263"/>
      <c r="BD40" s="263"/>
      <c r="BE40" s="263"/>
      <c r="BF40" s="263"/>
      <c r="BG40" s="263"/>
      <c r="BH40" s="263"/>
      <c r="BI40" s="263"/>
      <c r="BJ40" s="263"/>
      <c r="BK40" s="263"/>
      <c r="BL40" s="263"/>
      <c r="BM40" s="263"/>
      <c r="BN40" s="263"/>
      <c r="BO40" s="263"/>
      <c r="BP40" s="263"/>
      <c r="BQ40" s="263"/>
      <c r="BR40" s="263"/>
      <c r="BS40" s="263"/>
      <c r="BT40" s="263"/>
      <c r="BU40" s="263"/>
      <c r="BV40" s="263"/>
      <c r="BW40" s="263"/>
      <c r="BX40" s="263"/>
      <c r="BY40" s="263"/>
      <c r="BZ40" s="263"/>
      <c r="CA40" s="263"/>
      <c r="CB40" s="263"/>
      <c r="CC40" s="263"/>
      <c r="CD40" s="263"/>
      <c r="CE40" s="263"/>
      <c r="CF40" s="263"/>
      <c r="CG40" s="263"/>
      <c r="CH40" s="263"/>
      <c r="CI40" s="263"/>
      <c r="CJ40" s="263"/>
      <c r="CK40" s="263"/>
      <c r="CL40" s="263"/>
      <c r="CM40" s="263"/>
      <c r="CN40" s="263"/>
      <c r="CO40" s="263"/>
      <c r="CP40" s="263"/>
      <c r="CQ40" s="263"/>
      <c r="CR40" s="263"/>
      <c r="CS40" s="263"/>
      <c r="CT40" s="263"/>
      <c r="CU40" s="263"/>
      <c r="CV40" s="263"/>
      <c r="CW40" s="263"/>
      <c r="CX40" s="263"/>
      <c r="CY40" s="263"/>
      <c r="CZ40" s="263"/>
      <c r="DA40" s="263"/>
      <c r="DB40" s="263"/>
      <c r="DC40" s="263"/>
      <c r="DD40" s="263"/>
      <c r="DE40" s="263"/>
      <c r="DF40" s="263"/>
      <c r="DG40" s="263"/>
      <c r="DH40" s="263"/>
      <c r="DI40" s="263"/>
      <c r="DJ40" s="263"/>
      <c r="DK40" s="263"/>
      <c r="DL40" s="263"/>
      <c r="DM40" s="263"/>
      <c r="DN40" s="263"/>
      <c r="DO40" s="263"/>
      <c r="DP40" s="263"/>
      <c r="DQ40" s="263"/>
      <c r="DR40" s="263"/>
      <c r="DS40" s="263"/>
      <c r="DT40" s="263"/>
      <c r="DU40" s="263"/>
      <c r="DV40" s="263"/>
      <c r="DW40" s="263"/>
      <c r="DX40" s="263"/>
      <c r="DY40" s="263"/>
      <c r="DZ40" s="263"/>
      <c r="EA40" s="263"/>
      <c r="EB40" s="263"/>
      <c r="EC40" s="263"/>
      <c r="ED40" s="263"/>
    </row>
    <row r="41" spans="1:134" ht="19.149999999999999" customHeight="1" x14ac:dyDescent="0.4">
      <c r="A41" s="264" t="s">
        <v>197</v>
      </c>
      <c r="B41" s="264"/>
      <c r="C41" s="263">
        <f t="shared" ref="C41:AH41" si="46">C40</f>
        <v>0</v>
      </c>
      <c r="D41" s="263">
        <f t="shared" si="46"/>
        <v>0</v>
      </c>
      <c r="E41" s="263">
        <f t="shared" si="46"/>
        <v>0</v>
      </c>
      <c r="F41" s="263">
        <f t="shared" si="46"/>
        <v>0</v>
      </c>
      <c r="G41" s="263">
        <f t="shared" si="46"/>
        <v>0</v>
      </c>
      <c r="H41" s="263">
        <f t="shared" si="46"/>
        <v>0</v>
      </c>
      <c r="I41" s="263">
        <f t="shared" si="46"/>
        <v>0</v>
      </c>
      <c r="J41" s="263">
        <f t="shared" si="46"/>
        <v>0</v>
      </c>
      <c r="K41" s="263">
        <f t="shared" si="46"/>
        <v>0</v>
      </c>
      <c r="L41" s="263">
        <f t="shared" si="46"/>
        <v>0</v>
      </c>
      <c r="M41" s="263">
        <f t="shared" si="46"/>
        <v>0</v>
      </c>
      <c r="N41" s="263">
        <f t="shared" si="46"/>
        <v>0</v>
      </c>
      <c r="O41" s="263">
        <f t="shared" si="46"/>
        <v>0</v>
      </c>
      <c r="P41" s="263">
        <f t="shared" si="46"/>
        <v>0</v>
      </c>
      <c r="Q41" s="263">
        <f t="shared" si="46"/>
        <v>0</v>
      </c>
      <c r="R41" s="263">
        <f t="shared" si="46"/>
        <v>0</v>
      </c>
      <c r="S41" s="263">
        <f t="shared" si="46"/>
        <v>0</v>
      </c>
      <c r="T41" s="263">
        <f t="shared" si="46"/>
        <v>0</v>
      </c>
      <c r="U41" s="263">
        <f t="shared" si="46"/>
        <v>0</v>
      </c>
      <c r="V41" s="263">
        <f t="shared" si="46"/>
        <v>0</v>
      </c>
      <c r="W41" s="263">
        <f t="shared" si="46"/>
        <v>0</v>
      </c>
      <c r="X41" s="263">
        <f t="shared" si="46"/>
        <v>0</v>
      </c>
      <c r="Y41" s="263">
        <f t="shared" si="46"/>
        <v>0</v>
      </c>
      <c r="Z41" s="263">
        <f t="shared" si="46"/>
        <v>0</v>
      </c>
      <c r="AA41" s="263">
        <f t="shared" si="46"/>
        <v>0</v>
      </c>
      <c r="AB41" s="263">
        <f t="shared" si="46"/>
        <v>0</v>
      </c>
      <c r="AC41" s="263">
        <f t="shared" si="46"/>
        <v>0</v>
      </c>
      <c r="AD41" s="263">
        <f t="shared" si="46"/>
        <v>0</v>
      </c>
      <c r="AE41" s="263">
        <f t="shared" si="46"/>
        <v>0</v>
      </c>
      <c r="AF41" s="263">
        <f t="shared" si="46"/>
        <v>0</v>
      </c>
      <c r="AG41" s="263">
        <f t="shared" si="46"/>
        <v>0</v>
      </c>
      <c r="AH41" s="263">
        <f t="shared" si="46"/>
        <v>0</v>
      </c>
      <c r="AI41" s="263">
        <f t="shared" ref="AI41:BN41" si="47">AI40</f>
        <v>0</v>
      </c>
      <c r="AJ41" s="263">
        <f t="shared" si="47"/>
        <v>0</v>
      </c>
      <c r="AK41" s="263">
        <f t="shared" si="47"/>
        <v>0</v>
      </c>
      <c r="AL41" s="263">
        <f t="shared" si="47"/>
        <v>0</v>
      </c>
      <c r="AM41" s="263">
        <f t="shared" si="47"/>
        <v>0</v>
      </c>
      <c r="AN41" s="263">
        <f t="shared" si="47"/>
        <v>0</v>
      </c>
      <c r="AO41" s="263">
        <f t="shared" si="47"/>
        <v>0</v>
      </c>
      <c r="AP41" s="263">
        <f t="shared" si="47"/>
        <v>0</v>
      </c>
      <c r="AQ41" s="263">
        <f t="shared" si="47"/>
        <v>0</v>
      </c>
      <c r="AR41" s="263">
        <f t="shared" si="47"/>
        <v>0</v>
      </c>
      <c r="AS41" s="263">
        <f t="shared" si="47"/>
        <v>0</v>
      </c>
      <c r="AT41" s="263">
        <f t="shared" si="47"/>
        <v>0</v>
      </c>
      <c r="AU41" s="263">
        <f t="shared" si="47"/>
        <v>0</v>
      </c>
      <c r="AV41" s="263">
        <f t="shared" si="47"/>
        <v>0</v>
      </c>
      <c r="AW41" s="263">
        <f t="shared" si="47"/>
        <v>0</v>
      </c>
      <c r="AX41" s="263">
        <f t="shared" si="47"/>
        <v>0</v>
      </c>
      <c r="AY41" s="263">
        <f t="shared" si="47"/>
        <v>0</v>
      </c>
      <c r="AZ41" s="263">
        <f t="shared" si="47"/>
        <v>0</v>
      </c>
      <c r="BA41" s="263">
        <f t="shared" si="47"/>
        <v>0</v>
      </c>
      <c r="BB41" s="263">
        <f t="shared" si="47"/>
        <v>0</v>
      </c>
      <c r="BC41" s="263">
        <f t="shared" si="47"/>
        <v>0</v>
      </c>
      <c r="BD41" s="263">
        <f t="shared" si="47"/>
        <v>0</v>
      </c>
      <c r="BE41" s="263">
        <f t="shared" si="47"/>
        <v>0</v>
      </c>
      <c r="BF41" s="263">
        <f t="shared" si="47"/>
        <v>0</v>
      </c>
      <c r="BG41" s="263">
        <f t="shared" si="47"/>
        <v>0</v>
      </c>
      <c r="BH41" s="263">
        <f t="shared" si="47"/>
        <v>0</v>
      </c>
      <c r="BI41" s="263">
        <f t="shared" si="47"/>
        <v>0</v>
      </c>
      <c r="BJ41" s="263">
        <f t="shared" si="47"/>
        <v>0</v>
      </c>
      <c r="BK41" s="263">
        <f t="shared" si="47"/>
        <v>0</v>
      </c>
      <c r="BL41" s="263">
        <f t="shared" si="47"/>
        <v>0</v>
      </c>
      <c r="BM41" s="263">
        <f t="shared" si="47"/>
        <v>0</v>
      </c>
      <c r="BN41" s="263">
        <f t="shared" si="47"/>
        <v>0</v>
      </c>
      <c r="BO41" s="263">
        <f t="shared" ref="BO41:CT41" si="48">BO40</f>
        <v>0</v>
      </c>
      <c r="BP41" s="263">
        <f t="shared" si="48"/>
        <v>0</v>
      </c>
      <c r="BQ41" s="263">
        <f t="shared" si="48"/>
        <v>0</v>
      </c>
      <c r="BR41" s="263">
        <f t="shared" si="48"/>
        <v>0</v>
      </c>
      <c r="BS41" s="263">
        <f t="shared" si="48"/>
        <v>0</v>
      </c>
      <c r="BT41" s="263">
        <f t="shared" si="48"/>
        <v>0</v>
      </c>
      <c r="BU41" s="263">
        <f t="shared" si="48"/>
        <v>0</v>
      </c>
      <c r="BV41" s="263">
        <f t="shared" si="48"/>
        <v>0</v>
      </c>
      <c r="BW41" s="263">
        <f t="shared" si="48"/>
        <v>0</v>
      </c>
      <c r="BX41" s="263">
        <f t="shared" si="48"/>
        <v>0</v>
      </c>
      <c r="BY41" s="263">
        <f t="shared" si="48"/>
        <v>0</v>
      </c>
      <c r="BZ41" s="263">
        <f t="shared" si="48"/>
        <v>0</v>
      </c>
      <c r="CA41" s="263">
        <f t="shared" si="48"/>
        <v>0</v>
      </c>
      <c r="CB41" s="263">
        <f t="shared" si="48"/>
        <v>0</v>
      </c>
      <c r="CC41" s="263">
        <f t="shared" si="48"/>
        <v>0</v>
      </c>
      <c r="CD41" s="263">
        <f t="shared" si="48"/>
        <v>0</v>
      </c>
      <c r="CE41" s="263">
        <f t="shared" si="48"/>
        <v>0</v>
      </c>
      <c r="CF41" s="263">
        <f t="shared" si="48"/>
        <v>0</v>
      </c>
      <c r="CG41" s="263">
        <f t="shared" si="48"/>
        <v>0</v>
      </c>
      <c r="CH41" s="263">
        <f t="shared" si="48"/>
        <v>0</v>
      </c>
      <c r="CI41" s="263">
        <f t="shared" si="48"/>
        <v>0</v>
      </c>
      <c r="CJ41" s="263">
        <f t="shared" si="48"/>
        <v>0</v>
      </c>
      <c r="CK41" s="263">
        <f t="shared" si="48"/>
        <v>0</v>
      </c>
      <c r="CL41" s="263">
        <f t="shared" si="48"/>
        <v>0</v>
      </c>
      <c r="CM41" s="263">
        <f t="shared" si="48"/>
        <v>0</v>
      </c>
      <c r="CN41" s="263">
        <f t="shared" si="48"/>
        <v>0</v>
      </c>
      <c r="CO41" s="263">
        <f t="shared" si="48"/>
        <v>0</v>
      </c>
      <c r="CP41" s="263">
        <f t="shared" si="48"/>
        <v>0</v>
      </c>
      <c r="CQ41" s="263">
        <f t="shared" si="48"/>
        <v>0</v>
      </c>
      <c r="CR41" s="263">
        <f t="shared" si="48"/>
        <v>0</v>
      </c>
      <c r="CS41" s="263">
        <f t="shared" si="48"/>
        <v>0</v>
      </c>
      <c r="CT41" s="263">
        <f t="shared" si="48"/>
        <v>0</v>
      </c>
      <c r="CU41" s="263">
        <f t="shared" ref="CU41:DZ41" si="49">CU40</f>
        <v>0</v>
      </c>
      <c r="CV41" s="263">
        <f t="shared" si="49"/>
        <v>0</v>
      </c>
      <c r="CW41" s="263">
        <f t="shared" si="49"/>
        <v>0</v>
      </c>
      <c r="CX41" s="263">
        <f t="shared" si="49"/>
        <v>0</v>
      </c>
      <c r="CY41" s="263">
        <f t="shared" si="49"/>
        <v>0</v>
      </c>
      <c r="CZ41" s="263">
        <f t="shared" si="49"/>
        <v>0</v>
      </c>
      <c r="DA41" s="263">
        <f t="shared" si="49"/>
        <v>0</v>
      </c>
      <c r="DB41" s="263">
        <f t="shared" si="49"/>
        <v>0</v>
      </c>
      <c r="DC41" s="263">
        <f t="shared" si="49"/>
        <v>0</v>
      </c>
      <c r="DD41" s="263">
        <f t="shared" si="49"/>
        <v>0</v>
      </c>
      <c r="DE41" s="263">
        <f t="shared" si="49"/>
        <v>0</v>
      </c>
      <c r="DF41" s="263">
        <f t="shared" si="49"/>
        <v>0</v>
      </c>
      <c r="DG41" s="263">
        <f t="shared" si="49"/>
        <v>0</v>
      </c>
      <c r="DH41" s="263">
        <f t="shared" si="49"/>
        <v>0</v>
      </c>
      <c r="DI41" s="263">
        <f t="shared" si="49"/>
        <v>0</v>
      </c>
      <c r="DJ41" s="263">
        <f t="shared" si="49"/>
        <v>0</v>
      </c>
      <c r="DK41" s="263">
        <f t="shared" si="49"/>
        <v>0</v>
      </c>
      <c r="DL41" s="263">
        <f t="shared" si="49"/>
        <v>0</v>
      </c>
      <c r="DM41" s="263">
        <f t="shared" si="49"/>
        <v>0</v>
      </c>
      <c r="DN41" s="263">
        <f t="shared" si="49"/>
        <v>0</v>
      </c>
      <c r="DO41" s="263">
        <f t="shared" si="49"/>
        <v>0</v>
      </c>
      <c r="DP41" s="263">
        <f t="shared" si="49"/>
        <v>0</v>
      </c>
      <c r="DQ41" s="263">
        <f t="shared" si="49"/>
        <v>0</v>
      </c>
      <c r="DR41" s="263">
        <f t="shared" si="49"/>
        <v>0</v>
      </c>
      <c r="DS41" s="263">
        <f t="shared" si="49"/>
        <v>0</v>
      </c>
      <c r="DT41" s="263">
        <f t="shared" si="49"/>
        <v>0</v>
      </c>
      <c r="DU41" s="263">
        <f t="shared" si="49"/>
        <v>0</v>
      </c>
      <c r="DV41" s="263">
        <f t="shared" si="49"/>
        <v>0</v>
      </c>
      <c r="DW41" s="263">
        <f t="shared" si="49"/>
        <v>0</v>
      </c>
      <c r="DX41" s="263">
        <f t="shared" si="49"/>
        <v>0</v>
      </c>
      <c r="DY41" s="263">
        <f t="shared" si="49"/>
        <v>0</v>
      </c>
      <c r="DZ41" s="263">
        <f t="shared" si="49"/>
        <v>0</v>
      </c>
      <c r="EA41" s="263">
        <f t="shared" ref="EA41:ED41" si="50">EA40</f>
        <v>0</v>
      </c>
      <c r="EB41" s="263">
        <f t="shared" si="50"/>
        <v>0</v>
      </c>
      <c r="EC41" s="263">
        <f t="shared" si="50"/>
        <v>0</v>
      </c>
      <c r="ED41" s="263">
        <f t="shared" si="50"/>
        <v>0</v>
      </c>
    </row>
    <row r="42" spans="1:134" ht="19.149999999999999" customHeight="1" x14ac:dyDescent="0.4">
      <c r="A42" s="259" t="s">
        <v>182</v>
      </c>
      <c r="C42" s="267"/>
      <c r="D42" s="267"/>
      <c r="E42" s="267"/>
      <c r="F42" s="267"/>
      <c r="G42" s="267"/>
      <c r="H42" s="267"/>
      <c r="I42" s="267"/>
      <c r="J42" s="267"/>
      <c r="K42" s="267"/>
      <c r="L42" s="267"/>
      <c r="M42" s="267"/>
      <c r="N42" s="267"/>
      <c r="O42" s="267"/>
      <c r="P42" s="267"/>
      <c r="Q42" s="267"/>
      <c r="R42" s="267"/>
      <c r="S42" s="267"/>
      <c r="T42" s="267"/>
      <c r="U42" s="267"/>
      <c r="V42" s="267"/>
      <c r="W42" s="267"/>
      <c r="X42" s="267"/>
      <c r="Y42" s="267"/>
      <c r="Z42" s="267"/>
      <c r="AA42" s="267"/>
      <c r="AB42" s="267"/>
      <c r="AC42" s="267"/>
      <c r="AD42" s="267"/>
      <c r="AE42" s="267"/>
      <c r="AF42" s="267"/>
      <c r="AG42" s="267"/>
      <c r="AH42" s="267"/>
      <c r="AI42" s="267"/>
      <c r="AJ42" s="267"/>
      <c r="AK42" s="267"/>
      <c r="AL42" s="267"/>
      <c r="AM42" s="267"/>
      <c r="AN42" s="267"/>
      <c r="AO42" s="267"/>
      <c r="AP42" s="267"/>
      <c r="AQ42" s="267"/>
      <c r="AR42" s="267"/>
      <c r="AS42" s="267"/>
      <c r="AT42" s="267"/>
      <c r="AU42" s="267"/>
      <c r="AV42" s="267"/>
      <c r="AW42" s="267"/>
      <c r="AX42" s="267"/>
      <c r="AY42" s="267"/>
      <c r="AZ42" s="267"/>
      <c r="BA42" s="267"/>
      <c r="BB42" s="267"/>
      <c r="BC42" s="267"/>
      <c r="BD42" s="267"/>
      <c r="BE42" s="267"/>
      <c r="BF42" s="267"/>
      <c r="BG42" s="267"/>
      <c r="BH42" s="267"/>
      <c r="BI42" s="267"/>
      <c r="BJ42" s="267"/>
      <c r="BK42" s="267"/>
      <c r="BL42" s="267"/>
      <c r="BM42" s="267"/>
      <c r="BN42" s="267"/>
      <c r="BO42" s="267"/>
      <c r="BP42" s="267"/>
      <c r="BQ42" s="267"/>
      <c r="BR42" s="267"/>
      <c r="BS42" s="267"/>
      <c r="BT42" s="267"/>
      <c r="BU42" s="267"/>
      <c r="BV42" s="267"/>
      <c r="BW42" s="267"/>
      <c r="BX42" s="267"/>
      <c r="BY42" s="267"/>
      <c r="BZ42" s="267"/>
      <c r="CA42" s="267"/>
      <c r="CB42" s="267"/>
      <c r="CC42" s="267"/>
      <c r="CD42" s="267"/>
      <c r="CE42" s="267"/>
      <c r="CF42" s="267"/>
      <c r="CG42" s="267"/>
      <c r="CH42" s="267"/>
      <c r="CI42" s="267"/>
      <c r="CJ42" s="267"/>
      <c r="CK42" s="267"/>
      <c r="CL42" s="267"/>
      <c r="CM42" s="267"/>
      <c r="CN42" s="267"/>
      <c r="CO42" s="267"/>
      <c r="CP42" s="267"/>
      <c r="CQ42" s="267"/>
      <c r="CR42" s="267"/>
      <c r="CS42" s="267"/>
      <c r="CT42" s="267"/>
      <c r="CU42" s="267"/>
      <c r="CV42" s="267"/>
      <c r="CW42" s="267"/>
      <c r="CX42" s="267"/>
      <c r="CY42" s="267"/>
      <c r="CZ42" s="267"/>
      <c r="DA42" s="267"/>
      <c r="DB42" s="267"/>
      <c r="DC42" s="267"/>
      <c r="DD42" s="267"/>
      <c r="DE42" s="267"/>
      <c r="DF42" s="267"/>
      <c r="DG42" s="267"/>
      <c r="DH42" s="267"/>
      <c r="DI42" s="267"/>
      <c r="DJ42" s="267"/>
      <c r="DK42" s="267"/>
      <c r="DL42" s="267"/>
      <c r="DM42" s="267"/>
      <c r="DN42" s="267"/>
      <c r="DO42" s="267"/>
      <c r="DP42" s="267"/>
      <c r="DQ42" s="267"/>
      <c r="DR42" s="267"/>
      <c r="DS42" s="267"/>
      <c r="DT42" s="267"/>
      <c r="DU42" s="267"/>
      <c r="DV42" s="267"/>
      <c r="DW42" s="267"/>
      <c r="DX42" s="267"/>
      <c r="DY42" s="267"/>
      <c r="DZ42" s="267"/>
      <c r="EA42" s="267"/>
      <c r="EB42" s="267"/>
      <c r="EC42" s="267"/>
      <c r="ED42" s="267"/>
    </row>
    <row r="43" spans="1:134" ht="19.149999999999999" customHeight="1" x14ac:dyDescent="0.4">
      <c r="A43" s="264" t="s">
        <v>196</v>
      </c>
      <c r="B43" s="264"/>
      <c r="C43" s="263">
        <f t="shared" ref="C43:AH43" si="51">C37+C41</f>
        <v>110478.33333333334</v>
      </c>
      <c r="D43" s="263">
        <f t="shared" si="51"/>
        <v>110478.33333333334</v>
      </c>
      <c r="E43" s="263">
        <f t="shared" si="51"/>
        <v>110478.33333333334</v>
      </c>
      <c r="F43" s="263">
        <f t="shared" si="51"/>
        <v>110478.33333333334</v>
      </c>
      <c r="G43" s="263">
        <f t="shared" si="51"/>
        <v>110478.33333333334</v>
      </c>
      <c r="H43" s="263">
        <f t="shared" si="51"/>
        <v>110478.33333333334</v>
      </c>
      <c r="I43" s="263">
        <f t="shared" si="51"/>
        <v>110478.33333333334</v>
      </c>
      <c r="J43" s="263">
        <f t="shared" si="51"/>
        <v>110478.33333333334</v>
      </c>
      <c r="K43" s="263">
        <f t="shared" si="51"/>
        <v>110478.33333333334</v>
      </c>
      <c r="L43" s="263">
        <f t="shared" si="51"/>
        <v>110478.33333333334</v>
      </c>
      <c r="M43" s="263">
        <f t="shared" si="51"/>
        <v>110478.33333333334</v>
      </c>
      <c r="N43" s="263">
        <f t="shared" si="51"/>
        <v>110478.33333333334</v>
      </c>
      <c r="O43" s="263">
        <f t="shared" si="51"/>
        <v>112679.56666666667</v>
      </c>
      <c r="P43" s="263">
        <f t="shared" si="51"/>
        <v>112679.56666666667</v>
      </c>
      <c r="Q43" s="263">
        <f t="shared" si="51"/>
        <v>112679.56666666667</v>
      </c>
      <c r="R43" s="263">
        <f t="shared" si="51"/>
        <v>112679.56666666667</v>
      </c>
      <c r="S43" s="263">
        <f t="shared" si="51"/>
        <v>112679.56666666667</v>
      </c>
      <c r="T43" s="263">
        <f t="shared" si="51"/>
        <v>112679.56666666667</v>
      </c>
      <c r="U43" s="263">
        <f t="shared" si="51"/>
        <v>112679.56666666667</v>
      </c>
      <c r="V43" s="263">
        <f t="shared" si="51"/>
        <v>112679.56666666667</v>
      </c>
      <c r="W43" s="263">
        <f t="shared" si="51"/>
        <v>112679.56666666667</v>
      </c>
      <c r="X43" s="263">
        <f t="shared" si="51"/>
        <v>112679.56666666667</v>
      </c>
      <c r="Y43" s="263">
        <f t="shared" si="51"/>
        <v>112679.56666666667</v>
      </c>
      <c r="Z43" s="263">
        <f t="shared" si="51"/>
        <v>112679.56666666667</v>
      </c>
      <c r="AA43" s="263">
        <f t="shared" si="51"/>
        <v>114925.32466666667</v>
      </c>
      <c r="AB43" s="263">
        <f t="shared" si="51"/>
        <v>114925.32466666667</v>
      </c>
      <c r="AC43" s="263">
        <f t="shared" si="51"/>
        <v>114925.32466666667</v>
      </c>
      <c r="AD43" s="263">
        <f t="shared" si="51"/>
        <v>114925.32466666667</v>
      </c>
      <c r="AE43" s="263">
        <f t="shared" si="51"/>
        <v>114925.32466666667</v>
      </c>
      <c r="AF43" s="263">
        <f t="shared" si="51"/>
        <v>114925.32466666667</v>
      </c>
      <c r="AG43" s="263">
        <f t="shared" si="51"/>
        <v>114925.32466666667</v>
      </c>
      <c r="AH43" s="263">
        <f t="shared" si="51"/>
        <v>114925.32466666667</v>
      </c>
      <c r="AI43" s="263">
        <f t="shared" ref="AI43:BN43" si="52">AI37+AI41</f>
        <v>114925.32466666667</v>
      </c>
      <c r="AJ43" s="263">
        <f t="shared" si="52"/>
        <v>114925.32466666667</v>
      </c>
      <c r="AK43" s="263">
        <f t="shared" si="52"/>
        <v>114925.32466666667</v>
      </c>
      <c r="AL43" s="263">
        <f t="shared" si="52"/>
        <v>114925.32466666667</v>
      </c>
      <c r="AM43" s="263">
        <f t="shared" si="52"/>
        <v>117216.51282666666</v>
      </c>
      <c r="AN43" s="263">
        <f t="shared" si="52"/>
        <v>117216.51282666666</v>
      </c>
      <c r="AO43" s="263">
        <f t="shared" si="52"/>
        <v>117216.51282666666</v>
      </c>
      <c r="AP43" s="263">
        <f t="shared" si="52"/>
        <v>117216.51282666666</v>
      </c>
      <c r="AQ43" s="263">
        <f t="shared" si="52"/>
        <v>117216.51282666666</v>
      </c>
      <c r="AR43" s="263">
        <f t="shared" si="52"/>
        <v>117216.51282666666</v>
      </c>
      <c r="AS43" s="263">
        <f t="shared" si="52"/>
        <v>117216.51282666666</v>
      </c>
      <c r="AT43" s="263">
        <f t="shared" si="52"/>
        <v>117216.51282666666</v>
      </c>
      <c r="AU43" s="263">
        <f t="shared" si="52"/>
        <v>117216.51282666666</v>
      </c>
      <c r="AV43" s="263">
        <f t="shared" si="52"/>
        <v>117216.51282666666</v>
      </c>
      <c r="AW43" s="263">
        <f t="shared" si="52"/>
        <v>117216.51282666666</v>
      </c>
      <c r="AX43" s="263">
        <f t="shared" si="52"/>
        <v>117216.51282666666</v>
      </c>
      <c r="AY43" s="263">
        <f t="shared" si="52"/>
        <v>0</v>
      </c>
      <c r="AZ43" s="263">
        <f t="shared" si="52"/>
        <v>0</v>
      </c>
      <c r="BA43" s="263">
        <f t="shared" si="52"/>
        <v>0</v>
      </c>
      <c r="BB43" s="263">
        <f t="shared" si="52"/>
        <v>0</v>
      </c>
      <c r="BC43" s="263">
        <f t="shared" si="52"/>
        <v>0</v>
      </c>
      <c r="BD43" s="263">
        <f t="shared" si="52"/>
        <v>0</v>
      </c>
      <c r="BE43" s="263">
        <f t="shared" si="52"/>
        <v>0</v>
      </c>
      <c r="BF43" s="263">
        <f t="shared" si="52"/>
        <v>0</v>
      </c>
      <c r="BG43" s="263">
        <f t="shared" si="52"/>
        <v>0</v>
      </c>
      <c r="BH43" s="263">
        <f t="shared" si="52"/>
        <v>0</v>
      </c>
      <c r="BI43" s="263">
        <f t="shared" si="52"/>
        <v>0</v>
      </c>
      <c r="BJ43" s="263">
        <f t="shared" si="52"/>
        <v>0</v>
      </c>
      <c r="BK43" s="263">
        <f t="shared" si="52"/>
        <v>944332.01517972047</v>
      </c>
      <c r="BL43" s="263">
        <f t="shared" si="52"/>
        <v>440165.34851305385</v>
      </c>
      <c r="BM43" s="263">
        <f t="shared" si="52"/>
        <v>440165.34851305385</v>
      </c>
      <c r="BN43" s="263">
        <f t="shared" si="52"/>
        <v>440165.34851305385</v>
      </c>
      <c r="BO43" s="263">
        <f t="shared" ref="BO43:CT43" si="53">BO37+BO41</f>
        <v>440165.34851305385</v>
      </c>
      <c r="BP43" s="263">
        <f t="shared" si="53"/>
        <v>440165.34851305385</v>
      </c>
      <c r="BQ43" s="263">
        <f t="shared" si="53"/>
        <v>440165.34851305385</v>
      </c>
      <c r="BR43" s="263">
        <f t="shared" si="53"/>
        <v>440165.34851305385</v>
      </c>
      <c r="BS43" s="263">
        <f t="shared" si="53"/>
        <v>440165.34851305385</v>
      </c>
      <c r="BT43" s="263">
        <f t="shared" si="53"/>
        <v>440165.34851305385</v>
      </c>
      <c r="BU43" s="263">
        <f t="shared" si="53"/>
        <v>440165.34851305385</v>
      </c>
      <c r="BV43" s="263">
        <f t="shared" si="53"/>
        <v>440165.34851305385</v>
      </c>
      <c r="BW43" s="263">
        <f t="shared" si="53"/>
        <v>449059.0009258482</v>
      </c>
      <c r="BX43" s="263">
        <f t="shared" si="53"/>
        <v>449059.0009258482</v>
      </c>
      <c r="BY43" s="263">
        <f t="shared" si="53"/>
        <v>449059.0009258482</v>
      </c>
      <c r="BZ43" s="263">
        <f t="shared" si="53"/>
        <v>449059.0009258482</v>
      </c>
      <c r="CA43" s="263">
        <f t="shared" si="53"/>
        <v>449059.0009258482</v>
      </c>
      <c r="CB43" s="263">
        <f t="shared" si="53"/>
        <v>449059.0009258482</v>
      </c>
      <c r="CC43" s="263">
        <f t="shared" si="53"/>
        <v>449059.0009258482</v>
      </c>
      <c r="CD43" s="263">
        <f t="shared" si="53"/>
        <v>449059.0009258482</v>
      </c>
      <c r="CE43" s="263">
        <f t="shared" si="53"/>
        <v>449059.0009258482</v>
      </c>
      <c r="CF43" s="263">
        <f t="shared" si="53"/>
        <v>449059.0009258482</v>
      </c>
      <c r="CG43" s="263">
        <f t="shared" si="53"/>
        <v>449059.0009258482</v>
      </c>
      <c r="CH43" s="263">
        <f t="shared" si="53"/>
        <v>449059.0009258482</v>
      </c>
      <c r="CI43" s="263">
        <f t="shared" si="53"/>
        <v>458131.10602393548</v>
      </c>
      <c r="CJ43" s="263">
        <f t="shared" si="53"/>
        <v>458131.10602393548</v>
      </c>
      <c r="CK43" s="263">
        <f t="shared" si="53"/>
        <v>458131.10602393548</v>
      </c>
      <c r="CL43" s="263">
        <f t="shared" si="53"/>
        <v>458131.10602393548</v>
      </c>
      <c r="CM43" s="263">
        <f t="shared" si="53"/>
        <v>458131.10602393548</v>
      </c>
      <c r="CN43" s="263">
        <f t="shared" si="53"/>
        <v>458131.10602393548</v>
      </c>
      <c r="CO43" s="263">
        <f t="shared" si="53"/>
        <v>458131.10602393548</v>
      </c>
      <c r="CP43" s="263">
        <f t="shared" si="53"/>
        <v>458131.10602393548</v>
      </c>
      <c r="CQ43" s="263">
        <f t="shared" si="53"/>
        <v>458131.10602393548</v>
      </c>
      <c r="CR43" s="263">
        <f t="shared" si="53"/>
        <v>458131.10602393548</v>
      </c>
      <c r="CS43" s="263">
        <f t="shared" si="53"/>
        <v>458131.10602393548</v>
      </c>
      <c r="CT43" s="263">
        <f t="shared" si="53"/>
        <v>458131.10602393548</v>
      </c>
      <c r="CU43" s="263">
        <f t="shared" ref="CU43:ED43" si="54">CU37+CU41</f>
        <v>467385.25025013299</v>
      </c>
      <c r="CV43" s="263">
        <f t="shared" si="54"/>
        <v>467385.25025013299</v>
      </c>
      <c r="CW43" s="263">
        <f t="shared" si="54"/>
        <v>467385.25025013299</v>
      </c>
      <c r="CX43" s="263">
        <f t="shared" si="54"/>
        <v>467385.25025013299</v>
      </c>
      <c r="CY43" s="263">
        <f t="shared" si="54"/>
        <v>467385.25025013299</v>
      </c>
      <c r="CZ43" s="263">
        <f t="shared" si="54"/>
        <v>467385.25025013299</v>
      </c>
      <c r="DA43" s="263">
        <f t="shared" si="54"/>
        <v>467385.25025013299</v>
      </c>
      <c r="DB43" s="263">
        <f t="shared" si="54"/>
        <v>467385.25025013299</v>
      </c>
      <c r="DC43" s="263">
        <f t="shared" si="54"/>
        <v>467385.25025013299</v>
      </c>
      <c r="DD43" s="263">
        <f t="shared" si="54"/>
        <v>467385.25025013299</v>
      </c>
      <c r="DE43" s="263">
        <f t="shared" si="54"/>
        <v>467385.25025013299</v>
      </c>
      <c r="DF43" s="263">
        <f t="shared" si="54"/>
        <v>467385.25025013299</v>
      </c>
      <c r="DG43" s="263">
        <f t="shared" si="54"/>
        <v>476825.09229778702</v>
      </c>
      <c r="DH43" s="263">
        <f t="shared" si="54"/>
        <v>476825.09229778702</v>
      </c>
      <c r="DI43" s="263">
        <f t="shared" si="54"/>
        <v>476825.09229778702</v>
      </c>
      <c r="DJ43" s="263">
        <f t="shared" si="54"/>
        <v>476825.09229778702</v>
      </c>
      <c r="DK43" s="263">
        <f t="shared" si="54"/>
        <v>476825.09229778702</v>
      </c>
      <c r="DL43" s="263">
        <f t="shared" si="54"/>
        <v>476825.09229778702</v>
      </c>
      <c r="DM43" s="263">
        <f t="shared" si="54"/>
        <v>476825.09229778702</v>
      </c>
      <c r="DN43" s="263">
        <f t="shared" si="54"/>
        <v>476825.09229778702</v>
      </c>
      <c r="DO43" s="263">
        <f t="shared" si="54"/>
        <v>476825.09229778702</v>
      </c>
      <c r="DP43" s="263">
        <f t="shared" si="54"/>
        <v>476825.09229778702</v>
      </c>
      <c r="DQ43" s="263">
        <f t="shared" si="54"/>
        <v>476825.09229778702</v>
      </c>
      <c r="DR43" s="263">
        <f t="shared" si="54"/>
        <v>476825.09229778702</v>
      </c>
      <c r="DS43" s="263">
        <f t="shared" si="54"/>
        <v>486454.36457143491</v>
      </c>
      <c r="DT43" s="263">
        <f t="shared" si="54"/>
        <v>486454.36457143491</v>
      </c>
      <c r="DU43" s="263">
        <f t="shared" si="54"/>
        <v>486454.36457143491</v>
      </c>
      <c r="DV43" s="263">
        <f t="shared" si="54"/>
        <v>486454.36457143491</v>
      </c>
      <c r="DW43" s="263">
        <f t="shared" si="54"/>
        <v>486454.36457143491</v>
      </c>
      <c r="DX43" s="263">
        <f t="shared" si="54"/>
        <v>486454.36457143491</v>
      </c>
      <c r="DY43" s="263">
        <f t="shared" si="54"/>
        <v>486454.36457143491</v>
      </c>
      <c r="DZ43" s="263">
        <f t="shared" si="54"/>
        <v>486454.36457143491</v>
      </c>
      <c r="EA43" s="263">
        <f t="shared" si="54"/>
        <v>486454.36457143491</v>
      </c>
      <c r="EB43" s="263">
        <f t="shared" si="54"/>
        <v>486454.36457143491</v>
      </c>
      <c r="EC43" s="263">
        <f t="shared" si="54"/>
        <v>486454.36457143491</v>
      </c>
      <c r="ED43" s="263">
        <f t="shared" si="54"/>
        <v>486454.36457143491</v>
      </c>
    </row>
    <row r="44" spans="1:134" ht="19.149999999999999" customHeight="1" x14ac:dyDescent="0.4">
      <c r="A44" s="259" t="s">
        <v>182</v>
      </c>
      <c r="C44" s="267"/>
      <c r="D44" s="267"/>
      <c r="E44" s="267"/>
      <c r="F44" s="267"/>
      <c r="G44" s="267"/>
      <c r="H44" s="267"/>
      <c r="I44" s="267"/>
      <c r="J44" s="267"/>
      <c r="K44" s="267"/>
      <c r="L44" s="267"/>
      <c r="M44" s="267"/>
      <c r="N44" s="267"/>
      <c r="O44" s="267"/>
      <c r="P44" s="267"/>
      <c r="Q44" s="267"/>
      <c r="R44" s="267"/>
      <c r="S44" s="267"/>
      <c r="T44" s="267"/>
      <c r="U44" s="267"/>
      <c r="V44" s="267"/>
      <c r="W44" s="267"/>
      <c r="X44" s="267"/>
      <c r="Y44" s="267"/>
      <c r="Z44" s="267"/>
      <c r="AA44" s="267"/>
      <c r="AB44" s="267"/>
      <c r="AC44" s="267"/>
      <c r="AD44" s="267"/>
      <c r="AE44" s="267"/>
      <c r="AF44" s="267"/>
      <c r="AG44" s="267"/>
      <c r="AH44" s="267"/>
      <c r="AI44" s="267"/>
      <c r="AJ44" s="267"/>
      <c r="AK44" s="267"/>
      <c r="AL44" s="267"/>
      <c r="AM44" s="267"/>
      <c r="AN44" s="267"/>
      <c r="AO44" s="267"/>
      <c r="AP44" s="267"/>
      <c r="AQ44" s="267"/>
      <c r="AR44" s="267"/>
      <c r="AS44" s="267"/>
      <c r="AT44" s="267"/>
      <c r="AU44" s="267"/>
      <c r="AV44" s="267"/>
      <c r="AW44" s="267"/>
      <c r="AX44" s="267"/>
      <c r="AY44" s="267"/>
      <c r="AZ44" s="267"/>
      <c r="BA44" s="267"/>
      <c r="BB44" s="267"/>
      <c r="BC44" s="267"/>
      <c r="BD44" s="267"/>
      <c r="BE44" s="267"/>
      <c r="BF44" s="267"/>
      <c r="BG44" s="267"/>
      <c r="BH44" s="267"/>
      <c r="BI44" s="267"/>
      <c r="BJ44" s="267"/>
      <c r="BK44" s="267"/>
      <c r="BL44" s="267"/>
      <c r="BM44" s="267"/>
      <c r="BN44" s="267"/>
      <c r="BO44" s="267"/>
      <c r="BP44" s="267"/>
      <c r="BQ44" s="267"/>
      <c r="BR44" s="267"/>
      <c r="BS44" s="267"/>
      <c r="BT44" s="267"/>
      <c r="BU44" s="267"/>
      <c r="BV44" s="267"/>
      <c r="BW44" s="267"/>
      <c r="BX44" s="267"/>
      <c r="BY44" s="267"/>
      <c r="BZ44" s="267"/>
      <c r="CA44" s="267"/>
      <c r="CB44" s="267"/>
      <c r="CC44" s="267"/>
      <c r="CD44" s="267"/>
      <c r="CE44" s="267"/>
      <c r="CF44" s="267"/>
      <c r="CG44" s="267"/>
      <c r="CH44" s="267"/>
      <c r="CI44" s="267"/>
      <c r="CJ44" s="267"/>
      <c r="CK44" s="267"/>
      <c r="CL44" s="267"/>
      <c r="CM44" s="267"/>
      <c r="CN44" s="267"/>
      <c r="CO44" s="267"/>
      <c r="CP44" s="267"/>
      <c r="CQ44" s="267"/>
      <c r="CR44" s="267"/>
      <c r="CS44" s="267"/>
      <c r="CT44" s="267"/>
      <c r="CU44" s="267"/>
      <c r="CV44" s="267"/>
      <c r="CW44" s="267"/>
      <c r="CX44" s="267"/>
      <c r="CY44" s="267"/>
      <c r="CZ44" s="267"/>
      <c r="DA44" s="267"/>
      <c r="DB44" s="267"/>
      <c r="DC44" s="267"/>
      <c r="DD44" s="267"/>
      <c r="DE44" s="267"/>
      <c r="DF44" s="267"/>
      <c r="DG44" s="267"/>
      <c r="DH44" s="267"/>
      <c r="DI44" s="267"/>
      <c r="DJ44" s="267"/>
      <c r="DK44" s="267"/>
      <c r="DL44" s="267"/>
      <c r="DM44" s="267"/>
      <c r="DN44" s="267"/>
      <c r="DO44" s="267"/>
      <c r="DP44" s="267"/>
      <c r="DQ44" s="267"/>
      <c r="DR44" s="267"/>
      <c r="DS44" s="267"/>
      <c r="DT44" s="267"/>
      <c r="DU44" s="267"/>
      <c r="DV44" s="267"/>
      <c r="DW44" s="267"/>
      <c r="DX44" s="267"/>
      <c r="DY44" s="267"/>
      <c r="DZ44" s="267"/>
      <c r="EA44" s="267"/>
      <c r="EB44" s="267"/>
      <c r="EC44" s="267"/>
      <c r="ED44" s="267"/>
    </row>
    <row r="45" spans="1:134" ht="19.149999999999999" customHeight="1" x14ac:dyDescent="0.4">
      <c r="A45" s="268" t="s">
        <v>195</v>
      </c>
      <c r="B45" s="268"/>
      <c r="C45" s="267"/>
      <c r="D45" s="267"/>
      <c r="E45" s="267"/>
      <c r="F45" s="267"/>
      <c r="G45" s="267"/>
      <c r="H45" s="267"/>
      <c r="I45" s="267"/>
      <c r="J45" s="267"/>
      <c r="K45" s="267"/>
      <c r="L45" s="267"/>
      <c r="M45" s="267"/>
      <c r="N45" s="267"/>
      <c r="O45" s="267"/>
      <c r="P45" s="267"/>
      <c r="Q45" s="267"/>
      <c r="R45" s="267"/>
      <c r="S45" s="267"/>
      <c r="T45" s="267"/>
      <c r="U45" s="267"/>
      <c r="V45" s="267"/>
      <c r="W45" s="267"/>
      <c r="X45" s="267"/>
      <c r="Y45" s="267"/>
      <c r="Z45" s="267"/>
      <c r="AA45" s="267"/>
      <c r="AB45" s="267"/>
      <c r="AC45" s="267"/>
      <c r="AD45" s="267"/>
      <c r="AE45" s="267"/>
      <c r="AF45" s="267"/>
      <c r="AG45" s="267"/>
      <c r="AH45" s="267"/>
      <c r="AI45" s="267"/>
      <c r="AJ45" s="267"/>
      <c r="AK45" s="267"/>
      <c r="AL45" s="267"/>
      <c r="AM45" s="267"/>
      <c r="AN45" s="267"/>
      <c r="AO45" s="267"/>
      <c r="AP45" s="267"/>
      <c r="AQ45" s="267"/>
      <c r="AR45" s="267"/>
      <c r="AS45" s="267"/>
      <c r="AT45" s="267"/>
      <c r="AU45" s="267"/>
      <c r="AV45" s="267"/>
      <c r="AW45" s="267"/>
      <c r="AX45" s="267"/>
      <c r="AY45" s="267"/>
      <c r="AZ45" s="267"/>
      <c r="BA45" s="267"/>
      <c r="BB45" s="267"/>
      <c r="BC45" s="267"/>
      <c r="BD45" s="267"/>
      <c r="BE45" s="267"/>
      <c r="BF45" s="267"/>
      <c r="BG45" s="267"/>
      <c r="BH45" s="267"/>
      <c r="BI45" s="267"/>
      <c r="BJ45" s="267"/>
      <c r="BK45" s="267"/>
      <c r="BL45" s="267"/>
      <c r="BM45" s="267"/>
      <c r="BN45" s="267"/>
      <c r="BO45" s="267"/>
      <c r="BP45" s="267"/>
      <c r="BQ45" s="267"/>
      <c r="BR45" s="267"/>
      <c r="BS45" s="267"/>
      <c r="BT45" s="267"/>
      <c r="BU45" s="267"/>
      <c r="BV45" s="267"/>
      <c r="BW45" s="267"/>
      <c r="BX45" s="267"/>
      <c r="BY45" s="267"/>
      <c r="BZ45" s="267"/>
      <c r="CA45" s="267"/>
      <c r="CB45" s="267"/>
      <c r="CC45" s="267"/>
      <c r="CD45" s="267"/>
      <c r="CE45" s="267"/>
      <c r="CF45" s="267"/>
      <c r="CG45" s="267"/>
      <c r="CH45" s="267"/>
      <c r="CI45" s="267"/>
      <c r="CJ45" s="267"/>
      <c r="CK45" s="267"/>
      <c r="CL45" s="267"/>
      <c r="CM45" s="267"/>
      <c r="CN45" s="267"/>
      <c r="CO45" s="267"/>
      <c r="CP45" s="267"/>
      <c r="CQ45" s="267"/>
      <c r="CR45" s="267"/>
      <c r="CS45" s="267"/>
      <c r="CT45" s="267"/>
      <c r="CU45" s="267"/>
      <c r="CV45" s="267"/>
      <c r="CW45" s="267"/>
      <c r="CX45" s="267"/>
      <c r="CY45" s="267"/>
      <c r="CZ45" s="267"/>
      <c r="DA45" s="267"/>
      <c r="DB45" s="267"/>
      <c r="DC45" s="267"/>
      <c r="DD45" s="267"/>
      <c r="DE45" s="267"/>
      <c r="DF45" s="267"/>
      <c r="DG45" s="267"/>
      <c r="DH45" s="267"/>
      <c r="DI45" s="267"/>
      <c r="DJ45" s="267"/>
      <c r="DK45" s="267"/>
      <c r="DL45" s="267"/>
      <c r="DM45" s="267"/>
      <c r="DN45" s="267"/>
      <c r="DO45" s="267"/>
      <c r="DP45" s="267"/>
      <c r="DQ45" s="267"/>
      <c r="DR45" s="267"/>
      <c r="DS45" s="267"/>
      <c r="DT45" s="267"/>
      <c r="DU45" s="267"/>
      <c r="DV45" s="267"/>
      <c r="DW45" s="267"/>
      <c r="DX45" s="267"/>
      <c r="DY45" s="267"/>
      <c r="DZ45" s="267"/>
      <c r="EA45" s="267"/>
      <c r="EB45" s="267"/>
      <c r="EC45" s="267"/>
      <c r="ED45" s="267"/>
    </row>
    <row r="46" spans="1:134" ht="19.149999999999999" customHeight="1" x14ac:dyDescent="0.4">
      <c r="A46" s="270" t="s">
        <v>82</v>
      </c>
      <c r="B46" s="271">
        <v>1250</v>
      </c>
      <c r="C46" s="266">
        <f>IF(OR(C$10&lt;'Torrance Inputs'!$N$40,C$10&gt;='Torrance Inputs'!$I$18),'Torrance Inputs'!$I3*(1+'Torrance Inputs'!$N$3)^(C$8-1),0)</f>
        <v>1250</v>
      </c>
      <c r="D46" s="266">
        <f>IF(OR(D$10&lt;'Torrance Inputs'!$N$40,D$10&gt;='Torrance Inputs'!$I$18),'Torrance Inputs'!$I3*(1+'Torrance Inputs'!$N$3)^(D$8-1),0)</f>
        <v>1250</v>
      </c>
      <c r="E46" s="266">
        <f>IF(OR(E$10&lt;'Torrance Inputs'!$N$40,E$10&gt;='Torrance Inputs'!$I$18),'Torrance Inputs'!$I3*(1+'Torrance Inputs'!$N$3)^(E$8-1),0)</f>
        <v>1250</v>
      </c>
      <c r="F46" s="266">
        <f>IF(OR(F$10&lt;'Torrance Inputs'!$N$40,F$10&gt;='Torrance Inputs'!$I$18),'Torrance Inputs'!$I3*(1+'Torrance Inputs'!$N$3)^(F$8-1),0)</f>
        <v>1250</v>
      </c>
      <c r="G46" s="266">
        <f>IF(OR(G$10&lt;'Torrance Inputs'!$N$40,G$10&gt;='Torrance Inputs'!$I$18),'Torrance Inputs'!$I3*(1+'Torrance Inputs'!$N$3)^(G$8-1),0)</f>
        <v>1250</v>
      </c>
      <c r="H46" s="266">
        <f>IF(OR(H$10&lt;'Torrance Inputs'!$N$40,H$10&gt;='Torrance Inputs'!$I$18),'Torrance Inputs'!$I3*(1+'Torrance Inputs'!$N$3)^(H$8-1),0)</f>
        <v>1250</v>
      </c>
      <c r="I46" s="266">
        <f>IF(OR(I$10&lt;'Torrance Inputs'!$N$40,I$10&gt;='Torrance Inputs'!$I$18),'Torrance Inputs'!$I3*(1+'Torrance Inputs'!$N$3)^(I$8-1),0)</f>
        <v>1250</v>
      </c>
      <c r="J46" s="266">
        <f>IF(OR(J$10&lt;'Torrance Inputs'!$N$40,J$10&gt;='Torrance Inputs'!$I$18),'Torrance Inputs'!$I3*(1+'Torrance Inputs'!$N$3)^(J$8-1),0)</f>
        <v>1250</v>
      </c>
      <c r="K46" s="266">
        <f>IF(OR(K$10&lt;'Torrance Inputs'!$N$40,K$10&gt;='Torrance Inputs'!$I$18),'Torrance Inputs'!$I3*(1+'Torrance Inputs'!$N$3)^(K$8-1),0)</f>
        <v>1250</v>
      </c>
      <c r="L46" s="266">
        <f>IF(OR(L$10&lt;'Torrance Inputs'!$N$40,L$10&gt;='Torrance Inputs'!$I$18),'Torrance Inputs'!$I3*(1+'Torrance Inputs'!$N$3)^(L$8-1),0)</f>
        <v>1250</v>
      </c>
      <c r="M46" s="266">
        <f>IF(OR(M$10&lt;'Torrance Inputs'!$N$40,M$10&gt;='Torrance Inputs'!$I$18),'Torrance Inputs'!$I3*(1+'Torrance Inputs'!$N$3)^(M$8-1),0)</f>
        <v>1250</v>
      </c>
      <c r="N46" s="266">
        <f>IF(OR(N$10&lt;'Torrance Inputs'!$N$40,N$10&gt;='Torrance Inputs'!$I$18),'Torrance Inputs'!$I3*(1+'Torrance Inputs'!$N$3)^(N$8-1),0)</f>
        <v>1250</v>
      </c>
      <c r="O46" s="266">
        <f>IF(OR(O$10&lt;'Torrance Inputs'!$N$40,O$10&gt;='Torrance Inputs'!$I$18),'Torrance Inputs'!$I3*(1+'Torrance Inputs'!$N$3)^(O$8-1),0)</f>
        <v>1287.5</v>
      </c>
      <c r="P46" s="266">
        <f>IF(OR(P$10&lt;'Torrance Inputs'!$N$40,P$10&gt;='Torrance Inputs'!$I$18),'Torrance Inputs'!$I3*(1+'Torrance Inputs'!$N$3)^(P$8-1),0)</f>
        <v>1287.5</v>
      </c>
      <c r="Q46" s="266">
        <f>IF(OR(Q$10&lt;'Torrance Inputs'!$N$40,Q$10&gt;='Torrance Inputs'!$I$18),'Torrance Inputs'!$I3*(1+'Torrance Inputs'!$N$3)^(Q$8-1),0)</f>
        <v>1287.5</v>
      </c>
      <c r="R46" s="266">
        <f>IF(OR(R$10&lt;'Torrance Inputs'!$N$40,R$10&gt;='Torrance Inputs'!$I$18),'Torrance Inputs'!$I3*(1+'Torrance Inputs'!$N$3)^(R$8-1),0)</f>
        <v>1287.5</v>
      </c>
      <c r="S46" s="266">
        <f>IF(OR(S$10&lt;'Torrance Inputs'!$N$40,S$10&gt;='Torrance Inputs'!$I$18),'Torrance Inputs'!$I3*(1+'Torrance Inputs'!$N$3)^(S$8-1),0)</f>
        <v>1287.5</v>
      </c>
      <c r="T46" s="266">
        <f>IF(OR(T$10&lt;'Torrance Inputs'!$N$40,T$10&gt;='Torrance Inputs'!$I$18),'Torrance Inputs'!$I3*(1+'Torrance Inputs'!$N$3)^(T$8-1),0)</f>
        <v>1287.5</v>
      </c>
      <c r="U46" s="266">
        <f>IF(OR(U$10&lt;'Torrance Inputs'!$N$40,U$10&gt;='Torrance Inputs'!$I$18),'Torrance Inputs'!$I3*(1+'Torrance Inputs'!$N$3)^(U$8-1),0)</f>
        <v>1287.5</v>
      </c>
      <c r="V46" s="266">
        <f>IF(OR(V$10&lt;'Torrance Inputs'!$N$40,V$10&gt;='Torrance Inputs'!$I$18),'Torrance Inputs'!$I3*(1+'Torrance Inputs'!$N$3)^(V$8-1),0)</f>
        <v>1287.5</v>
      </c>
      <c r="W46" s="266">
        <f>IF(OR(W$10&lt;'Torrance Inputs'!$N$40,W$10&gt;='Torrance Inputs'!$I$18),'Torrance Inputs'!$I3*(1+'Torrance Inputs'!$N$3)^(W$8-1),0)</f>
        <v>1287.5</v>
      </c>
      <c r="X46" s="266">
        <f>IF(OR(X$10&lt;'Torrance Inputs'!$N$40,X$10&gt;='Torrance Inputs'!$I$18),'Torrance Inputs'!$I3*(1+'Torrance Inputs'!$N$3)^(X$8-1),0)</f>
        <v>1287.5</v>
      </c>
      <c r="Y46" s="266">
        <f>IF(OR(Y$10&lt;'Torrance Inputs'!$N$40,Y$10&gt;='Torrance Inputs'!$I$18),'Torrance Inputs'!$I3*(1+'Torrance Inputs'!$N$3)^(Y$8-1),0)</f>
        <v>1287.5</v>
      </c>
      <c r="Z46" s="266">
        <f>IF(OR(Z$10&lt;'Torrance Inputs'!$N$40,Z$10&gt;='Torrance Inputs'!$I$18),'Torrance Inputs'!$I3*(1+'Torrance Inputs'!$N$3)^(Z$8-1),0)</f>
        <v>1287.5</v>
      </c>
      <c r="AA46" s="266">
        <f>IF(OR(AA$10&lt;'Torrance Inputs'!$N$40,AA$10&gt;='Torrance Inputs'!$I$18),'Torrance Inputs'!$I3*(1+'Torrance Inputs'!$N$3)^(AA$8-1),0)</f>
        <v>1326.125</v>
      </c>
      <c r="AB46" s="266">
        <f>IF(OR(AB$10&lt;'Torrance Inputs'!$N$40,AB$10&gt;='Torrance Inputs'!$I$18),'Torrance Inputs'!$I3*(1+'Torrance Inputs'!$N$3)^(AB$8-1),0)</f>
        <v>1326.125</v>
      </c>
      <c r="AC46" s="266">
        <f>IF(OR(AC$10&lt;'Torrance Inputs'!$N$40,AC$10&gt;='Torrance Inputs'!$I$18),'Torrance Inputs'!$I3*(1+'Torrance Inputs'!$N$3)^(AC$8-1),0)</f>
        <v>1326.125</v>
      </c>
      <c r="AD46" s="266">
        <f>IF(OR(AD$10&lt;'Torrance Inputs'!$N$40,AD$10&gt;='Torrance Inputs'!$I$18),'Torrance Inputs'!$I3*(1+'Torrance Inputs'!$N$3)^(AD$8-1),0)</f>
        <v>1326.125</v>
      </c>
      <c r="AE46" s="266">
        <f>IF(OR(AE$10&lt;'Torrance Inputs'!$N$40,AE$10&gt;='Torrance Inputs'!$I$18),'Torrance Inputs'!$I3*(1+'Torrance Inputs'!$N$3)^(AE$8-1),0)</f>
        <v>1326.125</v>
      </c>
      <c r="AF46" s="266">
        <f>IF(OR(AF$10&lt;'Torrance Inputs'!$N$40,AF$10&gt;='Torrance Inputs'!$I$18),'Torrance Inputs'!$I3*(1+'Torrance Inputs'!$N$3)^(AF$8-1),0)</f>
        <v>1326.125</v>
      </c>
      <c r="AG46" s="266">
        <f>IF(OR(AG$10&lt;'Torrance Inputs'!$N$40,AG$10&gt;='Torrance Inputs'!$I$18),'Torrance Inputs'!$I3*(1+'Torrance Inputs'!$N$3)^(AG$8-1),0)</f>
        <v>1326.125</v>
      </c>
      <c r="AH46" s="266">
        <f>IF(OR(AH$10&lt;'Torrance Inputs'!$N$40,AH$10&gt;='Torrance Inputs'!$I$18),'Torrance Inputs'!$I3*(1+'Torrance Inputs'!$N$3)^(AH$8-1),0)</f>
        <v>1326.125</v>
      </c>
      <c r="AI46" s="266">
        <f>IF(OR(AI$10&lt;'Torrance Inputs'!$N$40,AI$10&gt;='Torrance Inputs'!$I$18),'Torrance Inputs'!$I3*(1+'Torrance Inputs'!$N$3)^(AI$8-1),0)</f>
        <v>1326.125</v>
      </c>
      <c r="AJ46" s="266">
        <f>IF(OR(AJ$10&lt;'Torrance Inputs'!$N$40,AJ$10&gt;='Torrance Inputs'!$I$18),'Torrance Inputs'!$I3*(1+'Torrance Inputs'!$N$3)^(AJ$8-1),0)</f>
        <v>1326.125</v>
      </c>
      <c r="AK46" s="266">
        <f>IF(OR(AK$10&lt;'Torrance Inputs'!$N$40,AK$10&gt;='Torrance Inputs'!$I$18),'Torrance Inputs'!$I3*(1+'Torrance Inputs'!$N$3)^(AK$8-1),0)</f>
        <v>1326.125</v>
      </c>
      <c r="AL46" s="266">
        <f>IF(OR(AL$10&lt;'Torrance Inputs'!$N$40,AL$10&gt;='Torrance Inputs'!$I$18),'Torrance Inputs'!$I3*(1+'Torrance Inputs'!$N$3)^(AL$8-1),0)</f>
        <v>1326.125</v>
      </c>
      <c r="AM46" s="266">
        <f>IF(OR(AM$10&lt;'Torrance Inputs'!$N$40,AM$10&gt;='Torrance Inputs'!$I$18),'Torrance Inputs'!$I3*(1+'Torrance Inputs'!$N$3)^(AM$8-1),0)</f>
        <v>1365.9087500000001</v>
      </c>
      <c r="AN46" s="266">
        <f>IF(OR(AN$10&lt;'Torrance Inputs'!$N$40,AN$10&gt;='Torrance Inputs'!$I$18),'Torrance Inputs'!$I3*(1+'Torrance Inputs'!$N$3)^(AN$8-1),0)</f>
        <v>1365.9087500000001</v>
      </c>
      <c r="AO46" s="266">
        <f>IF(OR(AO$10&lt;'Torrance Inputs'!$N$40,AO$10&gt;='Torrance Inputs'!$I$18),'Torrance Inputs'!$I3*(1+'Torrance Inputs'!$N$3)^(AO$8-1),0)</f>
        <v>1365.9087500000001</v>
      </c>
      <c r="AP46" s="266">
        <f>IF(OR(AP$10&lt;'Torrance Inputs'!$N$40,AP$10&gt;='Torrance Inputs'!$I$18),'Torrance Inputs'!$I3*(1+'Torrance Inputs'!$N$3)^(AP$8-1),0)</f>
        <v>1365.9087500000001</v>
      </c>
      <c r="AQ46" s="266">
        <f>IF(OR(AQ$10&lt;'Torrance Inputs'!$N$40,AQ$10&gt;='Torrance Inputs'!$I$18),'Torrance Inputs'!$I3*(1+'Torrance Inputs'!$N$3)^(AQ$8-1),0)</f>
        <v>1365.9087500000001</v>
      </c>
      <c r="AR46" s="266">
        <f>IF(OR(AR$10&lt;'Torrance Inputs'!$N$40,AR$10&gt;='Torrance Inputs'!$I$18),'Torrance Inputs'!$I3*(1+'Torrance Inputs'!$N$3)^(AR$8-1),0)</f>
        <v>1365.9087500000001</v>
      </c>
      <c r="AS46" s="266">
        <f>IF(OR(AS$10&lt;'Torrance Inputs'!$N$40,AS$10&gt;='Torrance Inputs'!$I$18),'Torrance Inputs'!$I3*(1+'Torrance Inputs'!$N$3)^(AS$8-1),0)</f>
        <v>1365.9087500000001</v>
      </c>
      <c r="AT46" s="266">
        <f>IF(OR(AT$10&lt;'Torrance Inputs'!$N$40,AT$10&gt;='Torrance Inputs'!$I$18),'Torrance Inputs'!$I3*(1+'Torrance Inputs'!$N$3)^(AT$8-1),0)</f>
        <v>1365.9087500000001</v>
      </c>
      <c r="AU46" s="266">
        <f>IF(OR(AU$10&lt;'Torrance Inputs'!$N$40,AU$10&gt;='Torrance Inputs'!$I$18),'Torrance Inputs'!$I3*(1+'Torrance Inputs'!$N$3)^(AU$8-1),0)</f>
        <v>1365.9087500000001</v>
      </c>
      <c r="AV46" s="266">
        <f>IF(OR(AV$10&lt;'Torrance Inputs'!$N$40,AV$10&gt;='Torrance Inputs'!$I$18),'Torrance Inputs'!$I3*(1+'Torrance Inputs'!$N$3)^(AV$8-1),0)</f>
        <v>1365.9087500000001</v>
      </c>
      <c r="AW46" s="266">
        <f>IF(OR(AW$10&lt;'Torrance Inputs'!$N$40,AW$10&gt;='Torrance Inputs'!$I$18),'Torrance Inputs'!$I3*(1+'Torrance Inputs'!$N$3)^(AW$8-1),0)</f>
        <v>1365.9087500000001</v>
      </c>
      <c r="AX46" s="266">
        <f>IF(OR(AX$10&lt;'Torrance Inputs'!$N$40,AX$10&gt;='Torrance Inputs'!$I$18),'Torrance Inputs'!$I3*(1+'Torrance Inputs'!$N$3)^(AX$8-1),0)</f>
        <v>1365.9087500000001</v>
      </c>
      <c r="AY46" s="266">
        <f>IF(OR(AY$10&lt;'Torrance Inputs'!$N$40,AY$10&gt;='Torrance Inputs'!$I$18),'Torrance Inputs'!$I3*(1+'Torrance Inputs'!$N$3)^(AY$8-1),0)</f>
        <v>0</v>
      </c>
      <c r="AZ46" s="266">
        <f>IF(OR(AZ$10&lt;'Torrance Inputs'!$N$40,AZ$10&gt;='Torrance Inputs'!$I$18),'Torrance Inputs'!$I3*(1+'Torrance Inputs'!$N$3)^(AZ$8-1),0)</f>
        <v>0</v>
      </c>
      <c r="BA46" s="266">
        <f>IF(OR(BA$10&lt;'Torrance Inputs'!$N$40,BA$10&gt;='Torrance Inputs'!$I$18),'Torrance Inputs'!$I3*(1+'Torrance Inputs'!$N$3)^(BA$8-1),0)</f>
        <v>0</v>
      </c>
      <c r="BB46" s="266">
        <f>IF(OR(BB$10&lt;'Torrance Inputs'!$N$40,BB$10&gt;='Torrance Inputs'!$I$18),'Torrance Inputs'!$I3*(1+'Torrance Inputs'!$N$3)^(BB$8-1),0)</f>
        <v>0</v>
      </c>
      <c r="BC46" s="266">
        <f>IF(OR(BC$10&lt;'Torrance Inputs'!$N$40,BC$10&gt;='Torrance Inputs'!$I$18),'Torrance Inputs'!$I3*(1+'Torrance Inputs'!$N$3)^(BC$8-1),0)</f>
        <v>0</v>
      </c>
      <c r="BD46" s="266">
        <f>IF(OR(BD$10&lt;'Torrance Inputs'!$N$40,BD$10&gt;='Torrance Inputs'!$I$18),'Torrance Inputs'!$I3*(1+'Torrance Inputs'!$N$3)^(BD$8-1),0)</f>
        <v>0</v>
      </c>
      <c r="BE46" s="266">
        <f>IF(OR(BE$10&lt;'Torrance Inputs'!$N$40,BE$10&gt;='Torrance Inputs'!$I$18),'Torrance Inputs'!$I3*(1+'Torrance Inputs'!$N$3)^(BE$8-1),0)</f>
        <v>0</v>
      </c>
      <c r="BF46" s="266">
        <f>IF(OR(BF$10&lt;'Torrance Inputs'!$N$40,BF$10&gt;='Torrance Inputs'!$I$18),'Torrance Inputs'!$I3*(1+'Torrance Inputs'!$N$3)^(BF$8-1),0)</f>
        <v>0</v>
      </c>
      <c r="BG46" s="266">
        <f>IF(OR(BG$10&lt;'Torrance Inputs'!$N$40,BG$10&gt;='Torrance Inputs'!$I$18),'Torrance Inputs'!$I3*(1+'Torrance Inputs'!$N$3)^(BG$8-1),0)</f>
        <v>0</v>
      </c>
      <c r="BH46" s="266">
        <f>IF(OR(BH$10&lt;'Torrance Inputs'!$N$40,BH$10&gt;='Torrance Inputs'!$I$18),'Torrance Inputs'!$I3*(1+'Torrance Inputs'!$N$3)^(BH$8-1),0)</f>
        <v>0</v>
      </c>
      <c r="BI46" s="266">
        <f>IF(OR(BI$10&lt;'Torrance Inputs'!$N$40,BI$10&gt;='Torrance Inputs'!$I$18),'Torrance Inputs'!$I3*(1+'Torrance Inputs'!$N$3)^(BI$8-1),0)</f>
        <v>0</v>
      </c>
      <c r="BJ46" s="266">
        <f>IF(OR(BJ$10&lt;'Torrance Inputs'!$N$40,BJ$10&gt;='Torrance Inputs'!$I$18),'Torrance Inputs'!$I3*(1+'Torrance Inputs'!$N$3)^(BJ$8-1),0)</f>
        <v>0</v>
      </c>
      <c r="BK46" s="266">
        <f>IF(OR(BK$10&lt;'Torrance Inputs'!$N$40,BK$10&gt;='Torrance Inputs'!$I$18),'Torrance Inputs'!$I3*(1+'Torrance Inputs'!$N$3)^(BK$8-1),0)</f>
        <v>1449.0925928749998</v>
      </c>
      <c r="BL46" s="266">
        <f>IF(OR(BL$10&lt;'Torrance Inputs'!$N$40,BL$10&gt;='Torrance Inputs'!$I$18),'Torrance Inputs'!$I3*(1+'Torrance Inputs'!$N$3)^(BL$8-1),0)</f>
        <v>1449.0925928749998</v>
      </c>
      <c r="BM46" s="266">
        <f>IF(OR(BM$10&lt;'Torrance Inputs'!$N$40,BM$10&gt;='Torrance Inputs'!$I$18),'Torrance Inputs'!$I3*(1+'Torrance Inputs'!$N$3)^(BM$8-1),0)</f>
        <v>1449.0925928749998</v>
      </c>
      <c r="BN46" s="266">
        <f>IF(OR(BN$10&lt;'Torrance Inputs'!$N$40,BN$10&gt;='Torrance Inputs'!$I$18),'Torrance Inputs'!$I3*(1+'Torrance Inputs'!$N$3)^(BN$8-1),0)</f>
        <v>1449.0925928749998</v>
      </c>
      <c r="BO46" s="266">
        <f>IF(OR(BO$10&lt;'Torrance Inputs'!$N$40,BO$10&gt;='Torrance Inputs'!$I$18),'Torrance Inputs'!$I3*(1+'Torrance Inputs'!$N$3)^(BO$8-1),0)</f>
        <v>1449.0925928749998</v>
      </c>
      <c r="BP46" s="266">
        <f>IF(OR(BP$10&lt;'Torrance Inputs'!$N$40,BP$10&gt;='Torrance Inputs'!$I$18),'Torrance Inputs'!$I3*(1+'Torrance Inputs'!$N$3)^(BP$8-1),0)</f>
        <v>1449.0925928749998</v>
      </c>
      <c r="BQ46" s="266">
        <f>IF(OR(BQ$10&lt;'Torrance Inputs'!$N$40,BQ$10&gt;='Torrance Inputs'!$I$18),'Torrance Inputs'!$I3*(1+'Torrance Inputs'!$N$3)^(BQ$8-1),0)</f>
        <v>1449.0925928749998</v>
      </c>
      <c r="BR46" s="266">
        <f>IF(OR(BR$10&lt;'Torrance Inputs'!$N$40,BR$10&gt;='Torrance Inputs'!$I$18),'Torrance Inputs'!$I3*(1+'Torrance Inputs'!$N$3)^(BR$8-1),0)</f>
        <v>1449.0925928749998</v>
      </c>
      <c r="BS46" s="266">
        <f>IF(OR(BS$10&lt;'Torrance Inputs'!$N$40,BS$10&gt;='Torrance Inputs'!$I$18),'Torrance Inputs'!$I3*(1+'Torrance Inputs'!$N$3)^(BS$8-1),0)</f>
        <v>1449.0925928749998</v>
      </c>
      <c r="BT46" s="266">
        <f>IF(OR(BT$10&lt;'Torrance Inputs'!$N$40,BT$10&gt;='Torrance Inputs'!$I$18),'Torrance Inputs'!$I3*(1+'Torrance Inputs'!$N$3)^(BT$8-1),0)</f>
        <v>1449.0925928749998</v>
      </c>
      <c r="BU46" s="266">
        <f>IF(OR(BU$10&lt;'Torrance Inputs'!$N$40,BU$10&gt;='Torrance Inputs'!$I$18),'Torrance Inputs'!$I3*(1+'Torrance Inputs'!$N$3)^(BU$8-1),0)</f>
        <v>1449.0925928749998</v>
      </c>
      <c r="BV46" s="266">
        <f>IF(OR(BV$10&lt;'Torrance Inputs'!$N$40,BV$10&gt;='Torrance Inputs'!$I$18),'Torrance Inputs'!$I3*(1+'Torrance Inputs'!$N$3)^(BV$8-1),0)</f>
        <v>1449.0925928749998</v>
      </c>
      <c r="BW46" s="266">
        <f>IF(OR(BW$10&lt;'Torrance Inputs'!$N$40,BW$10&gt;='Torrance Inputs'!$I$18),'Torrance Inputs'!$I3*(1+'Torrance Inputs'!$N$3)^(BW$8-1),0)</f>
        <v>1492.56537066125</v>
      </c>
      <c r="BX46" s="266">
        <f>IF(OR(BX$10&lt;'Torrance Inputs'!$N$40,BX$10&gt;='Torrance Inputs'!$I$18),'Torrance Inputs'!$I3*(1+'Torrance Inputs'!$N$3)^(BX$8-1),0)</f>
        <v>1492.56537066125</v>
      </c>
      <c r="BY46" s="266">
        <f>IF(OR(BY$10&lt;'Torrance Inputs'!$N$40,BY$10&gt;='Torrance Inputs'!$I$18),'Torrance Inputs'!$I3*(1+'Torrance Inputs'!$N$3)^(BY$8-1),0)</f>
        <v>1492.56537066125</v>
      </c>
      <c r="BZ46" s="266">
        <f>IF(OR(BZ$10&lt;'Torrance Inputs'!$N$40,BZ$10&gt;='Torrance Inputs'!$I$18),'Torrance Inputs'!$I3*(1+'Torrance Inputs'!$N$3)^(BZ$8-1),0)</f>
        <v>1492.56537066125</v>
      </c>
      <c r="CA46" s="266">
        <f>IF(OR(CA$10&lt;'Torrance Inputs'!$N$40,CA$10&gt;='Torrance Inputs'!$I$18),'Torrance Inputs'!$I3*(1+'Torrance Inputs'!$N$3)^(CA$8-1),0)</f>
        <v>1492.56537066125</v>
      </c>
      <c r="CB46" s="266">
        <f>IF(OR(CB$10&lt;'Torrance Inputs'!$N$40,CB$10&gt;='Torrance Inputs'!$I$18),'Torrance Inputs'!$I3*(1+'Torrance Inputs'!$N$3)^(CB$8-1),0)</f>
        <v>1492.56537066125</v>
      </c>
      <c r="CC46" s="266">
        <f>IF(OR(CC$10&lt;'Torrance Inputs'!$N$40,CC$10&gt;='Torrance Inputs'!$I$18),'Torrance Inputs'!$I3*(1+'Torrance Inputs'!$N$3)^(CC$8-1),0)</f>
        <v>1492.56537066125</v>
      </c>
      <c r="CD46" s="266">
        <f>IF(OR(CD$10&lt;'Torrance Inputs'!$N$40,CD$10&gt;='Torrance Inputs'!$I$18),'Torrance Inputs'!$I3*(1+'Torrance Inputs'!$N$3)^(CD$8-1),0)</f>
        <v>1492.56537066125</v>
      </c>
      <c r="CE46" s="266">
        <f>IF(OR(CE$10&lt;'Torrance Inputs'!$N$40,CE$10&gt;='Torrance Inputs'!$I$18),'Torrance Inputs'!$I3*(1+'Torrance Inputs'!$N$3)^(CE$8-1),0)</f>
        <v>1492.56537066125</v>
      </c>
      <c r="CF46" s="266">
        <f>IF(OR(CF$10&lt;'Torrance Inputs'!$N$40,CF$10&gt;='Torrance Inputs'!$I$18),'Torrance Inputs'!$I3*(1+'Torrance Inputs'!$N$3)^(CF$8-1),0)</f>
        <v>1492.56537066125</v>
      </c>
      <c r="CG46" s="266">
        <f>IF(OR(CG$10&lt;'Torrance Inputs'!$N$40,CG$10&gt;='Torrance Inputs'!$I$18),'Torrance Inputs'!$I3*(1+'Torrance Inputs'!$N$3)^(CG$8-1),0)</f>
        <v>1492.56537066125</v>
      </c>
      <c r="CH46" s="266">
        <f>IF(OR(CH$10&lt;'Torrance Inputs'!$N$40,CH$10&gt;='Torrance Inputs'!$I$18),'Torrance Inputs'!$I3*(1+'Torrance Inputs'!$N$3)^(CH$8-1),0)</f>
        <v>1492.56537066125</v>
      </c>
      <c r="CI46" s="266">
        <f>IF(OR(CI$10&lt;'Torrance Inputs'!$N$40,CI$10&gt;='Torrance Inputs'!$I$18),'Torrance Inputs'!$I3*(1+'Torrance Inputs'!$N$3)^(CI$8-1),0)</f>
        <v>1537.3423317810875</v>
      </c>
      <c r="CJ46" s="266">
        <f>IF(OR(CJ$10&lt;'Torrance Inputs'!$N$40,CJ$10&gt;='Torrance Inputs'!$I$18),'Torrance Inputs'!$I3*(1+'Torrance Inputs'!$N$3)^(CJ$8-1),0)</f>
        <v>1537.3423317810875</v>
      </c>
      <c r="CK46" s="266">
        <f>IF(OR(CK$10&lt;'Torrance Inputs'!$N$40,CK$10&gt;='Torrance Inputs'!$I$18),'Torrance Inputs'!$I3*(1+'Torrance Inputs'!$N$3)^(CK$8-1),0)</f>
        <v>1537.3423317810875</v>
      </c>
      <c r="CL46" s="266">
        <f>IF(OR(CL$10&lt;'Torrance Inputs'!$N$40,CL$10&gt;='Torrance Inputs'!$I$18),'Torrance Inputs'!$I3*(1+'Torrance Inputs'!$N$3)^(CL$8-1),0)</f>
        <v>1537.3423317810875</v>
      </c>
      <c r="CM46" s="266">
        <f>IF(OR(CM$10&lt;'Torrance Inputs'!$N$40,CM$10&gt;='Torrance Inputs'!$I$18),'Torrance Inputs'!$I3*(1+'Torrance Inputs'!$N$3)^(CM$8-1),0)</f>
        <v>1537.3423317810875</v>
      </c>
      <c r="CN46" s="266">
        <f>IF(OR(CN$10&lt;'Torrance Inputs'!$N$40,CN$10&gt;='Torrance Inputs'!$I$18),'Torrance Inputs'!$I3*(1+'Torrance Inputs'!$N$3)^(CN$8-1),0)</f>
        <v>1537.3423317810875</v>
      </c>
      <c r="CO46" s="266">
        <f>IF(OR(CO$10&lt;'Torrance Inputs'!$N$40,CO$10&gt;='Torrance Inputs'!$I$18),'Torrance Inputs'!$I3*(1+'Torrance Inputs'!$N$3)^(CO$8-1),0)</f>
        <v>1537.3423317810875</v>
      </c>
      <c r="CP46" s="266">
        <f>IF(OR(CP$10&lt;'Torrance Inputs'!$N$40,CP$10&gt;='Torrance Inputs'!$I$18),'Torrance Inputs'!$I3*(1+'Torrance Inputs'!$N$3)^(CP$8-1),0)</f>
        <v>1537.3423317810875</v>
      </c>
      <c r="CQ46" s="266">
        <f>IF(OR(CQ$10&lt;'Torrance Inputs'!$N$40,CQ$10&gt;='Torrance Inputs'!$I$18),'Torrance Inputs'!$I3*(1+'Torrance Inputs'!$N$3)^(CQ$8-1),0)</f>
        <v>1537.3423317810875</v>
      </c>
      <c r="CR46" s="266">
        <f>IF(OR(CR$10&lt;'Torrance Inputs'!$N$40,CR$10&gt;='Torrance Inputs'!$I$18),'Torrance Inputs'!$I3*(1+'Torrance Inputs'!$N$3)^(CR$8-1),0)</f>
        <v>1537.3423317810875</v>
      </c>
      <c r="CS46" s="266">
        <f>IF(OR(CS$10&lt;'Torrance Inputs'!$N$40,CS$10&gt;='Torrance Inputs'!$I$18),'Torrance Inputs'!$I3*(1+'Torrance Inputs'!$N$3)^(CS$8-1),0)</f>
        <v>1537.3423317810875</v>
      </c>
      <c r="CT46" s="266">
        <f>IF(OR(CT$10&lt;'Torrance Inputs'!$N$40,CT$10&gt;='Torrance Inputs'!$I$18),'Torrance Inputs'!$I3*(1+'Torrance Inputs'!$N$3)^(CT$8-1),0)</f>
        <v>1537.3423317810875</v>
      </c>
      <c r="CU46" s="266">
        <f>IF(OR(CU$10&lt;'Torrance Inputs'!$N$40,CU$10&gt;='Torrance Inputs'!$I$18),'Torrance Inputs'!$I3*(1+'Torrance Inputs'!$N$3)^(CU$8-1),0)</f>
        <v>1583.4626017345199</v>
      </c>
      <c r="CV46" s="266">
        <f>IF(OR(CV$10&lt;'Torrance Inputs'!$N$40,CV$10&gt;='Torrance Inputs'!$I$18),'Torrance Inputs'!$I3*(1+'Torrance Inputs'!$N$3)^(CV$8-1),0)</f>
        <v>1583.4626017345199</v>
      </c>
      <c r="CW46" s="266">
        <f>IF(OR(CW$10&lt;'Torrance Inputs'!$N$40,CW$10&gt;='Torrance Inputs'!$I$18),'Torrance Inputs'!$I3*(1+'Torrance Inputs'!$N$3)^(CW$8-1),0)</f>
        <v>1583.4626017345199</v>
      </c>
      <c r="CX46" s="266">
        <f>IF(OR(CX$10&lt;'Torrance Inputs'!$N$40,CX$10&gt;='Torrance Inputs'!$I$18),'Torrance Inputs'!$I3*(1+'Torrance Inputs'!$N$3)^(CX$8-1),0)</f>
        <v>1583.4626017345199</v>
      </c>
      <c r="CY46" s="266">
        <f>IF(OR(CY$10&lt;'Torrance Inputs'!$N$40,CY$10&gt;='Torrance Inputs'!$I$18),'Torrance Inputs'!$I3*(1+'Torrance Inputs'!$N$3)^(CY$8-1),0)</f>
        <v>1583.4626017345199</v>
      </c>
      <c r="CZ46" s="266">
        <f>IF(OR(CZ$10&lt;'Torrance Inputs'!$N$40,CZ$10&gt;='Torrance Inputs'!$I$18),'Torrance Inputs'!$I3*(1+'Torrance Inputs'!$N$3)^(CZ$8-1),0)</f>
        <v>1583.4626017345199</v>
      </c>
      <c r="DA46" s="266">
        <f>IF(OR(DA$10&lt;'Torrance Inputs'!$N$40,DA$10&gt;='Torrance Inputs'!$I$18),'Torrance Inputs'!$I3*(1+'Torrance Inputs'!$N$3)^(DA$8-1),0)</f>
        <v>1583.4626017345199</v>
      </c>
      <c r="DB46" s="266">
        <f>IF(OR(DB$10&lt;'Torrance Inputs'!$N$40,DB$10&gt;='Torrance Inputs'!$I$18),'Torrance Inputs'!$I3*(1+'Torrance Inputs'!$N$3)^(DB$8-1),0)</f>
        <v>1583.4626017345199</v>
      </c>
      <c r="DC46" s="266">
        <f>IF(OR(DC$10&lt;'Torrance Inputs'!$N$40,DC$10&gt;='Torrance Inputs'!$I$18),'Torrance Inputs'!$I3*(1+'Torrance Inputs'!$N$3)^(DC$8-1),0)</f>
        <v>1583.4626017345199</v>
      </c>
      <c r="DD46" s="266">
        <f>IF(OR(DD$10&lt;'Torrance Inputs'!$N$40,DD$10&gt;='Torrance Inputs'!$I$18),'Torrance Inputs'!$I3*(1+'Torrance Inputs'!$N$3)^(DD$8-1),0)</f>
        <v>1583.4626017345199</v>
      </c>
      <c r="DE46" s="266">
        <f>IF(OR(DE$10&lt;'Torrance Inputs'!$N$40,DE$10&gt;='Torrance Inputs'!$I$18),'Torrance Inputs'!$I3*(1+'Torrance Inputs'!$N$3)^(DE$8-1),0)</f>
        <v>1583.4626017345199</v>
      </c>
      <c r="DF46" s="266">
        <f>IF(OR(DF$10&lt;'Torrance Inputs'!$N$40,DF$10&gt;='Torrance Inputs'!$I$18),'Torrance Inputs'!$I3*(1+'Torrance Inputs'!$N$3)^(DF$8-1),0)</f>
        <v>1583.4626017345199</v>
      </c>
      <c r="DG46" s="266">
        <f>IF(OR(DG$10&lt;'Torrance Inputs'!$N$40,DG$10&gt;='Torrance Inputs'!$I$18),'Torrance Inputs'!$I3*(1+'Torrance Inputs'!$N$3)^(DG$8-1),0)</f>
        <v>1630.9664797865555</v>
      </c>
      <c r="DH46" s="266">
        <f>IF(OR(DH$10&lt;'Torrance Inputs'!$N$40,DH$10&gt;='Torrance Inputs'!$I$18),'Torrance Inputs'!$I3*(1+'Torrance Inputs'!$N$3)^(DH$8-1),0)</f>
        <v>1630.9664797865555</v>
      </c>
      <c r="DI46" s="266">
        <f>IF(OR(DI$10&lt;'Torrance Inputs'!$N$40,DI$10&gt;='Torrance Inputs'!$I$18),'Torrance Inputs'!$I3*(1+'Torrance Inputs'!$N$3)^(DI$8-1),0)</f>
        <v>1630.9664797865555</v>
      </c>
      <c r="DJ46" s="266">
        <f>IF(OR(DJ$10&lt;'Torrance Inputs'!$N$40,DJ$10&gt;='Torrance Inputs'!$I$18),'Torrance Inputs'!$I3*(1+'Torrance Inputs'!$N$3)^(DJ$8-1),0)</f>
        <v>1630.9664797865555</v>
      </c>
      <c r="DK46" s="266">
        <f>IF(OR(DK$10&lt;'Torrance Inputs'!$N$40,DK$10&gt;='Torrance Inputs'!$I$18),'Torrance Inputs'!$I3*(1+'Torrance Inputs'!$N$3)^(DK$8-1),0)</f>
        <v>1630.9664797865555</v>
      </c>
      <c r="DL46" s="266">
        <f>IF(OR(DL$10&lt;'Torrance Inputs'!$N$40,DL$10&gt;='Torrance Inputs'!$I$18),'Torrance Inputs'!$I3*(1+'Torrance Inputs'!$N$3)^(DL$8-1),0)</f>
        <v>1630.9664797865555</v>
      </c>
      <c r="DM46" s="266">
        <f>IF(OR(DM$10&lt;'Torrance Inputs'!$N$40,DM$10&gt;='Torrance Inputs'!$I$18),'Torrance Inputs'!$I3*(1+'Torrance Inputs'!$N$3)^(DM$8-1),0)</f>
        <v>1630.9664797865555</v>
      </c>
      <c r="DN46" s="266">
        <f>IF(OR(DN$10&lt;'Torrance Inputs'!$N$40,DN$10&gt;='Torrance Inputs'!$I$18),'Torrance Inputs'!$I3*(1+'Torrance Inputs'!$N$3)^(DN$8-1),0)</f>
        <v>1630.9664797865555</v>
      </c>
      <c r="DO46" s="266">
        <f>IF(OR(DO$10&lt;'Torrance Inputs'!$N$40,DO$10&gt;='Torrance Inputs'!$I$18),'Torrance Inputs'!$I3*(1+'Torrance Inputs'!$N$3)^(DO$8-1),0)</f>
        <v>1630.9664797865555</v>
      </c>
      <c r="DP46" s="266">
        <f>IF(OR(DP$10&lt;'Torrance Inputs'!$N$40,DP$10&gt;='Torrance Inputs'!$I$18),'Torrance Inputs'!$I3*(1+'Torrance Inputs'!$N$3)^(DP$8-1),0)</f>
        <v>1630.9664797865555</v>
      </c>
      <c r="DQ46" s="266">
        <f>IF(OR(DQ$10&lt;'Torrance Inputs'!$N$40,DQ$10&gt;='Torrance Inputs'!$I$18),'Torrance Inputs'!$I3*(1+'Torrance Inputs'!$N$3)^(DQ$8-1),0)</f>
        <v>1630.9664797865555</v>
      </c>
      <c r="DR46" s="266">
        <f>IF(OR(DR$10&lt;'Torrance Inputs'!$N$40,DR$10&gt;='Torrance Inputs'!$I$18),'Torrance Inputs'!$I3*(1+'Torrance Inputs'!$N$3)^(DR$8-1),0)</f>
        <v>1630.9664797865555</v>
      </c>
      <c r="DS46" s="266">
        <f>IF(OR(DS$10&lt;'Torrance Inputs'!$N$40,DS$10&gt;='Torrance Inputs'!$I$18),'Torrance Inputs'!$I3*(1+'Torrance Inputs'!$N$3)^(DS$8-1),0)</f>
        <v>1679.8954741801522</v>
      </c>
      <c r="DT46" s="266">
        <f>IF(OR(DT$10&lt;'Torrance Inputs'!$N$40,DT$10&gt;='Torrance Inputs'!$I$18),'Torrance Inputs'!$I3*(1+'Torrance Inputs'!$N$3)^(DT$8-1),0)</f>
        <v>1679.8954741801522</v>
      </c>
      <c r="DU46" s="266">
        <f>IF(OR(DU$10&lt;'Torrance Inputs'!$N$40,DU$10&gt;='Torrance Inputs'!$I$18),'Torrance Inputs'!$I3*(1+'Torrance Inputs'!$N$3)^(DU$8-1),0)</f>
        <v>1679.8954741801522</v>
      </c>
      <c r="DV46" s="266">
        <f>IF(OR(DV$10&lt;'Torrance Inputs'!$N$40,DV$10&gt;='Torrance Inputs'!$I$18),'Torrance Inputs'!$I3*(1+'Torrance Inputs'!$N$3)^(DV$8-1),0)</f>
        <v>1679.8954741801522</v>
      </c>
      <c r="DW46" s="266">
        <f>IF(OR(DW$10&lt;'Torrance Inputs'!$N$40,DW$10&gt;='Torrance Inputs'!$I$18),'Torrance Inputs'!$I3*(1+'Torrance Inputs'!$N$3)^(DW$8-1),0)</f>
        <v>1679.8954741801522</v>
      </c>
      <c r="DX46" s="266">
        <f>IF(OR(DX$10&lt;'Torrance Inputs'!$N$40,DX$10&gt;='Torrance Inputs'!$I$18),'Torrance Inputs'!$I3*(1+'Torrance Inputs'!$N$3)^(DX$8-1),0)</f>
        <v>1679.8954741801522</v>
      </c>
      <c r="DY46" s="266">
        <f>IF(OR(DY$10&lt;'Torrance Inputs'!$N$40,DY$10&gt;='Torrance Inputs'!$I$18),'Torrance Inputs'!$I3*(1+'Torrance Inputs'!$N$3)^(DY$8-1),0)</f>
        <v>1679.8954741801522</v>
      </c>
      <c r="DZ46" s="266">
        <f>IF(OR(DZ$10&lt;'Torrance Inputs'!$N$40,DZ$10&gt;='Torrance Inputs'!$I$18),'Torrance Inputs'!$I3*(1+'Torrance Inputs'!$N$3)^(DZ$8-1),0)</f>
        <v>1679.8954741801522</v>
      </c>
      <c r="EA46" s="266">
        <f>IF(OR(EA$10&lt;'Torrance Inputs'!$N$40,EA$10&gt;='Torrance Inputs'!$I$18),'Torrance Inputs'!$I3*(1+'Torrance Inputs'!$N$3)^(EA$8-1),0)</f>
        <v>1679.8954741801522</v>
      </c>
      <c r="EB46" s="266">
        <f>IF(OR(EB$10&lt;'Torrance Inputs'!$N$40,EB$10&gt;='Torrance Inputs'!$I$18),'Torrance Inputs'!$I3*(1+'Torrance Inputs'!$N$3)^(EB$8-1),0)</f>
        <v>1679.8954741801522</v>
      </c>
      <c r="EC46" s="266">
        <f>IF(OR(EC$10&lt;'Torrance Inputs'!$N$40,EC$10&gt;='Torrance Inputs'!$I$18),'Torrance Inputs'!$I3*(1+'Torrance Inputs'!$N$3)^(EC$8-1),0)</f>
        <v>1679.8954741801522</v>
      </c>
      <c r="ED46" s="266">
        <f>IF(OR(ED$10&lt;'Torrance Inputs'!$N$40,ED$10&gt;='Torrance Inputs'!$I$18),'Torrance Inputs'!$I3*(1+'Torrance Inputs'!$N$3)^(ED$8-1),0)</f>
        <v>1679.8954741801522</v>
      </c>
    </row>
    <row r="47" spans="1:134" ht="19.149999999999999" customHeight="1" x14ac:dyDescent="0.4">
      <c r="A47" s="270" t="s">
        <v>79</v>
      </c>
      <c r="B47" s="271">
        <v>1250</v>
      </c>
      <c r="C47" s="266">
        <f>IF(OR(C$10&lt;'Torrance Inputs'!$N$40,C$10&gt;='Torrance Inputs'!$I$18),'Torrance Inputs'!$I4*(1+'Torrance Inputs'!$N$3)^(C$8-1),0)</f>
        <v>1250</v>
      </c>
      <c r="D47" s="266">
        <f>IF(OR(D$10&lt;'Torrance Inputs'!$N$40,D$10&gt;='Torrance Inputs'!$I$18),'Torrance Inputs'!$I4*(1+'Torrance Inputs'!$N$3)^(D$8-1),0)</f>
        <v>1250</v>
      </c>
      <c r="E47" s="266">
        <f>IF(OR(E$10&lt;'Torrance Inputs'!$N$40,E$10&gt;='Torrance Inputs'!$I$18),'Torrance Inputs'!$I4*(1+'Torrance Inputs'!$N$3)^(E$8-1),0)</f>
        <v>1250</v>
      </c>
      <c r="F47" s="266">
        <f>IF(OR(F$10&lt;'Torrance Inputs'!$N$40,F$10&gt;='Torrance Inputs'!$I$18),'Torrance Inputs'!$I4*(1+'Torrance Inputs'!$N$3)^(F$8-1),0)</f>
        <v>1250</v>
      </c>
      <c r="G47" s="266">
        <f>IF(OR(G$10&lt;'Torrance Inputs'!$N$40,G$10&gt;='Torrance Inputs'!$I$18),'Torrance Inputs'!$I4*(1+'Torrance Inputs'!$N$3)^(G$8-1),0)</f>
        <v>1250</v>
      </c>
      <c r="H47" s="266">
        <f>IF(OR(H$10&lt;'Torrance Inputs'!$N$40,H$10&gt;='Torrance Inputs'!$I$18),'Torrance Inputs'!$I4*(1+'Torrance Inputs'!$N$3)^(H$8-1),0)</f>
        <v>1250</v>
      </c>
      <c r="I47" s="266">
        <f>IF(OR(I$10&lt;'Torrance Inputs'!$N$40,I$10&gt;='Torrance Inputs'!$I$18),'Torrance Inputs'!$I4*(1+'Torrance Inputs'!$N$3)^(I$8-1),0)</f>
        <v>1250</v>
      </c>
      <c r="J47" s="266">
        <f>IF(OR(J$10&lt;'Torrance Inputs'!$N$40,J$10&gt;='Torrance Inputs'!$I$18),'Torrance Inputs'!$I4*(1+'Torrance Inputs'!$N$3)^(J$8-1),0)</f>
        <v>1250</v>
      </c>
      <c r="K47" s="266">
        <f>IF(OR(K$10&lt;'Torrance Inputs'!$N$40,K$10&gt;='Torrance Inputs'!$I$18),'Torrance Inputs'!$I4*(1+'Torrance Inputs'!$N$3)^(K$8-1),0)</f>
        <v>1250</v>
      </c>
      <c r="L47" s="266">
        <f>IF(OR(L$10&lt;'Torrance Inputs'!$N$40,L$10&gt;='Torrance Inputs'!$I$18),'Torrance Inputs'!$I4*(1+'Torrance Inputs'!$N$3)^(L$8-1),0)</f>
        <v>1250</v>
      </c>
      <c r="M47" s="266">
        <f>IF(OR(M$10&lt;'Torrance Inputs'!$N$40,M$10&gt;='Torrance Inputs'!$I$18),'Torrance Inputs'!$I4*(1+'Torrance Inputs'!$N$3)^(M$8-1),0)</f>
        <v>1250</v>
      </c>
      <c r="N47" s="266">
        <f>IF(OR(N$10&lt;'Torrance Inputs'!$N$40,N$10&gt;='Torrance Inputs'!$I$18),'Torrance Inputs'!$I4*(1+'Torrance Inputs'!$N$3)^(N$8-1),0)</f>
        <v>1250</v>
      </c>
      <c r="O47" s="266">
        <f>IF(OR(O$10&lt;'Torrance Inputs'!$N$40,O$10&gt;='Torrance Inputs'!$I$18),'Torrance Inputs'!$I4*(1+'Torrance Inputs'!$N$3)^(O$8-1),0)</f>
        <v>1287.5</v>
      </c>
      <c r="P47" s="266">
        <f>IF(OR(P$10&lt;'Torrance Inputs'!$N$40,P$10&gt;='Torrance Inputs'!$I$18),'Torrance Inputs'!$I4*(1+'Torrance Inputs'!$N$3)^(P$8-1),0)</f>
        <v>1287.5</v>
      </c>
      <c r="Q47" s="266">
        <f>IF(OR(Q$10&lt;'Torrance Inputs'!$N$40,Q$10&gt;='Torrance Inputs'!$I$18),'Torrance Inputs'!$I4*(1+'Torrance Inputs'!$N$3)^(Q$8-1),0)</f>
        <v>1287.5</v>
      </c>
      <c r="R47" s="266">
        <f>IF(OR(R$10&lt;'Torrance Inputs'!$N$40,R$10&gt;='Torrance Inputs'!$I$18),'Torrance Inputs'!$I4*(1+'Torrance Inputs'!$N$3)^(R$8-1),0)</f>
        <v>1287.5</v>
      </c>
      <c r="S47" s="266">
        <f>IF(OR(S$10&lt;'Torrance Inputs'!$N$40,S$10&gt;='Torrance Inputs'!$I$18),'Torrance Inputs'!$I4*(1+'Torrance Inputs'!$N$3)^(S$8-1),0)</f>
        <v>1287.5</v>
      </c>
      <c r="T47" s="266">
        <f>IF(OR(T$10&lt;'Torrance Inputs'!$N$40,T$10&gt;='Torrance Inputs'!$I$18),'Torrance Inputs'!$I4*(1+'Torrance Inputs'!$N$3)^(T$8-1),0)</f>
        <v>1287.5</v>
      </c>
      <c r="U47" s="266">
        <f>IF(OR(U$10&lt;'Torrance Inputs'!$N$40,U$10&gt;='Torrance Inputs'!$I$18),'Torrance Inputs'!$I4*(1+'Torrance Inputs'!$N$3)^(U$8-1),0)</f>
        <v>1287.5</v>
      </c>
      <c r="V47" s="266">
        <f>IF(OR(V$10&lt;'Torrance Inputs'!$N$40,V$10&gt;='Torrance Inputs'!$I$18),'Torrance Inputs'!$I4*(1+'Torrance Inputs'!$N$3)^(V$8-1),0)</f>
        <v>1287.5</v>
      </c>
      <c r="W47" s="266">
        <f>IF(OR(W$10&lt;'Torrance Inputs'!$N$40,W$10&gt;='Torrance Inputs'!$I$18),'Torrance Inputs'!$I4*(1+'Torrance Inputs'!$N$3)^(W$8-1),0)</f>
        <v>1287.5</v>
      </c>
      <c r="X47" s="266">
        <f>IF(OR(X$10&lt;'Torrance Inputs'!$N$40,X$10&gt;='Torrance Inputs'!$I$18),'Torrance Inputs'!$I4*(1+'Torrance Inputs'!$N$3)^(X$8-1),0)</f>
        <v>1287.5</v>
      </c>
      <c r="Y47" s="266">
        <f>IF(OR(Y$10&lt;'Torrance Inputs'!$N$40,Y$10&gt;='Torrance Inputs'!$I$18),'Torrance Inputs'!$I4*(1+'Torrance Inputs'!$N$3)^(Y$8-1),0)</f>
        <v>1287.5</v>
      </c>
      <c r="Z47" s="266">
        <f>IF(OR(Z$10&lt;'Torrance Inputs'!$N$40,Z$10&gt;='Torrance Inputs'!$I$18),'Torrance Inputs'!$I4*(1+'Torrance Inputs'!$N$3)^(Z$8-1),0)</f>
        <v>1287.5</v>
      </c>
      <c r="AA47" s="266">
        <f>IF(OR(AA$10&lt;'Torrance Inputs'!$N$40,AA$10&gt;='Torrance Inputs'!$I$18),'Torrance Inputs'!$I4*(1+'Torrance Inputs'!$N$3)^(AA$8-1),0)</f>
        <v>1326.125</v>
      </c>
      <c r="AB47" s="266">
        <f>IF(OR(AB$10&lt;'Torrance Inputs'!$N$40,AB$10&gt;='Torrance Inputs'!$I$18),'Torrance Inputs'!$I4*(1+'Torrance Inputs'!$N$3)^(AB$8-1),0)</f>
        <v>1326.125</v>
      </c>
      <c r="AC47" s="266">
        <f>IF(OR(AC$10&lt;'Torrance Inputs'!$N$40,AC$10&gt;='Torrance Inputs'!$I$18),'Torrance Inputs'!$I4*(1+'Torrance Inputs'!$N$3)^(AC$8-1),0)</f>
        <v>1326.125</v>
      </c>
      <c r="AD47" s="266">
        <f>IF(OR(AD$10&lt;'Torrance Inputs'!$N$40,AD$10&gt;='Torrance Inputs'!$I$18),'Torrance Inputs'!$I4*(1+'Torrance Inputs'!$N$3)^(AD$8-1),0)</f>
        <v>1326.125</v>
      </c>
      <c r="AE47" s="266">
        <f>IF(OR(AE$10&lt;'Torrance Inputs'!$N$40,AE$10&gt;='Torrance Inputs'!$I$18),'Torrance Inputs'!$I4*(1+'Torrance Inputs'!$N$3)^(AE$8-1),0)</f>
        <v>1326.125</v>
      </c>
      <c r="AF47" s="266">
        <f>IF(OR(AF$10&lt;'Torrance Inputs'!$N$40,AF$10&gt;='Torrance Inputs'!$I$18),'Torrance Inputs'!$I4*(1+'Torrance Inputs'!$N$3)^(AF$8-1),0)</f>
        <v>1326.125</v>
      </c>
      <c r="AG47" s="266">
        <f>IF(OR(AG$10&lt;'Torrance Inputs'!$N$40,AG$10&gt;='Torrance Inputs'!$I$18),'Torrance Inputs'!$I4*(1+'Torrance Inputs'!$N$3)^(AG$8-1),0)</f>
        <v>1326.125</v>
      </c>
      <c r="AH47" s="266">
        <f>IF(OR(AH$10&lt;'Torrance Inputs'!$N$40,AH$10&gt;='Torrance Inputs'!$I$18),'Torrance Inputs'!$I4*(1+'Torrance Inputs'!$N$3)^(AH$8-1),0)</f>
        <v>1326.125</v>
      </c>
      <c r="AI47" s="266">
        <f>IF(OR(AI$10&lt;'Torrance Inputs'!$N$40,AI$10&gt;='Torrance Inputs'!$I$18),'Torrance Inputs'!$I4*(1+'Torrance Inputs'!$N$3)^(AI$8-1),0)</f>
        <v>1326.125</v>
      </c>
      <c r="AJ47" s="266">
        <f>IF(OR(AJ$10&lt;'Torrance Inputs'!$N$40,AJ$10&gt;='Torrance Inputs'!$I$18),'Torrance Inputs'!$I4*(1+'Torrance Inputs'!$N$3)^(AJ$8-1),0)</f>
        <v>1326.125</v>
      </c>
      <c r="AK47" s="266">
        <f>IF(OR(AK$10&lt;'Torrance Inputs'!$N$40,AK$10&gt;='Torrance Inputs'!$I$18),'Torrance Inputs'!$I4*(1+'Torrance Inputs'!$N$3)^(AK$8-1),0)</f>
        <v>1326.125</v>
      </c>
      <c r="AL47" s="266">
        <f>IF(OR(AL$10&lt;'Torrance Inputs'!$N$40,AL$10&gt;='Torrance Inputs'!$I$18),'Torrance Inputs'!$I4*(1+'Torrance Inputs'!$N$3)^(AL$8-1),0)</f>
        <v>1326.125</v>
      </c>
      <c r="AM47" s="266">
        <f>IF(OR(AM$10&lt;'Torrance Inputs'!$N$40,AM$10&gt;='Torrance Inputs'!$I$18),'Torrance Inputs'!$I4*(1+'Torrance Inputs'!$N$3)^(AM$8-1),0)</f>
        <v>1365.9087500000001</v>
      </c>
      <c r="AN47" s="266">
        <f>IF(OR(AN$10&lt;'Torrance Inputs'!$N$40,AN$10&gt;='Torrance Inputs'!$I$18),'Torrance Inputs'!$I4*(1+'Torrance Inputs'!$N$3)^(AN$8-1),0)</f>
        <v>1365.9087500000001</v>
      </c>
      <c r="AO47" s="266">
        <f>IF(OR(AO$10&lt;'Torrance Inputs'!$N$40,AO$10&gt;='Torrance Inputs'!$I$18),'Torrance Inputs'!$I4*(1+'Torrance Inputs'!$N$3)^(AO$8-1),0)</f>
        <v>1365.9087500000001</v>
      </c>
      <c r="AP47" s="266">
        <f>IF(OR(AP$10&lt;'Torrance Inputs'!$N$40,AP$10&gt;='Torrance Inputs'!$I$18),'Torrance Inputs'!$I4*(1+'Torrance Inputs'!$N$3)^(AP$8-1),0)</f>
        <v>1365.9087500000001</v>
      </c>
      <c r="AQ47" s="266">
        <f>IF(OR(AQ$10&lt;'Torrance Inputs'!$N$40,AQ$10&gt;='Torrance Inputs'!$I$18),'Torrance Inputs'!$I4*(1+'Torrance Inputs'!$N$3)^(AQ$8-1),0)</f>
        <v>1365.9087500000001</v>
      </c>
      <c r="AR47" s="266">
        <f>IF(OR(AR$10&lt;'Torrance Inputs'!$N$40,AR$10&gt;='Torrance Inputs'!$I$18),'Torrance Inputs'!$I4*(1+'Torrance Inputs'!$N$3)^(AR$8-1),0)</f>
        <v>1365.9087500000001</v>
      </c>
      <c r="AS47" s="266">
        <f>IF(OR(AS$10&lt;'Torrance Inputs'!$N$40,AS$10&gt;='Torrance Inputs'!$I$18),'Torrance Inputs'!$I4*(1+'Torrance Inputs'!$N$3)^(AS$8-1),0)</f>
        <v>1365.9087500000001</v>
      </c>
      <c r="AT47" s="266">
        <f>IF(OR(AT$10&lt;'Torrance Inputs'!$N$40,AT$10&gt;='Torrance Inputs'!$I$18),'Torrance Inputs'!$I4*(1+'Torrance Inputs'!$N$3)^(AT$8-1),0)</f>
        <v>1365.9087500000001</v>
      </c>
      <c r="AU47" s="266">
        <f>IF(OR(AU$10&lt;'Torrance Inputs'!$N$40,AU$10&gt;='Torrance Inputs'!$I$18),'Torrance Inputs'!$I4*(1+'Torrance Inputs'!$N$3)^(AU$8-1),0)</f>
        <v>1365.9087500000001</v>
      </c>
      <c r="AV47" s="266">
        <f>IF(OR(AV$10&lt;'Torrance Inputs'!$N$40,AV$10&gt;='Torrance Inputs'!$I$18),'Torrance Inputs'!$I4*(1+'Torrance Inputs'!$N$3)^(AV$8-1),0)</f>
        <v>1365.9087500000001</v>
      </c>
      <c r="AW47" s="266">
        <f>IF(OR(AW$10&lt;'Torrance Inputs'!$N$40,AW$10&gt;='Torrance Inputs'!$I$18),'Torrance Inputs'!$I4*(1+'Torrance Inputs'!$N$3)^(AW$8-1),0)</f>
        <v>1365.9087500000001</v>
      </c>
      <c r="AX47" s="266">
        <f>IF(OR(AX$10&lt;'Torrance Inputs'!$N$40,AX$10&gt;='Torrance Inputs'!$I$18),'Torrance Inputs'!$I4*(1+'Torrance Inputs'!$N$3)^(AX$8-1),0)</f>
        <v>1365.9087500000001</v>
      </c>
      <c r="AY47" s="266">
        <f>IF(OR(AY$10&lt;'Torrance Inputs'!$N$40,AY$10&gt;='Torrance Inputs'!$I$18),'Torrance Inputs'!$I4*(1+'Torrance Inputs'!$N$3)^(AY$8-1),0)</f>
        <v>0</v>
      </c>
      <c r="AZ47" s="266">
        <f>IF(OR(AZ$10&lt;'Torrance Inputs'!$N$40,AZ$10&gt;='Torrance Inputs'!$I$18),'Torrance Inputs'!$I4*(1+'Torrance Inputs'!$N$3)^(AZ$8-1),0)</f>
        <v>0</v>
      </c>
      <c r="BA47" s="266">
        <f>IF(OR(BA$10&lt;'Torrance Inputs'!$N$40,BA$10&gt;='Torrance Inputs'!$I$18),'Torrance Inputs'!$I4*(1+'Torrance Inputs'!$N$3)^(BA$8-1),0)</f>
        <v>0</v>
      </c>
      <c r="BB47" s="266">
        <f>IF(OR(BB$10&lt;'Torrance Inputs'!$N$40,BB$10&gt;='Torrance Inputs'!$I$18),'Torrance Inputs'!$I4*(1+'Torrance Inputs'!$N$3)^(BB$8-1),0)</f>
        <v>0</v>
      </c>
      <c r="BC47" s="266">
        <f>IF(OR(BC$10&lt;'Torrance Inputs'!$N$40,BC$10&gt;='Torrance Inputs'!$I$18),'Torrance Inputs'!$I4*(1+'Torrance Inputs'!$N$3)^(BC$8-1),0)</f>
        <v>0</v>
      </c>
      <c r="BD47" s="266">
        <f>IF(OR(BD$10&lt;'Torrance Inputs'!$N$40,BD$10&gt;='Torrance Inputs'!$I$18),'Torrance Inputs'!$I4*(1+'Torrance Inputs'!$N$3)^(BD$8-1),0)</f>
        <v>0</v>
      </c>
      <c r="BE47" s="266">
        <f>IF(OR(BE$10&lt;'Torrance Inputs'!$N$40,BE$10&gt;='Torrance Inputs'!$I$18),'Torrance Inputs'!$I4*(1+'Torrance Inputs'!$N$3)^(BE$8-1),0)</f>
        <v>0</v>
      </c>
      <c r="BF47" s="266">
        <f>IF(OR(BF$10&lt;'Torrance Inputs'!$N$40,BF$10&gt;='Torrance Inputs'!$I$18),'Torrance Inputs'!$I4*(1+'Torrance Inputs'!$N$3)^(BF$8-1),0)</f>
        <v>0</v>
      </c>
      <c r="BG47" s="266">
        <f>IF(OR(BG$10&lt;'Torrance Inputs'!$N$40,BG$10&gt;='Torrance Inputs'!$I$18),'Torrance Inputs'!$I4*(1+'Torrance Inputs'!$N$3)^(BG$8-1),0)</f>
        <v>0</v>
      </c>
      <c r="BH47" s="266">
        <f>IF(OR(BH$10&lt;'Torrance Inputs'!$N$40,BH$10&gt;='Torrance Inputs'!$I$18),'Torrance Inputs'!$I4*(1+'Torrance Inputs'!$N$3)^(BH$8-1),0)</f>
        <v>0</v>
      </c>
      <c r="BI47" s="266">
        <f>IF(OR(BI$10&lt;'Torrance Inputs'!$N$40,BI$10&gt;='Torrance Inputs'!$I$18),'Torrance Inputs'!$I4*(1+'Torrance Inputs'!$N$3)^(BI$8-1),0)</f>
        <v>0</v>
      </c>
      <c r="BJ47" s="266">
        <f>IF(OR(BJ$10&lt;'Torrance Inputs'!$N$40,BJ$10&gt;='Torrance Inputs'!$I$18),'Torrance Inputs'!$I4*(1+'Torrance Inputs'!$N$3)^(BJ$8-1),0)</f>
        <v>0</v>
      </c>
      <c r="BK47" s="266">
        <f>IF(OR(BK$10&lt;'Torrance Inputs'!$N$40,BK$10&gt;='Torrance Inputs'!$I$18),'Torrance Inputs'!$I4*(1+'Torrance Inputs'!$N$3)^(BK$8-1),0)</f>
        <v>1449.0925928749998</v>
      </c>
      <c r="BL47" s="266">
        <f>IF(OR(BL$10&lt;'Torrance Inputs'!$N$40,BL$10&gt;='Torrance Inputs'!$I$18),'Torrance Inputs'!$I4*(1+'Torrance Inputs'!$N$3)^(BL$8-1),0)</f>
        <v>1449.0925928749998</v>
      </c>
      <c r="BM47" s="266">
        <f>IF(OR(BM$10&lt;'Torrance Inputs'!$N$40,BM$10&gt;='Torrance Inputs'!$I$18),'Torrance Inputs'!$I4*(1+'Torrance Inputs'!$N$3)^(BM$8-1),0)</f>
        <v>1449.0925928749998</v>
      </c>
      <c r="BN47" s="266">
        <f>IF(OR(BN$10&lt;'Torrance Inputs'!$N$40,BN$10&gt;='Torrance Inputs'!$I$18),'Torrance Inputs'!$I4*(1+'Torrance Inputs'!$N$3)^(BN$8-1),0)</f>
        <v>1449.0925928749998</v>
      </c>
      <c r="BO47" s="266">
        <f>IF(OR(BO$10&lt;'Torrance Inputs'!$N$40,BO$10&gt;='Torrance Inputs'!$I$18),'Torrance Inputs'!$I4*(1+'Torrance Inputs'!$N$3)^(BO$8-1),0)</f>
        <v>1449.0925928749998</v>
      </c>
      <c r="BP47" s="266">
        <f>IF(OR(BP$10&lt;'Torrance Inputs'!$N$40,BP$10&gt;='Torrance Inputs'!$I$18),'Torrance Inputs'!$I4*(1+'Torrance Inputs'!$N$3)^(BP$8-1),0)</f>
        <v>1449.0925928749998</v>
      </c>
      <c r="BQ47" s="266">
        <f>IF(OR(BQ$10&lt;'Torrance Inputs'!$N$40,BQ$10&gt;='Torrance Inputs'!$I$18),'Torrance Inputs'!$I4*(1+'Torrance Inputs'!$N$3)^(BQ$8-1),0)</f>
        <v>1449.0925928749998</v>
      </c>
      <c r="BR47" s="266">
        <f>IF(OR(BR$10&lt;'Torrance Inputs'!$N$40,BR$10&gt;='Torrance Inputs'!$I$18),'Torrance Inputs'!$I4*(1+'Torrance Inputs'!$N$3)^(BR$8-1),0)</f>
        <v>1449.0925928749998</v>
      </c>
      <c r="BS47" s="266">
        <f>IF(OR(BS$10&lt;'Torrance Inputs'!$N$40,BS$10&gt;='Torrance Inputs'!$I$18),'Torrance Inputs'!$I4*(1+'Torrance Inputs'!$N$3)^(BS$8-1),0)</f>
        <v>1449.0925928749998</v>
      </c>
      <c r="BT47" s="266">
        <f>IF(OR(BT$10&lt;'Torrance Inputs'!$N$40,BT$10&gt;='Torrance Inputs'!$I$18),'Torrance Inputs'!$I4*(1+'Torrance Inputs'!$N$3)^(BT$8-1),0)</f>
        <v>1449.0925928749998</v>
      </c>
      <c r="BU47" s="266">
        <f>IF(OR(BU$10&lt;'Torrance Inputs'!$N$40,BU$10&gt;='Torrance Inputs'!$I$18),'Torrance Inputs'!$I4*(1+'Torrance Inputs'!$N$3)^(BU$8-1),0)</f>
        <v>1449.0925928749998</v>
      </c>
      <c r="BV47" s="266">
        <f>IF(OR(BV$10&lt;'Torrance Inputs'!$N$40,BV$10&gt;='Torrance Inputs'!$I$18),'Torrance Inputs'!$I4*(1+'Torrance Inputs'!$N$3)^(BV$8-1),0)</f>
        <v>1449.0925928749998</v>
      </c>
      <c r="BW47" s="266">
        <f>IF(OR(BW$10&lt;'Torrance Inputs'!$N$40,BW$10&gt;='Torrance Inputs'!$I$18),'Torrance Inputs'!$I4*(1+'Torrance Inputs'!$N$3)^(BW$8-1),0)</f>
        <v>1492.56537066125</v>
      </c>
      <c r="BX47" s="266">
        <f>IF(OR(BX$10&lt;'Torrance Inputs'!$N$40,BX$10&gt;='Torrance Inputs'!$I$18),'Torrance Inputs'!$I4*(1+'Torrance Inputs'!$N$3)^(BX$8-1),0)</f>
        <v>1492.56537066125</v>
      </c>
      <c r="BY47" s="266">
        <f>IF(OR(BY$10&lt;'Torrance Inputs'!$N$40,BY$10&gt;='Torrance Inputs'!$I$18),'Torrance Inputs'!$I4*(1+'Torrance Inputs'!$N$3)^(BY$8-1),0)</f>
        <v>1492.56537066125</v>
      </c>
      <c r="BZ47" s="266">
        <f>IF(OR(BZ$10&lt;'Torrance Inputs'!$N$40,BZ$10&gt;='Torrance Inputs'!$I$18),'Torrance Inputs'!$I4*(1+'Torrance Inputs'!$N$3)^(BZ$8-1),0)</f>
        <v>1492.56537066125</v>
      </c>
      <c r="CA47" s="266">
        <f>IF(OR(CA$10&lt;'Torrance Inputs'!$N$40,CA$10&gt;='Torrance Inputs'!$I$18),'Torrance Inputs'!$I4*(1+'Torrance Inputs'!$N$3)^(CA$8-1),0)</f>
        <v>1492.56537066125</v>
      </c>
      <c r="CB47" s="266">
        <f>IF(OR(CB$10&lt;'Torrance Inputs'!$N$40,CB$10&gt;='Torrance Inputs'!$I$18),'Torrance Inputs'!$I4*(1+'Torrance Inputs'!$N$3)^(CB$8-1),0)</f>
        <v>1492.56537066125</v>
      </c>
      <c r="CC47" s="266">
        <f>IF(OR(CC$10&lt;'Torrance Inputs'!$N$40,CC$10&gt;='Torrance Inputs'!$I$18),'Torrance Inputs'!$I4*(1+'Torrance Inputs'!$N$3)^(CC$8-1),0)</f>
        <v>1492.56537066125</v>
      </c>
      <c r="CD47" s="266">
        <f>IF(OR(CD$10&lt;'Torrance Inputs'!$N$40,CD$10&gt;='Torrance Inputs'!$I$18),'Torrance Inputs'!$I4*(1+'Torrance Inputs'!$N$3)^(CD$8-1),0)</f>
        <v>1492.56537066125</v>
      </c>
      <c r="CE47" s="266">
        <f>IF(OR(CE$10&lt;'Torrance Inputs'!$N$40,CE$10&gt;='Torrance Inputs'!$I$18),'Torrance Inputs'!$I4*(1+'Torrance Inputs'!$N$3)^(CE$8-1),0)</f>
        <v>1492.56537066125</v>
      </c>
      <c r="CF47" s="266">
        <f>IF(OR(CF$10&lt;'Torrance Inputs'!$N$40,CF$10&gt;='Torrance Inputs'!$I$18),'Torrance Inputs'!$I4*(1+'Torrance Inputs'!$N$3)^(CF$8-1),0)</f>
        <v>1492.56537066125</v>
      </c>
      <c r="CG47" s="266">
        <f>IF(OR(CG$10&lt;'Torrance Inputs'!$N$40,CG$10&gt;='Torrance Inputs'!$I$18),'Torrance Inputs'!$I4*(1+'Torrance Inputs'!$N$3)^(CG$8-1),0)</f>
        <v>1492.56537066125</v>
      </c>
      <c r="CH47" s="266">
        <f>IF(OR(CH$10&lt;'Torrance Inputs'!$N$40,CH$10&gt;='Torrance Inputs'!$I$18),'Torrance Inputs'!$I4*(1+'Torrance Inputs'!$N$3)^(CH$8-1),0)</f>
        <v>1492.56537066125</v>
      </c>
      <c r="CI47" s="266">
        <f>IF(OR(CI$10&lt;'Torrance Inputs'!$N$40,CI$10&gt;='Torrance Inputs'!$I$18),'Torrance Inputs'!$I4*(1+'Torrance Inputs'!$N$3)^(CI$8-1),0)</f>
        <v>1537.3423317810875</v>
      </c>
      <c r="CJ47" s="266">
        <f>IF(OR(CJ$10&lt;'Torrance Inputs'!$N$40,CJ$10&gt;='Torrance Inputs'!$I$18),'Torrance Inputs'!$I4*(1+'Torrance Inputs'!$N$3)^(CJ$8-1),0)</f>
        <v>1537.3423317810875</v>
      </c>
      <c r="CK47" s="266">
        <f>IF(OR(CK$10&lt;'Torrance Inputs'!$N$40,CK$10&gt;='Torrance Inputs'!$I$18),'Torrance Inputs'!$I4*(1+'Torrance Inputs'!$N$3)^(CK$8-1),0)</f>
        <v>1537.3423317810875</v>
      </c>
      <c r="CL47" s="266">
        <f>IF(OR(CL$10&lt;'Torrance Inputs'!$N$40,CL$10&gt;='Torrance Inputs'!$I$18),'Torrance Inputs'!$I4*(1+'Torrance Inputs'!$N$3)^(CL$8-1),0)</f>
        <v>1537.3423317810875</v>
      </c>
      <c r="CM47" s="266">
        <f>IF(OR(CM$10&lt;'Torrance Inputs'!$N$40,CM$10&gt;='Torrance Inputs'!$I$18),'Torrance Inputs'!$I4*(1+'Torrance Inputs'!$N$3)^(CM$8-1),0)</f>
        <v>1537.3423317810875</v>
      </c>
      <c r="CN47" s="266">
        <f>IF(OR(CN$10&lt;'Torrance Inputs'!$N$40,CN$10&gt;='Torrance Inputs'!$I$18),'Torrance Inputs'!$I4*(1+'Torrance Inputs'!$N$3)^(CN$8-1),0)</f>
        <v>1537.3423317810875</v>
      </c>
      <c r="CO47" s="266">
        <f>IF(OR(CO$10&lt;'Torrance Inputs'!$N$40,CO$10&gt;='Torrance Inputs'!$I$18),'Torrance Inputs'!$I4*(1+'Torrance Inputs'!$N$3)^(CO$8-1),0)</f>
        <v>1537.3423317810875</v>
      </c>
      <c r="CP47" s="266">
        <f>IF(OR(CP$10&lt;'Torrance Inputs'!$N$40,CP$10&gt;='Torrance Inputs'!$I$18),'Torrance Inputs'!$I4*(1+'Torrance Inputs'!$N$3)^(CP$8-1),0)</f>
        <v>1537.3423317810875</v>
      </c>
      <c r="CQ47" s="266">
        <f>IF(OR(CQ$10&lt;'Torrance Inputs'!$N$40,CQ$10&gt;='Torrance Inputs'!$I$18),'Torrance Inputs'!$I4*(1+'Torrance Inputs'!$N$3)^(CQ$8-1),0)</f>
        <v>1537.3423317810875</v>
      </c>
      <c r="CR47" s="266">
        <f>IF(OR(CR$10&lt;'Torrance Inputs'!$N$40,CR$10&gt;='Torrance Inputs'!$I$18),'Torrance Inputs'!$I4*(1+'Torrance Inputs'!$N$3)^(CR$8-1),0)</f>
        <v>1537.3423317810875</v>
      </c>
      <c r="CS47" s="266">
        <f>IF(OR(CS$10&lt;'Torrance Inputs'!$N$40,CS$10&gt;='Torrance Inputs'!$I$18),'Torrance Inputs'!$I4*(1+'Torrance Inputs'!$N$3)^(CS$8-1),0)</f>
        <v>1537.3423317810875</v>
      </c>
      <c r="CT47" s="266">
        <f>IF(OR(CT$10&lt;'Torrance Inputs'!$N$40,CT$10&gt;='Torrance Inputs'!$I$18),'Torrance Inputs'!$I4*(1+'Torrance Inputs'!$N$3)^(CT$8-1),0)</f>
        <v>1537.3423317810875</v>
      </c>
      <c r="CU47" s="266">
        <f>IF(OR(CU$10&lt;'Torrance Inputs'!$N$40,CU$10&gt;='Torrance Inputs'!$I$18),'Torrance Inputs'!$I4*(1+'Torrance Inputs'!$N$3)^(CU$8-1),0)</f>
        <v>1583.4626017345199</v>
      </c>
      <c r="CV47" s="266">
        <f>IF(OR(CV$10&lt;'Torrance Inputs'!$N$40,CV$10&gt;='Torrance Inputs'!$I$18),'Torrance Inputs'!$I4*(1+'Torrance Inputs'!$N$3)^(CV$8-1),0)</f>
        <v>1583.4626017345199</v>
      </c>
      <c r="CW47" s="266">
        <f>IF(OR(CW$10&lt;'Torrance Inputs'!$N$40,CW$10&gt;='Torrance Inputs'!$I$18),'Torrance Inputs'!$I4*(1+'Torrance Inputs'!$N$3)^(CW$8-1),0)</f>
        <v>1583.4626017345199</v>
      </c>
      <c r="CX47" s="266">
        <f>IF(OR(CX$10&lt;'Torrance Inputs'!$N$40,CX$10&gt;='Torrance Inputs'!$I$18),'Torrance Inputs'!$I4*(1+'Torrance Inputs'!$N$3)^(CX$8-1),0)</f>
        <v>1583.4626017345199</v>
      </c>
      <c r="CY47" s="266">
        <f>IF(OR(CY$10&lt;'Torrance Inputs'!$N$40,CY$10&gt;='Torrance Inputs'!$I$18),'Torrance Inputs'!$I4*(1+'Torrance Inputs'!$N$3)^(CY$8-1),0)</f>
        <v>1583.4626017345199</v>
      </c>
      <c r="CZ47" s="266">
        <f>IF(OR(CZ$10&lt;'Torrance Inputs'!$N$40,CZ$10&gt;='Torrance Inputs'!$I$18),'Torrance Inputs'!$I4*(1+'Torrance Inputs'!$N$3)^(CZ$8-1),0)</f>
        <v>1583.4626017345199</v>
      </c>
      <c r="DA47" s="266">
        <f>IF(OR(DA$10&lt;'Torrance Inputs'!$N$40,DA$10&gt;='Torrance Inputs'!$I$18),'Torrance Inputs'!$I4*(1+'Torrance Inputs'!$N$3)^(DA$8-1),0)</f>
        <v>1583.4626017345199</v>
      </c>
      <c r="DB47" s="266">
        <f>IF(OR(DB$10&lt;'Torrance Inputs'!$N$40,DB$10&gt;='Torrance Inputs'!$I$18),'Torrance Inputs'!$I4*(1+'Torrance Inputs'!$N$3)^(DB$8-1),0)</f>
        <v>1583.4626017345199</v>
      </c>
      <c r="DC47" s="266">
        <f>IF(OR(DC$10&lt;'Torrance Inputs'!$N$40,DC$10&gt;='Torrance Inputs'!$I$18),'Torrance Inputs'!$I4*(1+'Torrance Inputs'!$N$3)^(DC$8-1),0)</f>
        <v>1583.4626017345199</v>
      </c>
      <c r="DD47" s="266">
        <f>IF(OR(DD$10&lt;'Torrance Inputs'!$N$40,DD$10&gt;='Torrance Inputs'!$I$18),'Torrance Inputs'!$I4*(1+'Torrance Inputs'!$N$3)^(DD$8-1),0)</f>
        <v>1583.4626017345199</v>
      </c>
      <c r="DE47" s="266">
        <f>IF(OR(DE$10&lt;'Torrance Inputs'!$N$40,DE$10&gt;='Torrance Inputs'!$I$18),'Torrance Inputs'!$I4*(1+'Torrance Inputs'!$N$3)^(DE$8-1),0)</f>
        <v>1583.4626017345199</v>
      </c>
      <c r="DF47" s="266">
        <f>IF(OR(DF$10&lt;'Torrance Inputs'!$N$40,DF$10&gt;='Torrance Inputs'!$I$18),'Torrance Inputs'!$I4*(1+'Torrance Inputs'!$N$3)^(DF$8-1),0)</f>
        <v>1583.4626017345199</v>
      </c>
      <c r="DG47" s="266">
        <f>IF(OR(DG$10&lt;'Torrance Inputs'!$N$40,DG$10&gt;='Torrance Inputs'!$I$18),'Torrance Inputs'!$I4*(1+'Torrance Inputs'!$N$3)^(DG$8-1),0)</f>
        <v>1630.9664797865555</v>
      </c>
      <c r="DH47" s="266">
        <f>IF(OR(DH$10&lt;'Torrance Inputs'!$N$40,DH$10&gt;='Torrance Inputs'!$I$18),'Torrance Inputs'!$I4*(1+'Torrance Inputs'!$N$3)^(DH$8-1),0)</f>
        <v>1630.9664797865555</v>
      </c>
      <c r="DI47" s="266">
        <f>IF(OR(DI$10&lt;'Torrance Inputs'!$N$40,DI$10&gt;='Torrance Inputs'!$I$18),'Torrance Inputs'!$I4*(1+'Torrance Inputs'!$N$3)^(DI$8-1),0)</f>
        <v>1630.9664797865555</v>
      </c>
      <c r="DJ47" s="266">
        <f>IF(OR(DJ$10&lt;'Torrance Inputs'!$N$40,DJ$10&gt;='Torrance Inputs'!$I$18),'Torrance Inputs'!$I4*(1+'Torrance Inputs'!$N$3)^(DJ$8-1),0)</f>
        <v>1630.9664797865555</v>
      </c>
      <c r="DK47" s="266">
        <f>IF(OR(DK$10&lt;'Torrance Inputs'!$N$40,DK$10&gt;='Torrance Inputs'!$I$18),'Torrance Inputs'!$I4*(1+'Torrance Inputs'!$N$3)^(DK$8-1),0)</f>
        <v>1630.9664797865555</v>
      </c>
      <c r="DL47" s="266">
        <f>IF(OR(DL$10&lt;'Torrance Inputs'!$N$40,DL$10&gt;='Torrance Inputs'!$I$18),'Torrance Inputs'!$I4*(1+'Torrance Inputs'!$N$3)^(DL$8-1),0)</f>
        <v>1630.9664797865555</v>
      </c>
      <c r="DM47" s="266">
        <f>IF(OR(DM$10&lt;'Torrance Inputs'!$N$40,DM$10&gt;='Torrance Inputs'!$I$18),'Torrance Inputs'!$I4*(1+'Torrance Inputs'!$N$3)^(DM$8-1),0)</f>
        <v>1630.9664797865555</v>
      </c>
      <c r="DN47" s="266">
        <f>IF(OR(DN$10&lt;'Torrance Inputs'!$N$40,DN$10&gt;='Torrance Inputs'!$I$18),'Torrance Inputs'!$I4*(1+'Torrance Inputs'!$N$3)^(DN$8-1),0)</f>
        <v>1630.9664797865555</v>
      </c>
      <c r="DO47" s="266">
        <f>IF(OR(DO$10&lt;'Torrance Inputs'!$N$40,DO$10&gt;='Torrance Inputs'!$I$18),'Torrance Inputs'!$I4*(1+'Torrance Inputs'!$N$3)^(DO$8-1),0)</f>
        <v>1630.9664797865555</v>
      </c>
      <c r="DP47" s="266">
        <f>IF(OR(DP$10&lt;'Torrance Inputs'!$N$40,DP$10&gt;='Torrance Inputs'!$I$18),'Torrance Inputs'!$I4*(1+'Torrance Inputs'!$N$3)^(DP$8-1),0)</f>
        <v>1630.9664797865555</v>
      </c>
      <c r="DQ47" s="266">
        <f>IF(OR(DQ$10&lt;'Torrance Inputs'!$N$40,DQ$10&gt;='Torrance Inputs'!$I$18),'Torrance Inputs'!$I4*(1+'Torrance Inputs'!$N$3)^(DQ$8-1),0)</f>
        <v>1630.9664797865555</v>
      </c>
      <c r="DR47" s="266">
        <f>IF(OR(DR$10&lt;'Torrance Inputs'!$N$40,DR$10&gt;='Torrance Inputs'!$I$18),'Torrance Inputs'!$I4*(1+'Torrance Inputs'!$N$3)^(DR$8-1),0)</f>
        <v>1630.9664797865555</v>
      </c>
      <c r="DS47" s="266">
        <f>IF(OR(DS$10&lt;'Torrance Inputs'!$N$40,DS$10&gt;='Torrance Inputs'!$I$18),'Torrance Inputs'!$I4*(1+'Torrance Inputs'!$N$3)^(DS$8-1),0)</f>
        <v>1679.8954741801522</v>
      </c>
      <c r="DT47" s="266">
        <f>IF(OR(DT$10&lt;'Torrance Inputs'!$N$40,DT$10&gt;='Torrance Inputs'!$I$18),'Torrance Inputs'!$I4*(1+'Torrance Inputs'!$N$3)^(DT$8-1),0)</f>
        <v>1679.8954741801522</v>
      </c>
      <c r="DU47" s="266">
        <f>IF(OR(DU$10&lt;'Torrance Inputs'!$N$40,DU$10&gt;='Torrance Inputs'!$I$18),'Torrance Inputs'!$I4*(1+'Torrance Inputs'!$N$3)^(DU$8-1),0)</f>
        <v>1679.8954741801522</v>
      </c>
      <c r="DV47" s="266">
        <f>IF(OR(DV$10&lt;'Torrance Inputs'!$N$40,DV$10&gt;='Torrance Inputs'!$I$18),'Torrance Inputs'!$I4*(1+'Torrance Inputs'!$N$3)^(DV$8-1),0)</f>
        <v>1679.8954741801522</v>
      </c>
      <c r="DW47" s="266">
        <f>IF(OR(DW$10&lt;'Torrance Inputs'!$N$40,DW$10&gt;='Torrance Inputs'!$I$18),'Torrance Inputs'!$I4*(1+'Torrance Inputs'!$N$3)^(DW$8-1),0)</f>
        <v>1679.8954741801522</v>
      </c>
      <c r="DX47" s="266">
        <f>IF(OR(DX$10&lt;'Torrance Inputs'!$N$40,DX$10&gt;='Torrance Inputs'!$I$18),'Torrance Inputs'!$I4*(1+'Torrance Inputs'!$N$3)^(DX$8-1),0)</f>
        <v>1679.8954741801522</v>
      </c>
      <c r="DY47" s="266">
        <f>IF(OR(DY$10&lt;'Torrance Inputs'!$N$40,DY$10&gt;='Torrance Inputs'!$I$18),'Torrance Inputs'!$I4*(1+'Torrance Inputs'!$N$3)^(DY$8-1),0)</f>
        <v>1679.8954741801522</v>
      </c>
      <c r="DZ47" s="266">
        <f>IF(OR(DZ$10&lt;'Torrance Inputs'!$N$40,DZ$10&gt;='Torrance Inputs'!$I$18),'Torrance Inputs'!$I4*(1+'Torrance Inputs'!$N$3)^(DZ$8-1),0)</f>
        <v>1679.8954741801522</v>
      </c>
      <c r="EA47" s="266">
        <f>IF(OR(EA$10&lt;'Torrance Inputs'!$N$40,EA$10&gt;='Torrance Inputs'!$I$18),'Torrance Inputs'!$I4*(1+'Torrance Inputs'!$N$3)^(EA$8-1),0)</f>
        <v>1679.8954741801522</v>
      </c>
      <c r="EB47" s="266">
        <f>IF(OR(EB$10&lt;'Torrance Inputs'!$N$40,EB$10&gt;='Torrance Inputs'!$I$18),'Torrance Inputs'!$I4*(1+'Torrance Inputs'!$N$3)^(EB$8-1),0)</f>
        <v>1679.8954741801522</v>
      </c>
      <c r="EC47" s="266">
        <f>IF(OR(EC$10&lt;'Torrance Inputs'!$N$40,EC$10&gt;='Torrance Inputs'!$I$18),'Torrance Inputs'!$I4*(1+'Torrance Inputs'!$N$3)^(EC$8-1),0)</f>
        <v>1679.8954741801522</v>
      </c>
      <c r="ED47" s="266">
        <f>IF(OR(ED$10&lt;'Torrance Inputs'!$N$40,ED$10&gt;='Torrance Inputs'!$I$18),'Torrance Inputs'!$I4*(1+'Torrance Inputs'!$N$3)^(ED$8-1),0)</f>
        <v>1679.8954741801522</v>
      </c>
    </row>
    <row r="48" spans="1:134" ht="19.149999999999999" customHeight="1" x14ac:dyDescent="0.4">
      <c r="A48" s="270" t="s">
        <v>76</v>
      </c>
      <c r="B48" s="271">
        <v>417</v>
      </c>
      <c r="C48" s="266">
        <f>IF(OR(C$10&lt;'Torrance Inputs'!$N$40,C$10&gt;='Torrance Inputs'!$I$18),'Torrance Inputs'!$I5*(1+'Torrance Inputs'!$N$3)^(C$8-1),0)</f>
        <v>416.66666666666669</v>
      </c>
      <c r="D48" s="266">
        <f>IF(OR(D$10&lt;'Torrance Inputs'!$N$40,D$10&gt;='Torrance Inputs'!$I$18),'Torrance Inputs'!$I5*(1+'Torrance Inputs'!$N$3)^(D$8-1),0)</f>
        <v>416.66666666666669</v>
      </c>
      <c r="E48" s="266">
        <f>IF(OR(E$10&lt;'Torrance Inputs'!$N$40,E$10&gt;='Torrance Inputs'!$I$18),'Torrance Inputs'!$I5*(1+'Torrance Inputs'!$N$3)^(E$8-1),0)</f>
        <v>416.66666666666669</v>
      </c>
      <c r="F48" s="266">
        <f>IF(OR(F$10&lt;'Torrance Inputs'!$N$40,F$10&gt;='Torrance Inputs'!$I$18),'Torrance Inputs'!$I5*(1+'Torrance Inputs'!$N$3)^(F$8-1),0)</f>
        <v>416.66666666666669</v>
      </c>
      <c r="G48" s="266">
        <f>IF(OR(G$10&lt;'Torrance Inputs'!$N$40,G$10&gt;='Torrance Inputs'!$I$18),'Torrance Inputs'!$I5*(1+'Torrance Inputs'!$N$3)^(G$8-1),0)</f>
        <v>416.66666666666669</v>
      </c>
      <c r="H48" s="266">
        <f>IF(OR(H$10&lt;'Torrance Inputs'!$N$40,H$10&gt;='Torrance Inputs'!$I$18),'Torrance Inputs'!$I5*(1+'Torrance Inputs'!$N$3)^(H$8-1),0)</f>
        <v>416.66666666666669</v>
      </c>
      <c r="I48" s="266">
        <f>IF(OR(I$10&lt;'Torrance Inputs'!$N$40,I$10&gt;='Torrance Inputs'!$I$18),'Torrance Inputs'!$I5*(1+'Torrance Inputs'!$N$3)^(I$8-1),0)</f>
        <v>416.66666666666669</v>
      </c>
      <c r="J48" s="266">
        <f>IF(OR(J$10&lt;'Torrance Inputs'!$N$40,J$10&gt;='Torrance Inputs'!$I$18),'Torrance Inputs'!$I5*(1+'Torrance Inputs'!$N$3)^(J$8-1),0)</f>
        <v>416.66666666666669</v>
      </c>
      <c r="K48" s="266">
        <f>IF(OR(K$10&lt;'Torrance Inputs'!$N$40,K$10&gt;='Torrance Inputs'!$I$18),'Torrance Inputs'!$I5*(1+'Torrance Inputs'!$N$3)^(K$8-1),0)</f>
        <v>416.66666666666669</v>
      </c>
      <c r="L48" s="266">
        <f>IF(OR(L$10&lt;'Torrance Inputs'!$N$40,L$10&gt;='Torrance Inputs'!$I$18),'Torrance Inputs'!$I5*(1+'Torrance Inputs'!$N$3)^(L$8-1),0)</f>
        <v>416.66666666666669</v>
      </c>
      <c r="M48" s="266">
        <f>IF(OR(M$10&lt;'Torrance Inputs'!$N$40,M$10&gt;='Torrance Inputs'!$I$18),'Torrance Inputs'!$I5*(1+'Torrance Inputs'!$N$3)^(M$8-1),0)</f>
        <v>416.66666666666669</v>
      </c>
      <c r="N48" s="266">
        <f>IF(OR(N$10&lt;'Torrance Inputs'!$N$40,N$10&gt;='Torrance Inputs'!$I$18),'Torrance Inputs'!$I5*(1+'Torrance Inputs'!$N$3)^(N$8-1),0)</f>
        <v>416.66666666666669</v>
      </c>
      <c r="O48" s="266">
        <f>IF(OR(O$10&lt;'Torrance Inputs'!$N$40,O$10&gt;='Torrance Inputs'!$I$18),'Torrance Inputs'!$I5*(1+'Torrance Inputs'!$N$3)^(O$8-1),0)</f>
        <v>429.16666666666669</v>
      </c>
      <c r="P48" s="266">
        <f>IF(OR(P$10&lt;'Torrance Inputs'!$N$40,P$10&gt;='Torrance Inputs'!$I$18),'Torrance Inputs'!$I5*(1+'Torrance Inputs'!$N$3)^(P$8-1),0)</f>
        <v>429.16666666666669</v>
      </c>
      <c r="Q48" s="266">
        <f>IF(OR(Q$10&lt;'Torrance Inputs'!$N$40,Q$10&gt;='Torrance Inputs'!$I$18),'Torrance Inputs'!$I5*(1+'Torrance Inputs'!$N$3)^(Q$8-1),0)</f>
        <v>429.16666666666669</v>
      </c>
      <c r="R48" s="266">
        <f>IF(OR(R$10&lt;'Torrance Inputs'!$N$40,R$10&gt;='Torrance Inputs'!$I$18),'Torrance Inputs'!$I5*(1+'Torrance Inputs'!$N$3)^(R$8-1),0)</f>
        <v>429.16666666666669</v>
      </c>
      <c r="S48" s="266">
        <f>IF(OR(S$10&lt;'Torrance Inputs'!$N$40,S$10&gt;='Torrance Inputs'!$I$18),'Torrance Inputs'!$I5*(1+'Torrance Inputs'!$N$3)^(S$8-1),0)</f>
        <v>429.16666666666669</v>
      </c>
      <c r="T48" s="266">
        <f>IF(OR(T$10&lt;'Torrance Inputs'!$N$40,T$10&gt;='Torrance Inputs'!$I$18),'Torrance Inputs'!$I5*(1+'Torrance Inputs'!$N$3)^(T$8-1),0)</f>
        <v>429.16666666666669</v>
      </c>
      <c r="U48" s="266">
        <f>IF(OR(U$10&lt;'Torrance Inputs'!$N$40,U$10&gt;='Torrance Inputs'!$I$18),'Torrance Inputs'!$I5*(1+'Torrance Inputs'!$N$3)^(U$8-1),0)</f>
        <v>429.16666666666669</v>
      </c>
      <c r="V48" s="266">
        <f>IF(OR(V$10&lt;'Torrance Inputs'!$N$40,V$10&gt;='Torrance Inputs'!$I$18),'Torrance Inputs'!$I5*(1+'Torrance Inputs'!$N$3)^(V$8-1),0)</f>
        <v>429.16666666666669</v>
      </c>
      <c r="W48" s="266">
        <f>IF(OR(W$10&lt;'Torrance Inputs'!$N$40,W$10&gt;='Torrance Inputs'!$I$18),'Torrance Inputs'!$I5*(1+'Torrance Inputs'!$N$3)^(W$8-1),0)</f>
        <v>429.16666666666669</v>
      </c>
      <c r="X48" s="266">
        <f>IF(OR(X$10&lt;'Torrance Inputs'!$N$40,X$10&gt;='Torrance Inputs'!$I$18),'Torrance Inputs'!$I5*(1+'Torrance Inputs'!$N$3)^(X$8-1),0)</f>
        <v>429.16666666666669</v>
      </c>
      <c r="Y48" s="266">
        <f>IF(OR(Y$10&lt;'Torrance Inputs'!$N$40,Y$10&gt;='Torrance Inputs'!$I$18),'Torrance Inputs'!$I5*(1+'Torrance Inputs'!$N$3)^(Y$8-1),0)</f>
        <v>429.16666666666669</v>
      </c>
      <c r="Z48" s="266">
        <f>IF(OR(Z$10&lt;'Torrance Inputs'!$N$40,Z$10&gt;='Torrance Inputs'!$I$18),'Torrance Inputs'!$I5*(1+'Torrance Inputs'!$N$3)^(Z$8-1),0)</f>
        <v>429.16666666666669</v>
      </c>
      <c r="AA48" s="266">
        <f>IF(OR(AA$10&lt;'Torrance Inputs'!$N$40,AA$10&gt;='Torrance Inputs'!$I$18),'Torrance Inputs'!$I5*(1+'Torrance Inputs'!$N$3)^(AA$8-1),0)</f>
        <v>442.04166666666669</v>
      </c>
      <c r="AB48" s="266">
        <f>IF(OR(AB$10&lt;'Torrance Inputs'!$N$40,AB$10&gt;='Torrance Inputs'!$I$18),'Torrance Inputs'!$I5*(1+'Torrance Inputs'!$N$3)^(AB$8-1),0)</f>
        <v>442.04166666666669</v>
      </c>
      <c r="AC48" s="266">
        <f>IF(OR(AC$10&lt;'Torrance Inputs'!$N$40,AC$10&gt;='Torrance Inputs'!$I$18),'Torrance Inputs'!$I5*(1+'Torrance Inputs'!$N$3)^(AC$8-1),0)</f>
        <v>442.04166666666669</v>
      </c>
      <c r="AD48" s="266">
        <f>IF(OR(AD$10&lt;'Torrance Inputs'!$N$40,AD$10&gt;='Torrance Inputs'!$I$18),'Torrance Inputs'!$I5*(1+'Torrance Inputs'!$N$3)^(AD$8-1),0)</f>
        <v>442.04166666666669</v>
      </c>
      <c r="AE48" s="266">
        <f>IF(OR(AE$10&lt;'Torrance Inputs'!$N$40,AE$10&gt;='Torrance Inputs'!$I$18),'Torrance Inputs'!$I5*(1+'Torrance Inputs'!$N$3)^(AE$8-1),0)</f>
        <v>442.04166666666669</v>
      </c>
      <c r="AF48" s="266">
        <f>IF(OR(AF$10&lt;'Torrance Inputs'!$N$40,AF$10&gt;='Torrance Inputs'!$I$18),'Torrance Inputs'!$I5*(1+'Torrance Inputs'!$N$3)^(AF$8-1),0)</f>
        <v>442.04166666666669</v>
      </c>
      <c r="AG48" s="266">
        <f>IF(OR(AG$10&lt;'Torrance Inputs'!$N$40,AG$10&gt;='Torrance Inputs'!$I$18),'Torrance Inputs'!$I5*(1+'Torrance Inputs'!$N$3)^(AG$8-1),0)</f>
        <v>442.04166666666669</v>
      </c>
      <c r="AH48" s="266">
        <f>IF(OR(AH$10&lt;'Torrance Inputs'!$N$40,AH$10&gt;='Torrance Inputs'!$I$18),'Torrance Inputs'!$I5*(1+'Torrance Inputs'!$N$3)^(AH$8-1),0)</f>
        <v>442.04166666666669</v>
      </c>
      <c r="AI48" s="266">
        <f>IF(OR(AI$10&lt;'Torrance Inputs'!$N$40,AI$10&gt;='Torrance Inputs'!$I$18),'Torrance Inputs'!$I5*(1+'Torrance Inputs'!$N$3)^(AI$8-1),0)</f>
        <v>442.04166666666669</v>
      </c>
      <c r="AJ48" s="266">
        <f>IF(OR(AJ$10&lt;'Torrance Inputs'!$N$40,AJ$10&gt;='Torrance Inputs'!$I$18),'Torrance Inputs'!$I5*(1+'Torrance Inputs'!$N$3)^(AJ$8-1),0)</f>
        <v>442.04166666666669</v>
      </c>
      <c r="AK48" s="266">
        <f>IF(OR(AK$10&lt;'Torrance Inputs'!$N$40,AK$10&gt;='Torrance Inputs'!$I$18),'Torrance Inputs'!$I5*(1+'Torrance Inputs'!$N$3)^(AK$8-1),0)</f>
        <v>442.04166666666669</v>
      </c>
      <c r="AL48" s="266">
        <f>IF(OR(AL$10&lt;'Torrance Inputs'!$N$40,AL$10&gt;='Torrance Inputs'!$I$18),'Torrance Inputs'!$I5*(1+'Torrance Inputs'!$N$3)^(AL$8-1),0)</f>
        <v>442.04166666666669</v>
      </c>
      <c r="AM48" s="266">
        <f>IF(OR(AM$10&lt;'Torrance Inputs'!$N$40,AM$10&gt;='Torrance Inputs'!$I$18),'Torrance Inputs'!$I5*(1+'Torrance Inputs'!$N$3)^(AM$8-1),0)</f>
        <v>455.3029166666667</v>
      </c>
      <c r="AN48" s="266">
        <f>IF(OR(AN$10&lt;'Torrance Inputs'!$N$40,AN$10&gt;='Torrance Inputs'!$I$18),'Torrance Inputs'!$I5*(1+'Torrance Inputs'!$N$3)^(AN$8-1),0)</f>
        <v>455.3029166666667</v>
      </c>
      <c r="AO48" s="266">
        <f>IF(OR(AO$10&lt;'Torrance Inputs'!$N$40,AO$10&gt;='Torrance Inputs'!$I$18),'Torrance Inputs'!$I5*(1+'Torrance Inputs'!$N$3)^(AO$8-1),0)</f>
        <v>455.3029166666667</v>
      </c>
      <c r="AP48" s="266">
        <f>IF(OR(AP$10&lt;'Torrance Inputs'!$N$40,AP$10&gt;='Torrance Inputs'!$I$18),'Torrance Inputs'!$I5*(1+'Torrance Inputs'!$N$3)^(AP$8-1),0)</f>
        <v>455.3029166666667</v>
      </c>
      <c r="AQ48" s="266">
        <f>IF(OR(AQ$10&lt;'Torrance Inputs'!$N$40,AQ$10&gt;='Torrance Inputs'!$I$18),'Torrance Inputs'!$I5*(1+'Torrance Inputs'!$N$3)^(AQ$8-1),0)</f>
        <v>455.3029166666667</v>
      </c>
      <c r="AR48" s="266">
        <f>IF(OR(AR$10&lt;'Torrance Inputs'!$N$40,AR$10&gt;='Torrance Inputs'!$I$18),'Torrance Inputs'!$I5*(1+'Torrance Inputs'!$N$3)^(AR$8-1),0)</f>
        <v>455.3029166666667</v>
      </c>
      <c r="AS48" s="266">
        <f>IF(OR(AS$10&lt;'Torrance Inputs'!$N$40,AS$10&gt;='Torrance Inputs'!$I$18),'Torrance Inputs'!$I5*(1+'Torrance Inputs'!$N$3)^(AS$8-1),0)</f>
        <v>455.3029166666667</v>
      </c>
      <c r="AT48" s="266">
        <f>IF(OR(AT$10&lt;'Torrance Inputs'!$N$40,AT$10&gt;='Torrance Inputs'!$I$18),'Torrance Inputs'!$I5*(1+'Torrance Inputs'!$N$3)^(AT$8-1),0)</f>
        <v>455.3029166666667</v>
      </c>
      <c r="AU48" s="266">
        <f>IF(OR(AU$10&lt;'Torrance Inputs'!$N$40,AU$10&gt;='Torrance Inputs'!$I$18),'Torrance Inputs'!$I5*(1+'Torrance Inputs'!$N$3)^(AU$8-1),0)</f>
        <v>455.3029166666667</v>
      </c>
      <c r="AV48" s="266">
        <f>IF(OR(AV$10&lt;'Torrance Inputs'!$N$40,AV$10&gt;='Torrance Inputs'!$I$18),'Torrance Inputs'!$I5*(1+'Torrance Inputs'!$N$3)^(AV$8-1),0)</f>
        <v>455.3029166666667</v>
      </c>
      <c r="AW48" s="266">
        <f>IF(OR(AW$10&lt;'Torrance Inputs'!$N$40,AW$10&gt;='Torrance Inputs'!$I$18),'Torrance Inputs'!$I5*(1+'Torrance Inputs'!$N$3)^(AW$8-1),0)</f>
        <v>455.3029166666667</v>
      </c>
      <c r="AX48" s="266">
        <f>IF(OR(AX$10&lt;'Torrance Inputs'!$N$40,AX$10&gt;='Torrance Inputs'!$I$18),'Torrance Inputs'!$I5*(1+'Torrance Inputs'!$N$3)^(AX$8-1),0)</f>
        <v>455.3029166666667</v>
      </c>
      <c r="AY48" s="266">
        <f>IF(OR(AY$10&lt;'Torrance Inputs'!$N$40,AY$10&gt;='Torrance Inputs'!$I$18),'Torrance Inputs'!$I5*(1+'Torrance Inputs'!$N$3)^(AY$8-1),0)</f>
        <v>0</v>
      </c>
      <c r="AZ48" s="266">
        <f>IF(OR(AZ$10&lt;'Torrance Inputs'!$N$40,AZ$10&gt;='Torrance Inputs'!$I$18),'Torrance Inputs'!$I5*(1+'Torrance Inputs'!$N$3)^(AZ$8-1),0)</f>
        <v>0</v>
      </c>
      <c r="BA48" s="266">
        <f>IF(OR(BA$10&lt;'Torrance Inputs'!$N$40,BA$10&gt;='Torrance Inputs'!$I$18),'Torrance Inputs'!$I5*(1+'Torrance Inputs'!$N$3)^(BA$8-1),0)</f>
        <v>0</v>
      </c>
      <c r="BB48" s="266">
        <f>IF(OR(BB$10&lt;'Torrance Inputs'!$N$40,BB$10&gt;='Torrance Inputs'!$I$18),'Torrance Inputs'!$I5*(1+'Torrance Inputs'!$N$3)^(BB$8-1),0)</f>
        <v>0</v>
      </c>
      <c r="BC48" s="266">
        <f>IF(OR(BC$10&lt;'Torrance Inputs'!$N$40,BC$10&gt;='Torrance Inputs'!$I$18),'Torrance Inputs'!$I5*(1+'Torrance Inputs'!$N$3)^(BC$8-1),0)</f>
        <v>0</v>
      </c>
      <c r="BD48" s="266">
        <f>IF(OR(BD$10&lt;'Torrance Inputs'!$N$40,BD$10&gt;='Torrance Inputs'!$I$18),'Torrance Inputs'!$I5*(1+'Torrance Inputs'!$N$3)^(BD$8-1),0)</f>
        <v>0</v>
      </c>
      <c r="BE48" s="266">
        <f>IF(OR(BE$10&lt;'Torrance Inputs'!$N$40,BE$10&gt;='Torrance Inputs'!$I$18),'Torrance Inputs'!$I5*(1+'Torrance Inputs'!$N$3)^(BE$8-1),0)</f>
        <v>0</v>
      </c>
      <c r="BF48" s="266">
        <f>IF(OR(BF$10&lt;'Torrance Inputs'!$N$40,BF$10&gt;='Torrance Inputs'!$I$18),'Torrance Inputs'!$I5*(1+'Torrance Inputs'!$N$3)^(BF$8-1),0)</f>
        <v>0</v>
      </c>
      <c r="BG48" s="266">
        <f>IF(OR(BG$10&lt;'Torrance Inputs'!$N$40,BG$10&gt;='Torrance Inputs'!$I$18),'Torrance Inputs'!$I5*(1+'Torrance Inputs'!$N$3)^(BG$8-1),0)</f>
        <v>0</v>
      </c>
      <c r="BH48" s="266">
        <f>IF(OR(BH$10&lt;'Torrance Inputs'!$N$40,BH$10&gt;='Torrance Inputs'!$I$18),'Torrance Inputs'!$I5*(1+'Torrance Inputs'!$N$3)^(BH$8-1),0)</f>
        <v>0</v>
      </c>
      <c r="BI48" s="266">
        <f>IF(OR(BI$10&lt;'Torrance Inputs'!$N$40,BI$10&gt;='Torrance Inputs'!$I$18),'Torrance Inputs'!$I5*(1+'Torrance Inputs'!$N$3)^(BI$8-1),0)</f>
        <v>0</v>
      </c>
      <c r="BJ48" s="266">
        <f>IF(OR(BJ$10&lt;'Torrance Inputs'!$N$40,BJ$10&gt;='Torrance Inputs'!$I$18),'Torrance Inputs'!$I5*(1+'Torrance Inputs'!$N$3)^(BJ$8-1),0)</f>
        <v>0</v>
      </c>
      <c r="BK48" s="266">
        <f>IF(OR(BK$10&lt;'Torrance Inputs'!$N$40,BK$10&gt;='Torrance Inputs'!$I$18),'Torrance Inputs'!$I5*(1+'Torrance Inputs'!$N$3)^(BK$8-1),0)</f>
        <v>483.0308642916666</v>
      </c>
      <c r="BL48" s="266">
        <f>IF(OR(BL$10&lt;'Torrance Inputs'!$N$40,BL$10&gt;='Torrance Inputs'!$I$18),'Torrance Inputs'!$I5*(1+'Torrance Inputs'!$N$3)^(BL$8-1),0)</f>
        <v>483.0308642916666</v>
      </c>
      <c r="BM48" s="266">
        <f>IF(OR(BM$10&lt;'Torrance Inputs'!$N$40,BM$10&gt;='Torrance Inputs'!$I$18),'Torrance Inputs'!$I5*(1+'Torrance Inputs'!$N$3)^(BM$8-1),0)</f>
        <v>483.0308642916666</v>
      </c>
      <c r="BN48" s="266">
        <f>IF(OR(BN$10&lt;'Torrance Inputs'!$N$40,BN$10&gt;='Torrance Inputs'!$I$18),'Torrance Inputs'!$I5*(1+'Torrance Inputs'!$N$3)^(BN$8-1),0)</f>
        <v>483.0308642916666</v>
      </c>
      <c r="BO48" s="266">
        <f>IF(OR(BO$10&lt;'Torrance Inputs'!$N$40,BO$10&gt;='Torrance Inputs'!$I$18),'Torrance Inputs'!$I5*(1+'Torrance Inputs'!$N$3)^(BO$8-1),0)</f>
        <v>483.0308642916666</v>
      </c>
      <c r="BP48" s="266">
        <f>IF(OR(BP$10&lt;'Torrance Inputs'!$N$40,BP$10&gt;='Torrance Inputs'!$I$18),'Torrance Inputs'!$I5*(1+'Torrance Inputs'!$N$3)^(BP$8-1),0)</f>
        <v>483.0308642916666</v>
      </c>
      <c r="BQ48" s="266">
        <f>IF(OR(BQ$10&lt;'Torrance Inputs'!$N$40,BQ$10&gt;='Torrance Inputs'!$I$18),'Torrance Inputs'!$I5*(1+'Torrance Inputs'!$N$3)^(BQ$8-1),0)</f>
        <v>483.0308642916666</v>
      </c>
      <c r="BR48" s="266">
        <f>IF(OR(BR$10&lt;'Torrance Inputs'!$N$40,BR$10&gt;='Torrance Inputs'!$I$18),'Torrance Inputs'!$I5*(1+'Torrance Inputs'!$N$3)^(BR$8-1),0)</f>
        <v>483.0308642916666</v>
      </c>
      <c r="BS48" s="266">
        <f>IF(OR(BS$10&lt;'Torrance Inputs'!$N$40,BS$10&gt;='Torrance Inputs'!$I$18),'Torrance Inputs'!$I5*(1+'Torrance Inputs'!$N$3)^(BS$8-1),0)</f>
        <v>483.0308642916666</v>
      </c>
      <c r="BT48" s="266">
        <f>IF(OR(BT$10&lt;'Torrance Inputs'!$N$40,BT$10&gt;='Torrance Inputs'!$I$18),'Torrance Inputs'!$I5*(1+'Torrance Inputs'!$N$3)^(BT$8-1),0)</f>
        <v>483.0308642916666</v>
      </c>
      <c r="BU48" s="266">
        <f>IF(OR(BU$10&lt;'Torrance Inputs'!$N$40,BU$10&gt;='Torrance Inputs'!$I$18),'Torrance Inputs'!$I5*(1+'Torrance Inputs'!$N$3)^(BU$8-1),0)</f>
        <v>483.0308642916666</v>
      </c>
      <c r="BV48" s="266">
        <f>IF(OR(BV$10&lt;'Torrance Inputs'!$N$40,BV$10&gt;='Torrance Inputs'!$I$18),'Torrance Inputs'!$I5*(1+'Torrance Inputs'!$N$3)^(BV$8-1),0)</f>
        <v>483.0308642916666</v>
      </c>
      <c r="BW48" s="266">
        <f>IF(OR(BW$10&lt;'Torrance Inputs'!$N$40,BW$10&gt;='Torrance Inputs'!$I$18),'Torrance Inputs'!$I5*(1+'Torrance Inputs'!$N$3)^(BW$8-1),0)</f>
        <v>497.52179022041668</v>
      </c>
      <c r="BX48" s="266">
        <f>IF(OR(BX$10&lt;'Torrance Inputs'!$N$40,BX$10&gt;='Torrance Inputs'!$I$18),'Torrance Inputs'!$I5*(1+'Torrance Inputs'!$N$3)^(BX$8-1),0)</f>
        <v>497.52179022041668</v>
      </c>
      <c r="BY48" s="266">
        <f>IF(OR(BY$10&lt;'Torrance Inputs'!$N$40,BY$10&gt;='Torrance Inputs'!$I$18),'Torrance Inputs'!$I5*(1+'Torrance Inputs'!$N$3)^(BY$8-1),0)</f>
        <v>497.52179022041668</v>
      </c>
      <c r="BZ48" s="266">
        <f>IF(OR(BZ$10&lt;'Torrance Inputs'!$N$40,BZ$10&gt;='Torrance Inputs'!$I$18),'Torrance Inputs'!$I5*(1+'Torrance Inputs'!$N$3)^(BZ$8-1),0)</f>
        <v>497.52179022041668</v>
      </c>
      <c r="CA48" s="266">
        <f>IF(OR(CA$10&lt;'Torrance Inputs'!$N$40,CA$10&gt;='Torrance Inputs'!$I$18),'Torrance Inputs'!$I5*(1+'Torrance Inputs'!$N$3)^(CA$8-1),0)</f>
        <v>497.52179022041668</v>
      </c>
      <c r="CB48" s="266">
        <f>IF(OR(CB$10&lt;'Torrance Inputs'!$N$40,CB$10&gt;='Torrance Inputs'!$I$18),'Torrance Inputs'!$I5*(1+'Torrance Inputs'!$N$3)^(CB$8-1),0)</f>
        <v>497.52179022041668</v>
      </c>
      <c r="CC48" s="266">
        <f>IF(OR(CC$10&lt;'Torrance Inputs'!$N$40,CC$10&gt;='Torrance Inputs'!$I$18),'Torrance Inputs'!$I5*(1+'Torrance Inputs'!$N$3)^(CC$8-1),0)</f>
        <v>497.52179022041668</v>
      </c>
      <c r="CD48" s="266">
        <f>IF(OR(CD$10&lt;'Torrance Inputs'!$N$40,CD$10&gt;='Torrance Inputs'!$I$18),'Torrance Inputs'!$I5*(1+'Torrance Inputs'!$N$3)^(CD$8-1),0)</f>
        <v>497.52179022041668</v>
      </c>
      <c r="CE48" s="266">
        <f>IF(OR(CE$10&lt;'Torrance Inputs'!$N$40,CE$10&gt;='Torrance Inputs'!$I$18),'Torrance Inputs'!$I5*(1+'Torrance Inputs'!$N$3)^(CE$8-1),0)</f>
        <v>497.52179022041668</v>
      </c>
      <c r="CF48" s="266">
        <f>IF(OR(CF$10&lt;'Torrance Inputs'!$N$40,CF$10&gt;='Torrance Inputs'!$I$18),'Torrance Inputs'!$I5*(1+'Torrance Inputs'!$N$3)^(CF$8-1),0)</f>
        <v>497.52179022041668</v>
      </c>
      <c r="CG48" s="266">
        <f>IF(OR(CG$10&lt;'Torrance Inputs'!$N$40,CG$10&gt;='Torrance Inputs'!$I$18),'Torrance Inputs'!$I5*(1+'Torrance Inputs'!$N$3)^(CG$8-1),0)</f>
        <v>497.52179022041668</v>
      </c>
      <c r="CH48" s="266">
        <f>IF(OR(CH$10&lt;'Torrance Inputs'!$N$40,CH$10&gt;='Torrance Inputs'!$I$18),'Torrance Inputs'!$I5*(1+'Torrance Inputs'!$N$3)^(CH$8-1),0)</f>
        <v>497.52179022041668</v>
      </c>
      <c r="CI48" s="266">
        <f>IF(OR(CI$10&lt;'Torrance Inputs'!$N$40,CI$10&gt;='Torrance Inputs'!$I$18),'Torrance Inputs'!$I5*(1+'Torrance Inputs'!$N$3)^(CI$8-1),0)</f>
        <v>512.44744392702921</v>
      </c>
      <c r="CJ48" s="266">
        <f>IF(OR(CJ$10&lt;'Torrance Inputs'!$N$40,CJ$10&gt;='Torrance Inputs'!$I$18),'Torrance Inputs'!$I5*(1+'Torrance Inputs'!$N$3)^(CJ$8-1),0)</f>
        <v>512.44744392702921</v>
      </c>
      <c r="CK48" s="266">
        <f>IF(OR(CK$10&lt;'Torrance Inputs'!$N$40,CK$10&gt;='Torrance Inputs'!$I$18),'Torrance Inputs'!$I5*(1+'Torrance Inputs'!$N$3)^(CK$8-1),0)</f>
        <v>512.44744392702921</v>
      </c>
      <c r="CL48" s="266">
        <f>IF(OR(CL$10&lt;'Torrance Inputs'!$N$40,CL$10&gt;='Torrance Inputs'!$I$18),'Torrance Inputs'!$I5*(1+'Torrance Inputs'!$N$3)^(CL$8-1),0)</f>
        <v>512.44744392702921</v>
      </c>
      <c r="CM48" s="266">
        <f>IF(OR(CM$10&lt;'Torrance Inputs'!$N$40,CM$10&gt;='Torrance Inputs'!$I$18),'Torrance Inputs'!$I5*(1+'Torrance Inputs'!$N$3)^(CM$8-1),0)</f>
        <v>512.44744392702921</v>
      </c>
      <c r="CN48" s="266">
        <f>IF(OR(CN$10&lt;'Torrance Inputs'!$N$40,CN$10&gt;='Torrance Inputs'!$I$18),'Torrance Inputs'!$I5*(1+'Torrance Inputs'!$N$3)^(CN$8-1),0)</f>
        <v>512.44744392702921</v>
      </c>
      <c r="CO48" s="266">
        <f>IF(OR(CO$10&lt;'Torrance Inputs'!$N$40,CO$10&gt;='Torrance Inputs'!$I$18),'Torrance Inputs'!$I5*(1+'Torrance Inputs'!$N$3)^(CO$8-1),0)</f>
        <v>512.44744392702921</v>
      </c>
      <c r="CP48" s="266">
        <f>IF(OR(CP$10&lt;'Torrance Inputs'!$N$40,CP$10&gt;='Torrance Inputs'!$I$18),'Torrance Inputs'!$I5*(1+'Torrance Inputs'!$N$3)^(CP$8-1),0)</f>
        <v>512.44744392702921</v>
      </c>
      <c r="CQ48" s="266">
        <f>IF(OR(CQ$10&lt;'Torrance Inputs'!$N$40,CQ$10&gt;='Torrance Inputs'!$I$18),'Torrance Inputs'!$I5*(1+'Torrance Inputs'!$N$3)^(CQ$8-1),0)</f>
        <v>512.44744392702921</v>
      </c>
      <c r="CR48" s="266">
        <f>IF(OR(CR$10&lt;'Torrance Inputs'!$N$40,CR$10&gt;='Torrance Inputs'!$I$18),'Torrance Inputs'!$I5*(1+'Torrance Inputs'!$N$3)^(CR$8-1),0)</f>
        <v>512.44744392702921</v>
      </c>
      <c r="CS48" s="266">
        <f>IF(OR(CS$10&lt;'Torrance Inputs'!$N$40,CS$10&gt;='Torrance Inputs'!$I$18),'Torrance Inputs'!$I5*(1+'Torrance Inputs'!$N$3)^(CS$8-1),0)</f>
        <v>512.44744392702921</v>
      </c>
      <c r="CT48" s="266">
        <f>IF(OR(CT$10&lt;'Torrance Inputs'!$N$40,CT$10&gt;='Torrance Inputs'!$I$18),'Torrance Inputs'!$I5*(1+'Torrance Inputs'!$N$3)^(CT$8-1),0)</f>
        <v>512.44744392702921</v>
      </c>
      <c r="CU48" s="266">
        <f>IF(OR(CU$10&lt;'Torrance Inputs'!$N$40,CU$10&gt;='Torrance Inputs'!$I$18),'Torrance Inputs'!$I5*(1+'Torrance Inputs'!$N$3)^(CU$8-1),0)</f>
        <v>527.82086724483997</v>
      </c>
      <c r="CV48" s="266">
        <f>IF(OR(CV$10&lt;'Torrance Inputs'!$N$40,CV$10&gt;='Torrance Inputs'!$I$18),'Torrance Inputs'!$I5*(1+'Torrance Inputs'!$N$3)^(CV$8-1),0)</f>
        <v>527.82086724483997</v>
      </c>
      <c r="CW48" s="266">
        <f>IF(OR(CW$10&lt;'Torrance Inputs'!$N$40,CW$10&gt;='Torrance Inputs'!$I$18),'Torrance Inputs'!$I5*(1+'Torrance Inputs'!$N$3)^(CW$8-1),0)</f>
        <v>527.82086724483997</v>
      </c>
      <c r="CX48" s="266">
        <f>IF(OR(CX$10&lt;'Torrance Inputs'!$N$40,CX$10&gt;='Torrance Inputs'!$I$18),'Torrance Inputs'!$I5*(1+'Torrance Inputs'!$N$3)^(CX$8-1),0)</f>
        <v>527.82086724483997</v>
      </c>
      <c r="CY48" s="266">
        <f>IF(OR(CY$10&lt;'Torrance Inputs'!$N$40,CY$10&gt;='Torrance Inputs'!$I$18),'Torrance Inputs'!$I5*(1+'Torrance Inputs'!$N$3)^(CY$8-1),0)</f>
        <v>527.82086724483997</v>
      </c>
      <c r="CZ48" s="266">
        <f>IF(OR(CZ$10&lt;'Torrance Inputs'!$N$40,CZ$10&gt;='Torrance Inputs'!$I$18),'Torrance Inputs'!$I5*(1+'Torrance Inputs'!$N$3)^(CZ$8-1),0)</f>
        <v>527.82086724483997</v>
      </c>
      <c r="DA48" s="266">
        <f>IF(OR(DA$10&lt;'Torrance Inputs'!$N$40,DA$10&gt;='Torrance Inputs'!$I$18),'Torrance Inputs'!$I5*(1+'Torrance Inputs'!$N$3)^(DA$8-1),0)</f>
        <v>527.82086724483997</v>
      </c>
      <c r="DB48" s="266">
        <f>IF(OR(DB$10&lt;'Torrance Inputs'!$N$40,DB$10&gt;='Torrance Inputs'!$I$18),'Torrance Inputs'!$I5*(1+'Torrance Inputs'!$N$3)^(DB$8-1),0)</f>
        <v>527.82086724483997</v>
      </c>
      <c r="DC48" s="266">
        <f>IF(OR(DC$10&lt;'Torrance Inputs'!$N$40,DC$10&gt;='Torrance Inputs'!$I$18),'Torrance Inputs'!$I5*(1+'Torrance Inputs'!$N$3)^(DC$8-1),0)</f>
        <v>527.82086724483997</v>
      </c>
      <c r="DD48" s="266">
        <f>IF(OR(DD$10&lt;'Torrance Inputs'!$N$40,DD$10&gt;='Torrance Inputs'!$I$18),'Torrance Inputs'!$I5*(1+'Torrance Inputs'!$N$3)^(DD$8-1),0)</f>
        <v>527.82086724483997</v>
      </c>
      <c r="DE48" s="266">
        <f>IF(OR(DE$10&lt;'Torrance Inputs'!$N$40,DE$10&gt;='Torrance Inputs'!$I$18),'Torrance Inputs'!$I5*(1+'Torrance Inputs'!$N$3)^(DE$8-1),0)</f>
        <v>527.82086724483997</v>
      </c>
      <c r="DF48" s="266">
        <f>IF(OR(DF$10&lt;'Torrance Inputs'!$N$40,DF$10&gt;='Torrance Inputs'!$I$18),'Torrance Inputs'!$I5*(1+'Torrance Inputs'!$N$3)^(DF$8-1),0)</f>
        <v>527.82086724483997</v>
      </c>
      <c r="DG48" s="266">
        <f>IF(OR(DG$10&lt;'Torrance Inputs'!$N$40,DG$10&gt;='Torrance Inputs'!$I$18),'Torrance Inputs'!$I5*(1+'Torrance Inputs'!$N$3)^(DG$8-1),0)</f>
        <v>543.65549326218525</v>
      </c>
      <c r="DH48" s="266">
        <f>IF(OR(DH$10&lt;'Torrance Inputs'!$N$40,DH$10&gt;='Torrance Inputs'!$I$18),'Torrance Inputs'!$I5*(1+'Torrance Inputs'!$N$3)^(DH$8-1),0)</f>
        <v>543.65549326218525</v>
      </c>
      <c r="DI48" s="266">
        <f>IF(OR(DI$10&lt;'Torrance Inputs'!$N$40,DI$10&gt;='Torrance Inputs'!$I$18),'Torrance Inputs'!$I5*(1+'Torrance Inputs'!$N$3)^(DI$8-1),0)</f>
        <v>543.65549326218525</v>
      </c>
      <c r="DJ48" s="266">
        <f>IF(OR(DJ$10&lt;'Torrance Inputs'!$N$40,DJ$10&gt;='Torrance Inputs'!$I$18),'Torrance Inputs'!$I5*(1+'Torrance Inputs'!$N$3)^(DJ$8-1),0)</f>
        <v>543.65549326218525</v>
      </c>
      <c r="DK48" s="266">
        <f>IF(OR(DK$10&lt;'Torrance Inputs'!$N$40,DK$10&gt;='Torrance Inputs'!$I$18),'Torrance Inputs'!$I5*(1+'Torrance Inputs'!$N$3)^(DK$8-1),0)</f>
        <v>543.65549326218525</v>
      </c>
      <c r="DL48" s="266">
        <f>IF(OR(DL$10&lt;'Torrance Inputs'!$N$40,DL$10&gt;='Torrance Inputs'!$I$18),'Torrance Inputs'!$I5*(1+'Torrance Inputs'!$N$3)^(DL$8-1),0)</f>
        <v>543.65549326218525</v>
      </c>
      <c r="DM48" s="266">
        <f>IF(OR(DM$10&lt;'Torrance Inputs'!$N$40,DM$10&gt;='Torrance Inputs'!$I$18),'Torrance Inputs'!$I5*(1+'Torrance Inputs'!$N$3)^(DM$8-1),0)</f>
        <v>543.65549326218525</v>
      </c>
      <c r="DN48" s="266">
        <f>IF(OR(DN$10&lt;'Torrance Inputs'!$N$40,DN$10&gt;='Torrance Inputs'!$I$18),'Torrance Inputs'!$I5*(1+'Torrance Inputs'!$N$3)^(DN$8-1),0)</f>
        <v>543.65549326218525</v>
      </c>
      <c r="DO48" s="266">
        <f>IF(OR(DO$10&lt;'Torrance Inputs'!$N$40,DO$10&gt;='Torrance Inputs'!$I$18),'Torrance Inputs'!$I5*(1+'Torrance Inputs'!$N$3)^(DO$8-1),0)</f>
        <v>543.65549326218525</v>
      </c>
      <c r="DP48" s="266">
        <f>IF(OR(DP$10&lt;'Torrance Inputs'!$N$40,DP$10&gt;='Torrance Inputs'!$I$18),'Torrance Inputs'!$I5*(1+'Torrance Inputs'!$N$3)^(DP$8-1),0)</f>
        <v>543.65549326218525</v>
      </c>
      <c r="DQ48" s="266">
        <f>IF(OR(DQ$10&lt;'Torrance Inputs'!$N$40,DQ$10&gt;='Torrance Inputs'!$I$18),'Torrance Inputs'!$I5*(1+'Torrance Inputs'!$N$3)^(DQ$8-1),0)</f>
        <v>543.65549326218525</v>
      </c>
      <c r="DR48" s="266">
        <f>IF(OR(DR$10&lt;'Torrance Inputs'!$N$40,DR$10&gt;='Torrance Inputs'!$I$18),'Torrance Inputs'!$I5*(1+'Torrance Inputs'!$N$3)^(DR$8-1),0)</f>
        <v>543.65549326218525</v>
      </c>
      <c r="DS48" s="266">
        <f>IF(OR(DS$10&lt;'Torrance Inputs'!$N$40,DS$10&gt;='Torrance Inputs'!$I$18),'Torrance Inputs'!$I5*(1+'Torrance Inputs'!$N$3)^(DS$8-1),0)</f>
        <v>559.96515806005073</v>
      </c>
      <c r="DT48" s="266">
        <f>IF(OR(DT$10&lt;'Torrance Inputs'!$N$40,DT$10&gt;='Torrance Inputs'!$I$18),'Torrance Inputs'!$I5*(1+'Torrance Inputs'!$N$3)^(DT$8-1),0)</f>
        <v>559.96515806005073</v>
      </c>
      <c r="DU48" s="266">
        <f>IF(OR(DU$10&lt;'Torrance Inputs'!$N$40,DU$10&gt;='Torrance Inputs'!$I$18),'Torrance Inputs'!$I5*(1+'Torrance Inputs'!$N$3)^(DU$8-1),0)</f>
        <v>559.96515806005073</v>
      </c>
      <c r="DV48" s="266">
        <f>IF(OR(DV$10&lt;'Torrance Inputs'!$N$40,DV$10&gt;='Torrance Inputs'!$I$18),'Torrance Inputs'!$I5*(1+'Torrance Inputs'!$N$3)^(DV$8-1),0)</f>
        <v>559.96515806005073</v>
      </c>
      <c r="DW48" s="266">
        <f>IF(OR(DW$10&lt;'Torrance Inputs'!$N$40,DW$10&gt;='Torrance Inputs'!$I$18),'Torrance Inputs'!$I5*(1+'Torrance Inputs'!$N$3)^(DW$8-1),0)</f>
        <v>559.96515806005073</v>
      </c>
      <c r="DX48" s="266">
        <f>IF(OR(DX$10&lt;'Torrance Inputs'!$N$40,DX$10&gt;='Torrance Inputs'!$I$18),'Torrance Inputs'!$I5*(1+'Torrance Inputs'!$N$3)^(DX$8-1),0)</f>
        <v>559.96515806005073</v>
      </c>
      <c r="DY48" s="266">
        <f>IF(OR(DY$10&lt;'Torrance Inputs'!$N$40,DY$10&gt;='Torrance Inputs'!$I$18),'Torrance Inputs'!$I5*(1+'Torrance Inputs'!$N$3)^(DY$8-1),0)</f>
        <v>559.96515806005073</v>
      </c>
      <c r="DZ48" s="266">
        <f>IF(OR(DZ$10&lt;'Torrance Inputs'!$N$40,DZ$10&gt;='Torrance Inputs'!$I$18),'Torrance Inputs'!$I5*(1+'Torrance Inputs'!$N$3)^(DZ$8-1),0)</f>
        <v>559.96515806005073</v>
      </c>
      <c r="EA48" s="266">
        <f>IF(OR(EA$10&lt;'Torrance Inputs'!$N$40,EA$10&gt;='Torrance Inputs'!$I$18),'Torrance Inputs'!$I5*(1+'Torrance Inputs'!$N$3)^(EA$8-1),0)</f>
        <v>559.96515806005073</v>
      </c>
      <c r="EB48" s="266">
        <f>IF(OR(EB$10&lt;'Torrance Inputs'!$N$40,EB$10&gt;='Torrance Inputs'!$I$18),'Torrance Inputs'!$I5*(1+'Torrance Inputs'!$N$3)^(EB$8-1),0)</f>
        <v>559.96515806005073</v>
      </c>
      <c r="EC48" s="266">
        <f>IF(OR(EC$10&lt;'Torrance Inputs'!$N$40,EC$10&gt;='Torrance Inputs'!$I$18),'Torrance Inputs'!$I5*(1+'Torrance Inputs'!$N$3)^(EC$8-1),0)</f>
        <v>559.96515806005073</v>
      </c>
      <c r="ED48" s="266">
        <f>IF(OR(ED$10&lt;'Torrance Inputs'!$N$40,ED$10&gt;='Torrance Inputs'!$I$18),'Torrance Inputs'!$I5*(1+'Torrance Inputs'!$N$3)^(ED$8-1),0)</f>
        <v>559.96515806005073</v>
      </c>
    </row>
    <row r="49" spans="1:134" ht="19.149999999999999" customHeight="1" x14ac:dyDescent="0.4">
      <c r="A49" s="270" t="s">
        <v>101</v>
      </c>
      <c r="B49" s="271">
        <f>'Torrance Inputs'!$I$6</f>
        <v>16089.944444444445</v>
      </c>
      <c r="C49" s="266">
        <f>'Torrance Inputs'!$I6*(1+'Torrance Inputs'!$N6)^(C$8-1)</f>
        <v>16089.944444444445</v>
      </c>
      <c r="D49" s="266">
        <f>'Torrance Inputs'!$I6*(1+'Torrance Inputs'!$N6)^(D$8-1)</f>
        <v>16089.944444444445</v>
      </c>
      <c r="E49" s="266">
        <f>'Torrance Inputs'!$I6*(1+'Torrance Inputs'!$N6)^(E$8-1)</f>
        <v>16089.944444444445</v>
      </c>
      <c r="F49" s="266">
        <f>'Torrance Inputs'!$I6*(1+'Torrance Inputs'!$N6)^(F$8-1)</f>
        <v>16089.944444444445</v>
      </c>
      <c r="G49" s="266">
        <f>'Torrance Inputs'!$I6*(1+'Torrance Inputs'!$N6)^(G$8-1)</f>
        <v>16089.944444444445</v>
      </c>
      <c r="H49" s="266">
        <f>'Torrance Inputs'!$I6*(1+'Torrance Inputs'!$N6)^(H$8-1)</f>
        <v>16089.944444444445</v>
      </c>
      <c r="I49" s="266">
        <f>'Torrance Inputs'!$I6*(1+'Torrance Inputs'!$N6)^(I$8-1)</f>
        <v>16089.944444444445</v>
      </c>
      <c r="J49" s="266">
        <f>'Torrance Inputs'!$I6*(1+'Torrance Inputs'!$N6)^(J$8-1)</f>
        <v>16089.944444444445</v>
      </c>
      <c r="K49" s="266">
        <f>'Torrance Inputs'!$I6*(1+'Torrance Inputs'!$N6)^(K$8-1)</f>
        <v>16089.944444444445</v>
      </c>
      <c r="L49" s="266">
        <f>'Torrance Inputs'!$I6*(1+'Torrance Inputs'!$N6)^(L$8-1)</f>
        <v>16089.944444444445</v>
      </c>
      <c r="M49" s="266">
        <f>'Torrance Inputs'!$I6*(1+'Torrance Inputs'!$N6)^(M$8-1)</f>
        <v>16089.944444444445</v>
      </c>
      <c r="N49" s="266">
        <f>'Torrance Inputs'!$I6*(1+'Torrance Inputs'!$N6)^(N$8-1)</f>
        <v>16089.944444444445</v>
      </c>
      <c r="O49" s="266">
        <f>'Torrance Inputs'!$I6*(1+'Torrance Inputs'!$N6)^(O$8-1)</f>
        <v>16411.743333333336</v>
      </c>
      <c r="P49" s="266">
        <f>'Torrance Inputs'!$I6*(1+'Torrance Inputs'!$N6)^(P$8-1)</f>
        <v>16411.743333333336</v>
      </c>
      <c r="Q49" s="266">
        <f>'Torrance Inputs'!$I6*(1+'Torrance Inputs'!$N6)^(Q$8-1)</f>
        <v>16411.743333333336</v>
      </c>
      <c r="R49" s="266">
        <f>'Torrance Inputs'!$I6*(1+'Torrance Inputs'!$N6)^(R$8-1)</f>
        <v>16411.743333333336</v>
      </c>
      <c r="S49" s="266">
        <f>'Torrance Inputs'!$I6*(1+'Torrance Inputs'!$N6)^(S$8-1)</f>
        <v>16411.743333333336</v>
      </c>
      <c r="T49" s="266">
        <f>'Torrance Inputs'!$I6*(1+'Torrance Inputs'!$N6)^(T$8-1)</f>
        <v>16411.743333333336</v>
      </c>
      <c r="U49" s="266">
        <f>'Torrance Inputs'!$I6*(1+'Torrance Inputs'!$N6)^(U$8-1)</f>
        <v>16411.743333333336</v>
      </c>
      <c r="V49" s="266">
        <f>'Torrance Inputs'!$I6*(1+'Torrance Inputs'!$N6)^(V$8-1)</f>
        <v>16411.743333333336</v>
      </c>
      <c r="W49" s="266">
        <f>'Torrance Inputs'!$I6*(1+'Torrance Inputs'!$N6)^(W$8-1)</f>
        <v>16411.743333333336</v>
      </c>
      <c r="X49" s="266">
        <f>'Torrance Inputs'!$I6*(1+'Torrance Inputs'!$N6)^(X$8-1)</f>
        <v>16411.743333333336</v>
      </c>
      <c r="Y49" s="266">
        <f>'Torrance Inputs'!$I6*(1+'Torrance Inputs'!$N6)^(Y$8-1)</f>
        <v>16411.743333333336</v>
      </c>
      <c r="Z49" s="266">
        <f>'Torrance Inputs'!$I6*(1+'Torrance Inputs'!$N6)^(Z$8-1)</f>
        <v>16411.743333333336</v>
      </c>
      <c r="AA49" s="266">
        <f>'Torrance Inputs'!$I6*(1+'Torrance Inputs'!$N6)^(AA$8-1)</f>
        <v>16739.978200000001</v>
      </c>
      <c r="AB49" s="266">
        <f>'Torrance Inputs'!$I6*(1+'Torrance Inputs'!$N6)^(AB$8-1)</f>
        <v>16739.978200000001</v>
      </c>
      <c r="AC49" s="266">
        <f>'Torrance Inputs'!$I6*(1+'Torrance Inputs'!$N6)^(AC$8-1)</f>
        <v>16739.978200000001</v>
      </c>
      <c r="AD49" s="266">
        <f>'Torrance Inputs'!$I6*(1+'Torrance Inputs'!$N6)^(AD$8-1)</f>
        <v>16739.978200000001</v>
      </c>
      <c r="AE49" s="266">
        <f>'Torrance Inputs'!$I6*(1+'Torrance Inputs'!$N6)^(AE$8-1)</f>
        <v>16739.978200000001</v>
      </c>
      <c r="AF49" s="266">
        <f>'Torrance Inputs'!$I6*(1+'Torrance Inputs'!$N6)^(AF$8-1)</f>
        <v>16739.978200000001</v>
      </c>
      <c r="AG49" s="266">
        <f>'Torrance Inputs'!$I6*(1+'Torrance Inputs'!$N6)^(AG$8-1)</f>
        <v>16739.978200000001</v>
      </c>
      <c r="AH49" s="266">
        <f>'Torrance Inputs'!$I6*(1+'Torrance Inputs'!$N6)^(AH$8-1)</f>
        <v>16739.978200000001</v>
      </c>
      <c r="AI49" s="266">
        <f>'Torrance Inputs'!$I6*(1+'Torrance Inputs'!$N6)^(AI$8-1)</f>
        <v>16739.978200000001</v>
      </c>
      <c r="AJ49" s="266">
        <f>'Torrance Inputs'!$I6*(1+'Torrance Inputs'!$N6)^(AJ$8-1)</f>
        <v>16739.978200000001</v>
      </c>
      <c r="AK49" s="266">
        <f>'Torrance Inputs'!$I6*(1+'Torrance Inputs'!$N6)^(AK$8-1)</f>
        <v>16739.978200000001</v>
      </c>
      <c r="AL49" s="266">
        <f>'Torrance Inputs'!$I6*(1+'Torrance Inputs'!$N6)^(AL$8-1)</f>
        <v>16739.978200000001</v>
      </c>
      <c r="AM49" s="266">
        <f>'Torrance Inputs'!$I6*(1+'Torrance Inputs'!$N6)^(AM$8-1)</f>
        <v>17074.777763999999</v>
      </c>
      <c r="AN49" s="266">
        <f>'Torrance Inputs'!$I6*(1+'Torrance Inputs'!$N6)^(AN$8-1)</f>
        <v>17074.777763999999</v>
      </c>
      <c r="AO49" s="266">
        <f>'Torrance Inputs'!$I6*(1+'Torrance Inputs'!$N6)^(AO$8-1)</f>
        <v>17074.777763999999</v>
      </c>
      <c r="AP49" s="266">
        <f>'Torrance Inputs'!$I6*(1+'Torrance Inputs'!$N6)^(AP$8-1)</f>
        <v>17074.777763999999</v>
      </c>
      <c r="AQ49" s="266">
        <f>'Torrance Inputs'!$I6*(1+'Torrance Inputs'!$N6)^(AQ$8-1)</f>
        <v>17074.777763999999</v>
      </c>
      <c r="AR49" s="266">
        <f>'Torrance Inputs'!$I6*(1+'Torrance Inputs'!$N6)^(AR$8-1)</f>
        <v>17074.777763999999</v>
      </c>
      <c r="AS49" s="266">
        <f>'Torrance Inputs'!$I6*(1+'Torrance Inputs'!$N6)^(AS$8-1)</f>
        <v>17074.777763999999</v>
      </c>
      <c r="AT49" s="266">
        <f>'Torrance Inputs'!$I6*(1+'Torrance Inputs'!$N6)^(AT$8-1)</f>
        <v>17074.777763999999</v>
      </c>
      <c r="AU49" s="266">
        <f>'Torrance Inputs'!$I6*(1+'Torrance Inputs'!$N6)^(AU$8-1)</f>
        <v>17074.777763999999</v>
      </c>
      <c r="AV49" s="266">
        <f>'Torrance Inputs'!$I6*(1+'Torrance Inputs'!$N6)^(AV$8-1)</f>
        <v>17074.777763999999</v>
      </c>
      <c r="AW49" s="266">
        <f>'Torrance Inputs'!$I6*(1+'Torrance Inputs'!$N6)^(AW$8-1)</f>
        <v>17074.777763999999</v>
      </c>
      <c r="AX49" s="266">
        <f>'Torrance Inputs'!$I6*(1+'Torrance Inputs'!$N6)^(AX$8-1)</f>
        <v>17074.777763999999</v>
      </c>
      <c r="AY49" s="266">
        <f>'Torrance Inputs'!$I6*(1+'Torrance Inputs'!$N6)^(AY$8-1)</f>
        <v>17416.273319280001</v>
      </c>
      <c r="AZ49" s="266">
        <f>'Torrance Inputs'!$I6*(1+'Torrance Inputs'!$N6)^(AZ$8-1)</f>
        <v>17416.273319280001</v>
      </c>
      <c r="BA49" s="266">
        <f>'Torrance Inputs'!$I6*(1+'Torrance Inputs'!$N6)^(BA$8-1)</f>
        <v>17416.273319280001</v>
      </c>
      <c r="BB49" s="266">
        <f>'Torrance Inputs'!$I6*(1+'Torrance Inputs'!$N6)^(BB$8-1)</f>
        <v>17416.273319280001</v>
      </c>
      <c r="BC49" s="266">
        <f>'Torrance Inputs'!$I6*(1+'Torrance Inputs'!$N6)^(BC$8-1)</f>
        <v>17416.273319280001</v>
      </c>
      <c r="BD49" s="266">
        <f>'Torrance Inputs'!$I6*(1+'Torrance Inputs'!$N6)^(BD$8-1)</f>
        <v>17416.273319280001</v>
      </c>
      <c r="BE49" s="266">
        <f>'Torrance Inputs'!$I6*(1+'Torrance Inputs'!$N6)^(BE$8-1)</f>
        <v>17416.273319280001</v>
      </c>
      <c r="BF49" s="266">
        <f>'Torrance Inputs'!$I6*(1+'Torrance Inputs'!$N6)^(BF$8-1)</f>
        <v>17416.273319280001</v>
      </c>
      <c r="BG49" s="266">
        <f>'Torrance Inputs'!$I6*(1+'Torrance Inputs'!$N6)^(BG$8-1)</f>
        <v>17416.273319280001</v>
      </c>
      <c r="BH49" s="266">
        <f>'Torrance Inputs'!$I6*(1+'Torrance Inputs'!$N6)^(BH$8-1)</f>
        <v>17416.273319280001</v>
      </c>
      <c r="BI49" s="266">
        <f>'Torrance Inputs'!$I6*(1+'Torrance Inputs'!$N6)^(BI$8-1)</f>
        <v>17416.273319280001</v>
      </c>
      <c r="BJ49" s="266">
        <f>'Torrance Inputs'!$I6*(1+'Torrance Inputs'!$N6)^(BJ$8-1)</f>
        <v>17416.273319280001</v>
      </c>
      <c r="BK49" s="266">
        <f>'Torrance Inputs'!$I6*(1+'Torrance Inputs'!$N6)^(BK$8-1)</f>
        <v>17764.598785665603</v>
      </c>
      <c r="BL49" s="266">
        <f>'Torrance Inputs'!$I6*(1+'Torrance Inputs'!$N6)^(BL$8-1)</f>
        <v>17764.598785665603</v>
      </c>
      <c r="BM49" s="266">
        <f>'Torrance Inputs'!$I6*(1+'Torrance Inputs'!$N6)^(BM$8-1)</f>
        <v>17764.598785665603</v>
      </c>
      <c r="BN49" s="266">
        <f>'Torrance Inputs'!$I6*(1+'Torrance Inputs'!$N6)^(BN$8-1)</f>
        <v>17764.598785665603</v>
      </c>
      <c r="BO49" s="266">
        <f>'Torrance Inputs'!$I6*(1+'Torrance Inputs'!$N6)^(BO$8-1)</f>
        <v>17764.598785665603</v>
      </c>
      <c r="BP49" s="266">
        <f>'Torrance Inputs'!$I6*(1+'Torrance Inputs'!$N6)^(BP$8-1)</f>
        <v>17764.598785665603</v>
      </c>
      <c r="BQ49" s="266">
        <f>'Torrance Inputs'!$I6*(1+'Torrance Inputs'!$N6)^(BQ$8-1)</f>
        <v>17764.598785665603</v>
      </c>
      <c r="BR49" s="266">
        <f>'Torrance Inputs'!$I6*(1+'Torrance Inputs'!$N6)^(BR$8-1)</f>
        <v>17764.598785665603</v>
      </c>
      <c r="BS49" s="266">
        <f>'Torrance Inputs'!$I6*(1+'Torrance Inputs'!$N6)^(BS$8-1)</f>
        <v>17764.598785665603</v>
      </c>
      <c r="BT49" s="266">
        <f>'Torrance Inputs'!$I6*(1+'Torrance Inputs'!$N6)^(BT$8-1)</f>
        <v>17764.598785665603</v>
      </c>
      <c r="BU49" s="266">
        <f>'Torrance Inputs'!$I6*(1+'Torrance Inputs'!$N6)^(BU$8-1)</f>
        <v>17764.598785665603</v>
      </c>
      <c r="BV49" s="266">
        <f>'Torrance Inputs'!$I6*(1+'Torrance Inputs'!$N6)^(BV$8-1)</f>
        <v>17764.598785665603</v>
      </c>
      <c r="BW49" s="266">
        <f>'Torrance Inputs'!$I6*(1+'Torrance Inputs'!$N6)^(BW$8-1)</f>
        <v>18119.890761378912</v>
      </c>
      <c r="BX49" s="266">
        <f>'Torrance Inputs'!$I6*(1+'Torrance Inputs'!$N6)^(BX$8-1)</f>
        <v>18119.890761378912</v>
      </c>
      <c r="BY49" s="266">
        <f>'Torrance Inputs'!$I6*(1+'Torrance Inputs'!$N6)^(BY$8-1)</f>
        <v>18119.890761378912</v>
      </c>
      <c r="BZ49" s="266">
        <f>'Torrance Inputs'!$I6*(1+'Torrance Inputs'!$N6)^(BZ$8-1)</f>
        <v>18119.890761378912</v>
      </c>
      <c r="CA49" s="266">
        <f>'Torrance Inputs'!$I6*(1+'Torrance Inputs'!$N6)^(CA$8-1)</f>
        <v>18119.890761378912</v>
      </c>
      <c r="CB49" s="266">
        <f>'Torrance Inputs'!$I6*(1+'Torrance Inputs'!$N6)^(CB$8-1)</f>
        <v>18119.890761378912</v>
      </c>
      <c r="CC49" s="266">
        <f>'Torrance Inputs'!$I6*(1+'Torrance Inputs'!$N6)^(CC$8-1)</f>
        <v>18119.890761378912</v>
      </c>
      <c r="CD49" s="266">
        <f>'Torrance Inputs'!$I6*(1+'Torrance Inputs'!$N6)^(CD$8-1)</f>
        <v>18119.890761378912</v>
      </c>
      <c r="CE49" s="266">
        <f>'Torrance Inputs'!$I6*(1+'Torrance Inputs'!$N6)^(CE$8-1)</f>
        <v>18119.890761378912</v>
      </c>
      <c r="CF49" s="266">
        <f>'Torrance Inputs'!$I6*(1+'Torrance Inputs'!$N6)^(CF$8-1)</f>
        <v>18119.890761378912</v>
      </c>
      <c r="CG49" s="266">
        <f>'Torrance Inputs'!$I6*(1+'Torrance Inputs'!$N6)^(CG$8-1)</f>
        <v>18119.890761378912</v>
      </c>
      <c r="CH49" s="266">
        <f>'Torrance Inputs'!$I6*(1+'Torrance Inputs'!$N6)^(CH$8-1)</f>
        <v>18119.890761378912</v>
      </c>
      <c r="CI49" s="266">
        <f>'Torrance Inputs'!$I6*(1+'Torrance Inputs'!$N6)^(CI$8-1)</f>
        <v>18482.288576606486</v>
      </c>
      <c r="CJ49" s="266">
        <f>'Torrance Inputs'!$I6*(1+'Torrance Inputs'!$N6)^(CJ$8-1)</f>
        <v>18482.288576606486</v>
      </c>
      <c r="CK49" s="266">
        <f>'Torrance Inputs'!$I6*(1+'Torrance Inputs'!$N6)^(CK$8-1)</f>
        <v>18482.288576606486</v>
      </c>
      <c r="CL49" s="266">
        <f>'Torrance Inputs'!$I6*(1+'Torrance Inputs'!$N6)^(CL$8-1)</f>
        <v>18482.288576606486</v>
      </c>
      <c r="CM49" s="266">
        <f>'Torrance Inputs'!$I6*(1+'Torrance Inputs'!$N6)^(CM$8-1)</f>
        <v>18482.288576606486</v>
      </c>
      <c r="CN49" s="266">
        <f>'Torrance Inputs'!$I6*(1+'Torrance Inputs'!$N6)^(CN$8-1)</f>
        <v>18482.288576606486</v>
      </c>
      <c r="CO49" s="266">
        <f>'Torrance Inputs'!$I6*(1+'Torrance Inputs'!$N6)^(CO$8-1)</f>
        <v>18482.288576606486</v>
      </c>
      <c r="CP49" s="266">
        <f>'Torrance Inputs'!$I6*(1+'Torrance Inputs'!$N6)^(CP$8-1)</f>
        <v>18482.288576606486</v>
      </c>
      <c r="CQ49" s="266">
        <f>'Torrance Inputs'!$I6*(1+'Torrance Inputs'!$N6)^(CQ$8-1)</f>
        <v>18482.288576606486</v>
      </c>
      <c r="CR49" s="266">
        <f>'Torrance Inputs'!$I6*(1+'Torrance Inputs'!$N6)^(CR$8-1)</f>
        <v>18482.288576606486</v>
      </c>
      <c r="CS49" s="266">
        <f>'Torrance Inputs'!$I6*(1+'Torrance Inputs'!$N6)^(CS$8-1)</f>
        <v>18482.288576606486</v>
      </c>
      <c r="CT49" s="266">
        <f>'Torrance Inputs'!$I6*(1+'Torrance Inputs'!$N6)^(CT$8-1)</f>
        <v>18482.288576606486</v>
      </c>
      <c r="CU49" s="266">
        <f>'Torrance Inputs'!$I6*(1+'Torrance Inputs'!$N6)^(CU$8-1)</f>
        <v>18851.93434813862</v>
      </c>
      <c r="CV49" s="266">
        <f>'Torrance Inputs'!$I6*(1+'Torrance Inputs'!$N6)^(CV$8-1)</f>
        <v>18851.93434813862</v>
      </c>
      <c r="CW49" s="266">
        <f>'Torrance Inputs'!$I6*(1+'Torrance Inputs'!$N6)^(CW$8-1)</f>
        <v>18851.93434813862</v>
      </c>
      <c r="CX49" s="266">
        <f>'Torrance Inputs'!$I6*(1+'Torrance Inputs'!$N6)^(CX$8-1)</f>
        <v>18851.93434813862</v>
      </c>
      <c r="CY49" s="266">
        <f>'Torrance Inputs'!$I6*(1+'Torrance Inputs'!$N6)^(CY$8-1)</f>
        <v>18851.93434813862</v>
      </c>
      <c r="CZ49" s="266">
        <f>'Torrance Inputs'!$I6*(1+'Torrance Inputs'!$N6)^(CZ$8-1)</f>
        <v>18851.93434813862</v>
      </c>
      <c r="DA49" s="266">
        <f>'Torrance Inputs'!$I6*(1+'Torrance Inputs'!$N6)^(DA$8-1)</f>
        <v>18851.93434813862</v>
      </c>
      <c r="DB49" s="266">
        <f>'Torrance Inputs'!$I6*(1+'Torrance Inputs'!$N6)^(DB$8-1)</f>
        <v>18851.93434813862</v>
      </c>
      <c r="DC49" s="266">
        <f>'Torrance Inputs'!$I6*(1+'Torrance Inputs'!$N6)^(DC$8-1)</f>
        <v>18851.93434813862</v>
      </c>
      <c r="DD49" s="266">
        <f>'Torrance Inputs'!$I6*(1+'Torrance Inputs'!$N6)^(DD$8-1)</f>
        <v>18851.93434813862</v>
      </c>
      <c r="DE49" s="266">
        <f>'Torrance Inputs'!$I6*(1+'Torrance Inputs'!$N6)^(DE$8-1)</f>
        <v>18851.93434813862</v>
      </c>
      <c r="DF49" s="266">
        <f>'Torrance Inputs'!$I6*(1+'Torrance Inputs'!$N6)^(DF$8-1)</f>
        <v>18851.93434813862</v>
      </c>
      <c r="DG49" s="266">
        <f>'Torrance Inputs'!$I6*(1+'Torrance Inputs'!$N6)^(DG$8-1)</f>
        <v>19228.973035101393</v>
      </c>
      <c r="DH49" s="266">
        <f>'Torrance Inputs'!$I6*(1+'Torrance Inputs'!$N6)^(DH$8-1)</f>
        <v>19228.973035101393</v>
      </c>
      <c r="DI49" s="266">
        <f>'Torrance Inputs'!$I6*(1+'Torrance Inputs'!$N6)^(DI$8-1)</f>
        <v>19228.973035101393</v>
      </c>
      <c r="DJ49" s="266">
        <f>'Torrance Inputs'!$I6*(1+'Torrance Inputs'!$N6)^(DJ$8-1)</f>
        <v>19228.973035101393</v>
      </c>
      <c r="DK49" s="266">
        <f>'Torrance Inputs'!$I6*(1+'Torrance Inputs'!$N6)^(DK$8-1)</f>
        <v>19228.973035101393</v>
      </c>
      <c r="DL49" s="266">
        <f>'Torrance Inputs'!$I6*(1+'Torrance Inputs'!$N6)^(DL$8-1)</f>
        <v>19228.973035101393</v>
      </c>
      <c r="DM49" s="266">
        <f>'Torrance Inputs'!$I6*(1+'Torrance Inputs'!$N6)^(DM$8-1)</f>
        <v>19228.973035101393</v>
      </c>
      <c r="DN49" s="266">
        <f>'Torrance Inputs'!$I6*(1+'Torrance Inputs'!$N6)^(DN$8-1)</f>
        <v>19228.973035101393</v>
      </c>
      <c r="DO49" s="266">
        <f>'Torrance Inputs'!$I6*(1+'Torrance Inputs'!$N6)^(DO$8-1)</f>
        <v>19228.973035101393</v>
      </c>
      <c r="DP49" s="266">
        <f>'Torrance Inputs'!$I6*(1+'Torrance Inputs'!$N6)^(DP$8-1)</f>
        <v>19228.973035101393</v>
      </c>
      <c r="DQ49" s="266">
        <f>'Torrance Inputs'!$I6*(1+'Torrance Inputs'!$N6)^(DQ$8-1)</f>
        <v>19228.973035101393</v>
      </c>
      <c r="DR49" s="266">
        <f>'Torrance Inputs'!$I6*(1+'Torrance Inputs'!$N6)^(DR$8-1)</f>
        <v>19228.973035101393</v>
      </c>
      <c r="DS49" s="266">
        <f>'Torrance Inputs'!$I6*(1+'Torrance Inputs'!$N6)^(DS$8-1)</f>
        <v>19613.552495803422</v>
      </c>
      <c r="DT49" s="266">
        <f>'Torrance Inputs'!$I6*(1+'Torrance Inputs'!$N6)^(DT$8-1)</f>
        <v>19613.552495803422</v>
      </c>
      <c r="DU49" s="266">
        <f>'Torrance Inputs'!$I6*(1+'Torrance Inputs'!$N6)^(DU$8-1)</f>
        <v>19613.552495803422</v>
      </c>
      <c r="DV49" s="266">
        <f>'Torrance Inputs'!$I6*(1+'Torrance Inputs'!$N6)^(DV$8-1)</f>
        <v>19613.552495803422</v>
      </c>
      <c r="DW49" s="266">
        <f>'Torrance Inputs'!$I6*(1+'Torrance Inputs'!$N6)^(DW$8-1)</f>
        <v>19613.552495803422</v>
      </c>
      <c r="DX49" s="266">
        <f>'Torrance Inputs'!$I6*(1+'Torrance Inputs'!$N6)^(DX$8-1)</f>
        <v>19613.552495803422</v>
      </c>
      <c r="DY49" s="266">
        <f>'Torrance Inputs'!$I6*(1+'Torrance Inputs'!$N6)^(DY$8-1)</f>
        <v>19613.552495803422</v>
      </c>
      <c r="DZ49" s="266">
        <f>'Torrance Inputs'!$I6*(1+'Torrance Inputs'!$N6)^(DZ$8-1)</f>
        <v>19613.552495803422</v>
      </c>
      <c r="EA49" s="266">
        <f>'Torrance Inputs'!$I6*(1+'Torrance Inputs'!$N6)^(EA$8-1)</f>
        <v>19613.552495803422</v>
      </c>
      <c r="EB49" s="266">
        <f>'Torrance Inputs'!$I6*(1+'Torrance Inputs'!$N6)^(EB$8-1)</f>
        <v>19613.552495803422</v>
      </c>
      <c r="EC49" s="266">
        <f>'Torrance Inputs'!$I6*(1+'Torrance Inputs'!$N6)^(EC$8-1)</f>
        <v>19613.552495803422</v>
      </c>
      <c r="ED49" s="266">
        <f>'Torrance Inputs'!$I6*(1+'Torrance Inputs'!$N6)^(ED$8-1)</f>
        <v>19613.552495803422</v>
      </c>
    </row>
    <row r="50" spans="1:134" ht="19.149999999999999" customHeight="1" x14ac:dyDescent="0.4">
      <c r="A50" s="270" t="s">
        <v>151</v>
      </c>
      <c r="B50" s="271">
        <f>C$43*'Torrance Inputs'!$K$8</f>
        <v>3314.3500000000004</v>
      </c>
      <c r="C50" s="266">
        <v>0</v>
      </c>
      <c r="D50" s="266">
        <f>D$43*'Torrance Inputs'!$K$8</f>
        <v>3314.3500000000004</v>
      </c>
      <c r="E50" s="266">
        <f>E$43*'Torrance Inputs'!$K$8</f>
        <v>3314.3500000000004</v>
      </c>
      <c r="F50" s="266">
        <f>F$43*'Torrance Inputs'!$K$8</f>
        <v>3314.3500000000004</v>
      </c>
      <c r="G50" s="266">
        <f>G$43*'Torrance Inputs'!$K$8</f>
        <v>3314.3500000000004</v>
      </c>
      <c r="H50" s="266">
        <f>H$43*'Torrance Inputs'!$K$8</f>
        <v>3314.3500000000004</v>
      </c>
      <c r="I50" s="266">
        <f>I$43*'Torrance Inputs'!$K$8</f>
        <v>3314.3500000000004</v>
      </c>
      <c r="J50" s="266">
        <f>J$43*'Torrance Inputs'!$K$8</f>
        <v>3314.3500000000004</v>
      </c>
      <c r="K50" s="266">
        <f>K$43*'Torrance Inputs'!$K$8</f>
        <v>3314.3500000000004</v>
      </c>
      <c r="L50" s="266">
        <f>L$43*'Torrance Inputs'!$K$8</f>
        <v>3314.3500000000004</v>
      </c>
      <c r="M50" s="266">
        <f>M$43*'Torrance Inputs'!$K$8</f>
        <v>3314.3500000000004</v>
      </c>
      <c r="N50" s="266">
        <f>N$43*'Torrance Inputs'!$K$8</f>
        <v>3314.3500000000004</v>
      </c>
      <c r="O50" s="266">
        <f>O$43*'Torrance Inputs'!$K$8</f>
        <v>3380.3869999999997</v>
      </c>
      <c r="P50" s="266">
        <f>P$43*'Torrance Inputs'!$K$8</f>
        <v>3380.3869999999997</v>
      </c>
      <c r="Q50" s="266">
        <f>Q$43*'Torrance Inputs'!$K$8</f>
        <v>3380.3869999999997</v>
      </c>
      <c r="R50" s="266">
        <f>R$43*'Torrance Inputs'!$K$8</f>
        <v>3380.3869999999997</v>
      </c>
      <c r="S50" s="266">
        <f>S$43*'Torrance Inputs'!$K$8</f>
        <v>3380.3869999999997</v>
      </c>
      <c r="T50" s="266">
        <f>T$43*'Torrance Inputs'!$K$8</f>
        <v>3380.3869999999997</v>
      </c>
      <c r="U50" s="266">
        <f>U$43*'Torrance Inputs'!$K$8</f>
        <v>3380.3869999999997</v>
      </c>
      <c r="V50" s="266">
        <f>V$43*'Torrance Inputs'!$K$8</f>
        <v>3380.3869999999997</v>
      </c>
      <c r="W50" s="266">
        <f>W$43*'Torrance Inputs'!$K$8</f>
        <v>3380.3869999999997</v>
      </c>
      <c r="X50" s="266">
        <f>X$43*'Torrance Inputs'!$K$8</f>
        <v>3380.3869999999997</v>
      </c>
      <c r="Y50" s="266">
        <f>Y$43*'Torrance Inputs'!$K$8</f>
        <v>3380.3869999999997</v>
      </c>
      <c r="Z50" s="266">
        <f>Z$43*'Torrance Inputs'!$K$8</f>
        <v>3380.3869999999997</v>
      </c>
      <c r="AA50" s="266">
        <f>AA$43*'Torrance Inputs'!$K$8</f>
        <v>3447.75974</v>
      </c>
      <c r="AB50" s="266">
        <f>AB$43*'Torrance Inputs'!$K$8</f>
        <v>3447.75974</v>
      </c>
      <c r="AC50" s="266">
        <f>AC$43*'Torrance Inputs'!$K$8</f>
        <v>3447.75974</v>
      </c>
      <c r="AD50" s="266">
        <f>AD$43*'Torrance Inputs'!$K$8</f>
        <v>3447.75974</v>
      </c>
      <c r="AE50" s="266">
        <f>AE$43*'Torrance Inputs'!$K$8</f>
        <v>3447.75974</v>
      </c>
      <c r="AF50" s="266">
        <f>AF$43*'Torrance Inputs'!$K$8</f>
        <v>3447.75974</v>
      </c>
      <c r="AG50" s="266">
        <f>AG$43*'Torrance Inputs'!$K$8</f>
        <v>3447.75974</v>
      </c>
      <c r="AH50" s="266">
        <f>AH$43*'Torrance Inputs'!$K$8</f>
        <v>3447.75974</v>
      </c>
      <c r="AI50" s="266">
        <f>AI$43*'Torrance Inputs'!$K$8</f>
        <v>3447.75974</v>
      </c>
      <c r="AJ50" s="266">
        <f>AJ$43*'Torrance Inputs'!$K$8</f>
        <v>3447.75974</v>
      </c>
      <c r="AK50" s="266">
        <f>AK$43*'Torrance Inputs'!$K$8</f>
        <v>3447.75974</v>
      </c>
      <c r="AL50" s="266">
        <f>AL$43*'Torrance Inputs'!$K$8</f>
        <v>3447.75974</v>
      </c>
      <c r="AM50" s="266">
        <f>AM$43*'Torrance Inputs'!$K$8</f>
        <v>3516.4953847999996</v>
      </c>
      <c r="AN50" s="266">
        <f>AN$43*'Torrance Inputs'!$K$8</f>
        <v>3516.4953847999996</v>
      </c>
      <c r="AO50" s="266">
        <f>AO$43*'Torrance Inputs'!$K$8</f>
        <v>3516.4953847999996</v>
      </c>
      <c r="AP50" s="266">
        <f>AP$43*'Torrance Inputs'!$K$8</f>
        <v>3516.4953847999996</v>
      </c>
      <c r="AQ50" s="266">
        <f>AQ$43*'Torrance Inputs'!$K$8</f>
        <v>3516.4953847999996</v>
      </c>
      <c r="AR50" s="266">
        <f>AR$43*'Torrance Inputs'!$K$8</f>
        <v>3516.4953847999996</v>
      </c>
      <c r="AS50" s="266">
        <f>AS$43*'Torrance Inputs'!$K$8</f>
        <v>3516.4953847999996</v>
      </c>
      <c r="AT50" s="266">
        <f>AT$43*'Torrance Inputs'!$K$8</f>
        <v>3516.4953847999996</v>
      </c>
      <c r="AU50" s="266">
        <f>AU$43*'Torrance Inputs'!$K$8</f>
        <v>3516.4953847999996</v>
      </c>
      <c r="AV50" s="266">
        <f>AV$43*'Torrance Inputs'!$K$8</f>
        <v>3516.4953847999996</v>
      </c>
      <c r="AW50" s="266">
        <f>AW$43*'Torrance Inputs'!$K$8</f>
        <v>3516.4953847999996</v>
      </c>
      <c r="AX50" s="266">
        <f>AX$43*'Torrance Inputs'!$K$8</f>
        <v>3516.4953847999996</v>
      </c>
      <c r="AY50" s="266">
        <f>AY$43*'Torrance Inputs'!$K$8</f>
        <v>0</v>
      </c>
      <c r="AZ50" s="266">
        <f>AZ$43*'Torrance Inputs'!$K$8</f>
        <v>0</v>
      </c>
      <c r="BA50" s="266">
        <f>BA$43*'Torrance Inputs'!$K$8</f>
        <v>0</v>
      </c>
      <c r="BB50" s="266">
        <f>BB$43*'Torrance Inputs'!$K$8</f>
        <v>0</v>
      </c>
      <c r="BC50" s="266">
        <f>BC$43*'Torrance Inputs'!$K$8</f>
        <v>0</v>
      </c>
      <c r="BD50" s="266">
        <f>BD$43*'Torrance Inputs'!$K$8</f>
        <v>0</v>
      </c>
      <c r="BE50" s="266">
        <f>BE$43*'Torrance Inputs'!$K$8</f>
        <v>0</v>
      </c>
      <c r="BF50" s="266">
        <f>BF$43*'Torrance Inputs'!$K$8</f>
        <v>0</v>
      </c>
      <c r="BG50" s="266">
        <f>BG$43*'Torrance Inputs'!$K$8</f>
        <v>0</v>
      </c>
      <c r="BH50" s="266">
        <f>BH$43*'Torrance Inputs'!$K$8</f>
        <v>0</v>
      </c>
      <c r="BI50" s="266">
        <f>BI$43*'Torrance Inputs'!$K$8</f>
        <v>0</v>
      </c>
      <c r="BJ50" s="266">
        <f>BJ$43*'Torrance Inputs'!$K$8</f>
        <v>0</v>
      </c>
      <c r="BK50" s="266">
        <f>BK$43*'Torrance Inputs'!$K$8</f>
        <v>28329.960455391614</v>
      </c>
      <c r="BL50" s="266">
        <f>BL$43*'Torrance Inputs'!$K$8</f>
        <v>13204.960455391614</v>
      </c>
      <c r="BM50" s="266">
        <f>BM$43*'Torrance Inputs'!$K$8</f>
        <v>13204.960455391614</v>
      </c>
      <c r="BN50" s="266">
        <f>BN$43*'Torrance Inputs'!$K$8</f>
        <v>13204.960455391614</v>
      </c>
      <c r="BO50" s="266">
        <f>BO$43*'Torrance Inputs'!$K$8</f>
        <v>13204.960455391614</v>
      </c>
      <c r="BP50" s="266">
        <f>BP$43*'Torrance Inputs'!$K$8</f>
        <v>13204.960455391614</v>
      </c>
      <c r="BQ50" s="266">
        <f>BQ$43*'Torrance Inputs'!$K$8</f>
        <v>13204.960455391614</v>
      </c>
      <c r="BR50" s="266">
        <f>BR$43*'Torrance Inputs'!$K$8</f>
        <v>13204.960455391614</v>
      </c>
      <c r="BS50" s="266">
        <f>BS$43*'Torrance Inputs'!$K$8</f>
        <v>13204.960455391614</v>
      </c>
      <c r="BT50" s="266">
        <f>BT$43*'Torrance Inputs'!$K$8</f>
        <v>13204.960455391614</v>
      </c>
      <c r="BU50" s="266">
        <f>BU$43*'Torrance Inputs'!$K$8</f>
        <v>13204.960455391614</v>
      </c>
      <c r="BV50" s="266">
        <f>BV$43*'Torrance Inputs'!$K$8</f>
        <v>13204.960455391614</v>
      </c>
      <c r="BW50" s="266">
        <f>BW$43*'Torrance Inputs'!$K$8</f>
        <v>13471.770027775445</v>
      </c>
      <c r="BX50" s="266">
        <f>BX$43*'Torrance Inputs'!$K$8</f>
        <v>13471.770027775445</v>
      </c>
      <c r="BY50" s="266">
        <f>BY$43*'Torrance Inputs'!$K$8</f>
        <v>13471.770027775445</v>
      </c>
      <c r="BZ50" s="266">
        <f>BZ$43*'Torrance Inputs'!$K$8</f>
        <v>13471.770027775445</v>
      </c>
      <c r="CA50" s="266">
        <f>CA$43*'Torrance Inputs'!$K$8</f>
        <v>13471.770027775445</v>
      </c>
      <c r="CB50" s="266">
        <f>CB$43*'Torrance Inputs'!$K$8</f>
        <v>13471.770027775445</v>
      </c>
      <c r="CC50" s="266">
        <f>CC$43*'Torrance Inputs'!$K$8</f>
        <v>13471.770027775445</v>
      </c>
      <c r="CD50" s="266">
        <f>CD$43*'Torrance Inputs'!$K$8</f>
        <v>13471.770027775445</v>
      </c>
      <c r="CE50" s="266">
        <f>CE$43*'Torrance Inputs'!$K$8</f>
        <v>13471.770027775445</v>
      </c>
      <c r="CF50" s="266">
        <f>CF$43*'Torrance Inputs'!$K$8</f>
        <v>13471.770027775445</v>
      </c>
      <c r="CG50" s="266">
        <f>CG$43*'Torrance Inputs'!$K$8</f>
        <v>13471.770027775445</v>
      </c>
      <c r="CH50" s="266">
        <f>CH$43*'Torrance Inputs'!$K$8</f>
        <v>13471.770027775445</v>
      </c>
      <c r="CI50" s="266">
        <f>CI$43*'Torrance Inputs'!$K$8</f>
        <v>13743.933180718064</v>
      </c>
      <c r="CJ50" s="266">
        <f>CJ$43*'Torrance Inputs'!$K$8</f>
        <v>13743.933180718064</v>
      </c>
      <c r="CK50" s="266">
        <f>CK$43*'Torrance Inputs'!$K$8</f>
        <v>13743.933180718064</v>
      </c>
      <c r="CL50" s="266">
        <f>CL$43*'Torrance Inputs'!$K$8</f>
        <v>13743.933180718064</v>
      </c>
      <c r="CM50" s="266">
        <f>CM$43*'Torrance Inputs'!$K$8</f>
        <v>13743.933180718064</v>
      </c>
      <c r="CN50" s="266">
        <f>CN$43*'Torrance Inputs'!$K$8</f>
        <v>13743.933180718064</v>
      </c>
      <c r="CO50" s="266">
        <f>CO$43*'Torrance Inputs'!$K$8</f>
        <v>13743.933180718064</v>
      </c>
      <c r="CP50" s="266">
        <f>CP$43*'Torrance Inputs'!$K$8</f>
        <v>13743.933180718064</v>
      </c>
      <c r="CQ50" s="266">
        <f>CQ$43*'Torrance Inputs'!$K$8</f>
        <v>13743.933180718064</v>
      </c>
      <c r="CR50" s="266">
        <f>CR$43*'Torrance Inputs'!$K$8</f>
        <v>13743.933180718064</v>
      </c>
      <c r="CS50" s="266">
        <f>CS$43*'Torrance Inputs'!$K$8</f>
        <v>13743.933180718064</v>
      </c>
      <c r="CT50" s="266">
        <f>CT$43*'Torrance Inputs'!$K$8</f>
        <v>13743.933180718064</v>
      </c>
      <c r="CU50" s="266">
        <f>CU$43*'Torrance Inputs'!$K$8</f>
        <v>14021.557507503989</v>
      </c>
      <c r="CV50" s="266">
        <f>CV$43*'Torrance Inputs'!$K$8</f>
        <v>14021.557507503989</v>
      </c>
      <c r="CW50" s="266">
        <f>CW$43*'Torrance Inputs'!$K$8</f>
        <v>14021.557507503989</v>
      </c>
      <c r="CX50" s="266">
        <f>CX$43*'Torrance Inputs'!$K$8</f>
        <v>14021.557507503989</v>
      </c>
      <c r="CY50" s="266">
        <f>CY$43*'Torrance Inputs'!$K$8</f>
        <v>14021.557507503989</v>
      </c>
      <c r="CZ50" s="266">
        <f>CZ$43*'Torrance Inputs'!$K$8</f>
        <v>14021.557507503989</v>
      </c>
      <c r="DA50" s="266">
        <f>DA$43*'Torrance Inputs'!$K$8</f>
        <v>14021.557507503989</v>
      </c>
      <c r="DB50" s="266">
        <f>DB$43*'Torrance Inputs'!$K$8</f>
        <v>14021.557507503989</v>
      </c>
      <c r="DC50" s="266">
        <f>DC$43*'Torrance Inputs'!$K$8</f>
        <v>14021.557507503989</v>
      </c>
      <c r="DD50" s="266">
        <f>DD$43*'Torrance Inputs'!$K$8</f>
        <v>14021.557507503989</v>
      </c>
      <c r="DE50" s="266">
        <f>DE$43*'Torrance Inputs'!$K$8</f>
        <v>14021.557507503989</v>
      </c>
      <c r="DF50" s="266">
        <f>DF$43*'Torrance Inputs'!$K$8</f>
        <v>14021.557507503989</v>
      </c>
      <c r="DG50" s="266">
        <f>DG$43*'Torrance Inputs'!$K$8</f>
        <v>14304.752768933609</v>
      </c>
      <c r="DH50" s="266">
        <f>DH$43*'Torrance Inputs'!$K$8</f>
        <v>14304.752768933609</v>
      </c>
      <c r="DI50" s="266">
        <f>DI$43*'Torrance Inputs'!$K$8</f>
        <v>14304.752768933609</v>
      </c>
      <c r="DJ50" s="266">
        <f>DJ$43*'Torrance Inputs'!$K$8</f>
        <v>14304.752768933609</v>
      </c>
      <c r="DK50" s="266">
        <f>DK$43*'Torrance Inputs'!$K$8</f>
        <v>14304.752768933609</v>
      </c>
      <c r="DL50" s="266">
        <f>DL$43*'Torrance Inputs'!$K$8</f>
        <v>14304.752768933609</v>
      </c>
      <c r="DM50" s="266">
        <f>DM$43*'Torrance Inputs'!$K$8</f>
        <v>14304.752768933609</v>
      </c>
      <c r="DN50" s="266">
        <f>DN$43*'Torrance Inputs'!$K$8</f>
        <v>14304.752768933609</v>
      </c>
      <c r="DO50" s="266">
        <f>DO$43*'Torrance Inputs'!$K$8</f>
        <v>14304.752768933609</v>
      </c>
      <c r="DP50" s="266">
        <f>DP$43*'Torrance Inputs'!$K$8</f>
        <v>14304.752768933609</v>
      </c>
      <c r="DQ50" s="266">
        <f>DQ$43*'Torrance Inputs'!$K$8</f>
        <v>14304.752768933609</v>
      </c>
      <c r="DR50" s="266">
        <f>DR$43*'Torrance Inputs'!$K$8</f>
        <v>14304.752768933609</v>
      </c>
      <c r="DS50" s="266">
        <f>DS$43*'Torrance Inputs'!$K$8</f>
        <v>14593.630937143047</v>
      </c>
      <c r="DT50" s="266">
        <f>DT$43*'Torrance Inputs'!$K$8</f>
        <v>14593.630937143047</v>
      </c>
      <c r="DU50" s="266">
        <f>DU$43*'Torrance Inputs'!$K$8</f>
        <v>14593.630937143047</v>
      </c>
      <c r="DV50" s="266">
        <f>DV$43*'Torrance Inputs'!$K$8</f>
        <v>14593.630937143047</v>
      </c>
      <c r="DW50" s="266">
        <f>DW$43*'Torrance Inputs'!$K$8</f>
        <v>14593.630937143047</v>
      </c>
      <c r="DX50" s="266">
        <f>DX$43*'Torrance Inputs'!$K$8</f>
        <v>14593.630937143047</v>
      </c>
      <c r="DY50" s="266">
        <f>DY$43*'Torrance Inputs'!$K$8</f>
        <v>14593.630937143047</v>
      </c>
      <c r="DZ50" s="266">
        <f>DZ$43*'Torrance Inputs'!$K$8</f>
        <v>14593.630937143047</v>
      </c>
      <c r="EA50" s="266">
        <f>EA$43*'Torrance Inputs'!$K$8</f>
        <v>14593.630937143047</v>
      </c>
      <c r="EB50" s="266">
        <f>EB$43*'Torrance Inputs'!$K$8</f>
        <v>14593.630937143047</v>
      </c>
      <c r="EC50" s="266">
        <f>EC$43*'Torrance Inputs'!$K$8</f>
        <v>14593.630937143047</v>
      </c>
      <c r="ED50" s="266">
        <f>ED$43*'Torrance Inputs'!$K$8</f>
        <v>14593.630937143047</v>
      </c>
    </row>
    <row r="51" spans="1:134" ht="19.149999999999999" customHeight="1" x14ac:dyDescent="0.4">
      <c r="A51" s="264" t="s">
        <v>194</v>
      </c>
      <c r="B51" s="264"/>
      <c r="C51" s="263">
        <f t="shared" ref="C51:AH51" si="55">SUM(C46:C50)</f>
        <v>19006.611111111113</v>
      </c>
      <c r="D51" s="263">
        <f t="shared" si="55"/>
        <v>22320.961111111115</v>
      </c>
      <c r="E51" s="263">
        <f t="shared" si="55"/>
        <v>22320.961111111115</v>
      </c>
      <c r="F51" s="263">
        <f t="shared" si="55"/>
        <v>22320.961111111115</v>
      </c>
      <c r="G51" s="263">
        <f t="shared" si="55"/>
        <v>22320.961111111115</v>
      </c>
      <c r="H51" s="263">
        <f t="shared" si="55"/>
        <v>22320.961111111115</v>
      </c>
      <c r="I51" s="263">
        <f t="shared" si="55"/>
        <v>22320.961111111115</v>
      </c>
      <c r="J51" s="263">
        <f t="shared" si="55"/>
        <v>22320.961111111115</v>
      </c>
      <c r="K51" s="263">
        <f t="shared" si="55"/>
        <v>22320.961111111115</v>
      </c>
      <c r="L51" s="263">
        <f t="shared" si="55"/>
        <v>22320.961111111115</v>
      </c>
      <c r="M51" s="263">
        <f t="shared" si="55"/>
        <v>22320.961111111115</v>
      </c>
      <c r="N51" s="263">
        <f t="shared" si="55"/>
        <v>22320.961111111115</v>
      </c>
      <c r="O51" s="263">
        <f t="shared" si="55"/>
        <v>22796.297000000002</v>
      </c>
      <c r="P51" s="263">
        <f t="shared" si="55"/>
        <v>22796.297000000002</v>
      </c>
      <c r="Q51" s="263">
        <f t="shared" si="55"/>
        <v>22796.297000000002</v>
      </c>
      <c r="R51" s="263">
        <f t="shared" si="55"/>
        <v>22796.297000000002</v>
      </c>
      <c r="S51" s="263">
        <f t="shared" si="55"/>
        <v>22796.297000000002</v>
      </c>
      <c r="T51" s="263">
        <f t="shared" si="55"/>
        <v>22796.297000000002</v>
      </c>
      <c r="U51" s="263">
        <f t="shared" si="55"/>
        <v>22796.297000000002</v>
      </c>
      <c r="V51" s="263">
        <f t="shared" si="55"/>
        <v>22796.297000000002</v>
      </c>
      <c r="W51" s="263">
        <f t="shared" si="55"/>
        <v>22796.297000000002</v>
      </c>
      <c r="X51" s="263">
        <f t="shared" si="55"/>
        <v>22796.297000000002</v>
      </c>
      <c r="Y51" s="263">
        <f t="shared" si="55"/>
        <v>22796.297000000002</v>
      </c>
      <c r="Z51" s="263">
        <f t="shared" si="55"/>
        <v>22796.297000000002</v>
      </c>
      <c r="AA51" s="263">
        <f t="shared" si="55"/>
        <v>23282.029606666671</v>
      </c>
      <c r="AB51" s="263">
        <f t="shared" si="55"/>
        <v>23282.029606666671</v>
      </c>
      <c r="AC51" s="263">
        <f t="shared" si="55"/>
        <v>23282.029606666671</v>
      </c>
      <c r="AD51" s="263">
        <f t="shared" si="55"/>
        <v>23282.029606666671</v>
      </c>
      <c r="AE51" s="263">
        <f t="shared" si="55"/>
        <v>23282.029606666671</v>
      </c>
      <c r="AF51" s="263">
        <f t="shared" si="55"/>
        <v>23282.029606666671</v>
      </c>
      <c r="AG51" s="263">
        <f t="shared" si="55"/>
        <v>23282.029606666671</v>
      </c>
      <c r="AH51" s="263">
        <f t="shared" si="55"/>
        <v>23282.029606666671</v>
      </c>
      <c r="AI51" s="263">
        <f t="shared" ref="AI51:BN51" si="56">SUM(AI46:AI50)</f>
        <v>23282.029606666671</v>
      </c>
      <c r="AJ51" s="263">
        <f t="shared" si="56"/>
        <v>23282.029606666671</v>
      </c>
      <c r="AK51" s="263">
        <f t="shared" si="56"/>
        <v>23282.029606666671</v>
      </c>
      <c r="AL51" s="263">
        <f t="shared" si="56"/>
        <v>23282.029606666671</v>
      </c>
      <c r="AM51" s="263">
        <f t="shared" si="56"/>
        <v>23778.393565466664</v>
      </c>
      <c r="AN51" s="263">
        <f t="shared" si="56"/>
        <v>23778.393565466664</v>
      </c>
      <c r="AO51" s="263">
        <f t="shared" si="56"/>
        <v>23778.393565466664</v>
      </c>
      <c r="AP51" s="263">
        <f t="shared" si="56"/>
        <v>23778.393565466664</v>
      </c>
      <c r="AQ51" s="263">
        <f t="shared" si="56"/>
        <v>23778.393565466664</v>
      </c>
      <c r="AR51" s="263">
        <f t="shared" si="56"/>
        <v>23778.393565466664</v>
      </c>
      <c r="AS51" s="263">
        <f t="shared" si="56"/>
        <v>23778.393565466664</v>
      </c>
      <c r="AT51" s="263">
        <f t="shared" si="56"/>
        <v>23778.393565466664</v>
      </c>
      <c r="AU51" s="263">
        <f t="shared" si="56"/>
        <v>23778.393565466664</v>
      </c>
      <c r="AV51" s="263">
        <f t="shared" si="56"/>
        <v>23778.393565466664</v>
      </c>
      <c r="AW51" s="263">
        <f t="shared" si="56"/>
        <v>23778.393565466664</v>
      </c>
      <c r="AX51" s="263">
        <f t="shared" si="56"/>
        <v>23778.393565466664</v>
      </c>
      <c r="AY51" s="263">
        <f t="shared" si="56"/>
        <v>17416.273319280001</v>
      </c>
      <c r="AZ51" s="263">
        <f t="shared" si="56"/>
        <v>17416.273319280001</v>
      </c>
      <c r="BA51" s="263">
        <f t="shared" si="56"/>
        <v>17416.273319280001</v>
      </c>
      <c r="BB51" s="263">
        <f t="shared" si="56"/>
        <v>17416.273319280001</v>
      </c>
      <c r="BC51" s="263">
        <f t="shared" si="56"/>
        <v>17416.273319280001</v>
      </c>
      <c r="BD51" s="263">
        <f t="shared" si="56"/>
        <v>17416.273319280001</v>
      </c>
      <c r="BE51" s="263">
        <f t="shared" si="56"/>
        <v>17416.273319280001</v>
      </c>
      <c r="BF51" s="263">
        <f t="shared" si="56"/>
        <v>17416.273319280001</v>
      </c>
      <c r="BG51" s="263">
        <f t="shared" si="56"/>
        <v>17416.273319280001</v>
      </c>
      <c r="BH51" s="263">
        <f t="shared" si="56"/>
        <v>17416.273319280001</v>
      </c>
      <c r="BI51" s="263">
        <f t="shared" si="56"/>
        <v>17416.273319280001</v>
      </c>
      <c r="BJ51" s="263">
        <f t="shared" si="56"/>
        <v>17416.273319280001</v>
      </c>
      <c r="BK51" s="263">
        <f t="shared" si="56"/>
        <v>49475.775291098878</v>
      </c>
      <c r="BL51" s="263">
        <f t="shared" si="56"/>
        <v>34350.775291098878</v>
      </c>
      <c r="BM51" s="263">
        <f t="shared" si="56"/>
        <v>34350.775291098878</v>
      </c>
      <c r="BN51" s="263">
        <f t="shared" si="56"/>
        <v>34350.775291098878</v>
      </c>
      <c r="BO51" s="263">
        <f t="shared" ref="BO51:CT51" si="57">SUM(BO46:BO50)</f>
        <v>34350.775291098878</v>
      </c>
      <c r="BP51" s="263">
        <f t="shared" si="57"/>
        <v>34350.775291098878</v>
      </c>
      <c r="BQ51" s="263">
        <f t="shared" si="57"/>
        <v>34350.775291098878</v>
      </c>
      <c r="BR51" s="263">
        <f t="shared" si="57"/>
        <v>34350.775291098878</v>
      </c>
      <c r="BS51" s="263">
        <f t="shared" si="57"/>
        <v>34350.775291098878</v>
      </c>
      <c r="BT51" s="263">
        <f t="shared" si="57"/>
        <v>34350.775291098878</v>
      </c>
      <c r="BU51" s="263">
        <f t="shared" si="57"/>
        <v>34350.775291098878</v>
      </c>
      <c r="BV51" s="263">
        <f t="shared" si="57"/>
        <v>34350.775291098878</v>
      </c>
      <c r="BW51" s="263">
        <f t="shared" si="57"/>
        <v>35074.313320697271</v>
      </c>
      <c r="BX51" s="263">
        <f t="shared" si="57"/>
        <v>35074.313320697271</v>
      </c>
      <c r="BY51" s="263">
        <f t="shared" si="57"/>
        <v>35074.313320697271</v>
      </c>
      <c r="BZ51" s="263">
        <f t="shared" si="57"/>
        <v>35074.313320697271</v>
      </c>
      <c r="CA51" s="263">
        <f t="shared" si="57"/>
        <v>35074.313320697271</v>
      </c>
      <c r="CB51" s="263">
        <f t="shared" si="57"/>
        <v>35074.313320697271</v>
      </c>
      <c r="CC51" s="263">
        <f t="shared" si="57"/>
        <v>35074.313320697271</v>
      </c>
      <c r="CD51" s="263">
        <f t="shared" si="57"/>
        <v>35074.313320697271</v>
      </c>
      <c r="CE51" s="263">
        <f t="shared" si="57"/>
        <v>35074.313320697271</v>
      </c>
      <c r="CF51" s="263">
        <f t="shared" si="57"/>
        <v>35074.313320697271</v>
      </c>
      <c r="CG51" s="263">
        <f t="shared" si="57"/>
        <v>35074.313320697271</v>
      </c>
      <c r="CH51" s="263">
        <f t="shared" si="57"/>
        <v>35074.313320697271</v>
      </c>
      <c r="CI51" s="263">
        <f t="shared" si="57"/>
        <v>35813.353864813755</v>
      </c>
      <c r="CJ51" s="263">
        <f t="shared" si="57"/>
        <v>35813.353864813755</v>
      </c>
      <c r="CK51" s="263">
        <f t="shared" si="57"/>
        <v>35813.353864813755</v>
      </c>
      <c r="CL51" s="263">
        <f t="shared" si="57"/>
        <v>35813.353864813755</v>
      </c>
      <c r="CM51" s="263">
        <f t="shared" si="57"/>
        <v>35813.353864813755</v>
      </c>
      <c r="CN51" s="263">
        <f t="shared" si="57"/>
        <v>35813.353864813755</v>
      </c>
      <c r="CO51" s="263">
        <f t="shared" si="57"/>
        <v>35813.353864813755</v>
      </c>
      <c r="CP51" s="263">
        <f t="shared" si="57"/>
        <v>35813.353864813755</v>
      </c>
      <c r="CQ51" s="263">
        <f t="shared" si="57"/>
        <v>35813.353864813755</v>
      </c>
      <c r="CR51" s="263">
        <f t="shared" si="57"/>
        <v>35813.353864813755</v>
      </c>
      <c r="CS51" s="263">
        <f t="shared" si="57"/>
        <v>35813.353864813755</v>
      </c>
      <c r="CT51" s="263">
        <f t="shared" si="57"/>
        <v>35813.353864813755</v>
      </c>
      <c r="CU51" s="263">
        <f t="shared" ref="CU51:DZ51" si="58">SUM(CU46:CU50)</f>
        <v>36568.237926356487</v>
      </c>
      <c r="CV51" s="263">
        <f t="shared" si="58"/>
        <v>36568.237926356487</v>
      </c>
      <c r="CW51" s="263">
        <f t="shared" si="58"/>
        <v>36568.237926356487</v>
      </c>
      <c r="CX51" s="263">
        <f t="shared" si="58"/>
        <v>36568.237926356487</v>
      </c>
      <c r="CY51" s="263">
        <f t="shared" si="58"/>
        <v>36568.237926356487</v>
      </c>
      <c r="CZ51" s="263">
        <f t="shared" si="58"/>
        <v>36568.237926356487</v>
      </c>
      <c r="DA51" s="263">
        <f t="shared" si="58"/>
        <v>36568.237926356487</v>
      </c>
      <c r="DB51" s="263">
        <f t="shared" si="58"/>
        <v>36568.237926356487</v>
      </c>
      <c r="DC51" s="263">
        <f t="shared" si="58"/>
        <v>36568.237926356487</v>
      </c>
      <c r="DD51" s="263">
        <f t="shared" si="58"/>
        <v>36568.237926356487</v>
      </c>
      <c r="DE51" s="263">
        <f t="shared" si="58"/>
        <v>36568.237926356487</v>
      </c>
      <c r="DF51" s="263">
        <f t="shared" si="58"/>
        <v>36568.237926356487</v>
      </c>
      <c r="DG51" s="263">
        <f t="shared" si="58"/>
        <v>37339.314256870304</v>
      </c>
      <c r="DH51" s="263">
        <f t="shared" si="58"/>
        <v>37339.314256870304</v>
      </c>
      <c r="DI51" s="263">
        <f t="shared" si="58"/>
        <v>37339.314256870304</v>
      </c>
      <c r="DJ51" s="263">
        <f t="shared" si="58"/>
        <v>37339.314256870304</v>
      </c>
      <c r="DK51" s="263">
        <f t="shared" si="58"/>
        <v>37339.314256870304</v>
      </c>
      <c r="DL51" s="263">
        <f t="shared" si="58"/>
        <v>37339.314256870304</v>
      </c>
      <c r="DM51" s="263">
        <f t="shared" si="58"/>
        <v>37339.314256870304</v>
      </c>
      <c r="DN51" s="263">
        <f t="shared" si="58"/>
        <v>37339.314256870304</v>
      </c>
      <c r="DO51" s="263">
        <f t="shared" si="58"/>
        <v>37339.314256870304</v>
      </c>
      <c r="DP51" s="263">
        <f t="shared" si="58"/>
        <v>37339.314256870304</v>
      </c>
      <c r="DQ51" s="263">
        <f t="shared" si="58"/>
        <v>37339.314256870304</v>
      </c>
      <c r="DR51" s="263">
        <f t="shared" si="58"/>
        <v>37339.314256870304</v>
      </c>
      <c r="DS51" s="263">
        <f t="shared" si="58"/>
        <v>38126.939539366824</v>
      </c>
      <c r="DT51" s="263">
        <f t="shared" si="58"/>
        <v>38126.939539366824</v>
      </c>
      <c r="DU51" s="263">
        <f t="shared" si="58"/>
        <v>38126.939539366824</v>
      </c>
      <c r="DV51" s="263">
        <f t="shared" si="58"/>
        <v>38126.939539366824</v>
      </c>
      <c r="DW51" s="263">
        <f t="shared" si="58"/>
        <v>38126.939539366824</v>
      </c>
      <c r="DX51" s="263">
        <f t="shared" si="58"/>
        <v>38126.939539366824</v>
      </c>
      <c r="DY51" s="263">
        <f t="shared" si="58"/>
        <v>38126.939539366824</v>
      </c>
      <c r="DZ51" s="263">
        <f t="shared" si="58"/>
        <v>38126.939539366824</v>
      </c>
      <c r="EA51" s="263">
        <f t="shared" ref="EA51:ED51" si="59">SUM(EA46:EA50)</f>
        <v>38126.939539366824</v>
      </c>
      <c r="EB51" s="263">
        <f t="shared" si="59"/>
        <v>38126.939539366824</v>
      </c>
      <c r="EC51" s="263">
        <f t="shared" si="59"/>
        <v>38126.939539366824</v>
      </c>
      <c r="ED51" s="263">
        <f t="shared" si="59"/>
        <v>38126.939539366824</v>
      </c>
    </row>
    <row r="52" spans="1:134" ht="19.149999999999999" customHeight="1" x14ac:dyDescent="0.4">
      <c r="A52" s="259" t="s">
        <v>182</v>
      </c>
      <c r="C52" s="267"/>
      <c r="D52" s="267"/>
      <c r="E52" s="267"/>
      <c r="F52" s="267"/>
      <c r="G52" s="267"/>
      <c r="H52" s="267"/>
      <c r="I52" s="267"/>
      <c r="J52" s="267"/>
      <c r="K52" s="267"/>
      <c r="L52" s="267"/>
      <c r="M52" s="267"/>
      <c r="N52" s="267"/>
      <c r="O52" s="267"/>
      <c r="P52" s="267"/>
      <c r="Q52" s="267"/>
      <c r="R52" s="267"/>
      <c r="S52" s="267"/>
      <c r="T52" s="267"/>
      <c r="U52" s="267"/>
      <c r="V52" s="267"/>
      <c r="W52" s="267"/>
      <c r="X52" s="267"/>
      <c r="Y52" s="267"/>
      <c r="Z52" s="267"/>
      <c r="AA52" s="267"/>
      <c r="AB52" s="267"/>
      <c r="AC52" s="267"/>
      <c r="AD52" s="267"/>
      <c r="AE52" s="267"/>
      <c r="AF52" s="267"/>
      <c r="AG52" s="267"/>
      <c r="AH52" s="267"/>
      <c r="AI52" s="267"/>
      <c r="AJ52" s="267"/>
      <c r="AK52" s="267"/>
      <c r="AL52" s="267"/>
      <c r="AM52" s="267"/>
      <c r="AN52" s="267"/>
      <c r="AO52" s="267"/>
      <c r="AP52" s="267"/>
      <c r="AQ52" s="267"/>
      <c r="AR52" s="267"/>
      <c r="AS52" s="267"/>
      <c r="AT52" s="267"/>
      <c r="AU52" s="267"/>
      <c r="AV52" s="267"/>
      <c r="AW52" s="267"/>
      <c r="AX52" s="267"/>
      <c r="AY52" s="267"/>
      <c r="AZ52" s="267"/>
      <c r="BA52" s="267"/>
      <c r="BB52" s="267"/>
      <c r="BC52" s="267"/>
      <c r="BD52" s="267"/>
      <c r="BE52" s="267"/>
      <c r="BF52" s="267"/>
      <c r="BG52" s="267"/>
      <c r="BH52" s="267"/>
      <c r="BI52" s="267"/>
      <c r="BJ52" s="267"/>
      <c r="BK52" s="267"/>
      <c r="BL52" s="267"/>
      <c r="BM52" s="267"/>
      <c r="BN52" s="267"/>
      <c r="BO52" s="267"/>
      <c r="BP52" s="267"/>
      <c r="BQ52" s="267"/>
      <c r="BR52" s="267"/>
      <c r="BS52" s="267"/>
      <c r="BT52" s="267"/>
      <c r="BU52" s="267"/>
      <c r="BV52" s="267"/>
      <c r="BW52" s="267"/>
      <c r="BX52" s="267"/>
      <c r="BY52" s="267"/>
      <c r="BZ52" s="267"/>
      <c r="CA52" s="267"/>
      <c r="CB52" s="267"/>
      <c r="CC52" s="267"/>
      <c r="CD52" s="267"/>
      <c r="CE52" s="267"/>
      <c r="CF52" s="267"/>
      <c r="CG52" s="267"/>
      <c r="CH52" s="267"/>
      <c r="CI52" s="267"/>
      <c r="CJ52" s="267"/>
      <c r="CK52" s="267"/>
      <c r="CL52" s="267"/>
      <c r="CM52" s="267"/>
      <c r="CN52" s="267"/>
      <c r="CO52" s="267"/>
      <c r="CP52" s="267"/>
      <c r="CQ52" s="267"/>
      <c r="CR52" s="267"/>
      <c r="CS52" s="267"/>
      <c r="CT52" s="267"/>
      <c r="CU52" s="267"/>
      <c r="CV52" s="267"/>
      <c r="CW52" s="267"/>
      <c r="CX52" s="267"/>
      <c r="CY52" s="267"/>
      <c r="CZ52" s="267"/>
      <c r="DA52" s="267"/>
      <c r="DB52" s="267"/>
      <c r="DC52" s="267"/>
      <c r="DD52" s="267"/>
      <c r="DE52" s="267"/>
      <c r="DF52" s="267"/>
      <c r="DG52" s="267"/>
      <c r="DH52" s="267"/>
      <c r="DI52" s="267"/>
      <c r="DJ52" s="267"/>
      <c r="DK52" s="267"/>
      <c r="DL52" s="267"/>
      <c r="DM52" s="267"/>
      <c r="DN52" s="267"/>
      <c r="DO52" s="267"/>
      <c r="DP52" s="267"/>
      <c r="DQ52" s="267"/>
      <c r="DR52" s="267"/>
      <c r="DS52" s="267"/>
      <c r="DT52" s="267"/>
      <c r="DU52" s="267"/>
      <c r="DV52" s="267"/>
      <c r="DW52" s="267"/>
      <c r="DX52" s="267"/>
      <c r="DY52" s="267"/>
      <c r="DZ52" s="267"/>
      <c r="EA52" s="267"/>
      <c r="EB52" s="267"/>
      <c r="EC52" s="267"/>
      <c r="ED52" s="267"/>
    </row>
    <row r="53" spans="1:134" ht="19.149999999999999" customHeight="1" x14ac:dyDescent="0.4">
      <c r="A53" s="264" t="s">
        <v>193</v>
      </c>
      <c r="B53" s="264"/>
      <c r="C53" s="263">
        <f t="shared" ref="C53:AH53" si="60">C43-C51</f>
        <v>91471.722222222234</v>
      </c>
      <c r="D53" s="263">
        <f t="shared" si="60"/>
        <v>88157.372222222228</v>
      </c>
      <c r="E53" s="263">
        <f t="shared" si="60"/>
        <v>88157.372222222228</v>
      </c>
      <c r="F53" s="263">
        <f t="shared" si="60"/>
        <v>88157.372222222228</v>
      </c>
      <c r="G53" s="263">
        <f t="shared" si="60"/>
        <v>88157.372222222228</v>
      </c>
      <c r="H53" s="263">
        <f t="shared" si="60"/>
        <v>88157.372222222228</v>
      </c>
      <c r="I53" s="263">
        <f t="shared" si="60"/>
        <v>88157.372222222228</v>
      </c>
      <c r="J53" s="263">
        <f t="shared" si="60"/>
        <v>88157.372222222228</v>
      </c>
      <c r="K53" s="263">
        <f t="shared" si="60"/>
        <v>88157.372222222228</v>
      </c>
      <c r="L53" s="263">
        <f t="shared" si="60"/>
        <v>88157.372222222228</v>
      </c>
      <c r="M53" s="263">
        <f t="shared" si="60"/>
        <v>88157.372222222228</v>
      </c>
      <c r="N53" s="263">
        <f t="shared" si="60"/>
        <v>88157.372222222228</v>
      </c>
      <c r="O53" s="263">
        <f t="shared" si="60"/>
        <v>89883.26966666666</v>
      </c>
      <c r="P53" s="263">
        <f t="shared" si="60"/>
        <v>89883.26966666666</v>
      </c>
      <c r="Q53" s="263">
        <f t="shared" si="60"/>
        <v>89883.26966666666</v>
      </c>
      <c r="R53" s="263">
        <f t="shared" si="60"/>
        <v>89883.26966666666</v>
      </c>
      <c r="S53" s="263">
        <f t="shared" si="60"/>
        <v>89883.26966666666</v>
      </c>
      <c r="T53" s="263">
        <f t="shared" si="60"/>
        <v>89883.26966666666</v>
      </c>
      <c r="U53" s="263">
        <f t="shared" si="60"/>
        <v>89883.26966666666</v>
      </c>
      <c r="V53" s="263">
        <f t="shared" si="60"/>
        <v>89883.26966666666</v>
      </c>
      <c r="W53" s="263">
        <f t="shared" si="60"/>
        <v>89883.26966666666</v>
      </c>
      <c r="X53" s="263">
        <f t="shared" si="60"/>
        <v>89883.26966666666</v>
      </c>
      <c r="Y53" s="263">
        <f t="shared" si="60"/>
        <v>89883.26966666666</v>
      </c>
      <c r="Z53" s="263">
        <f t="shared" si="60"/>
        <v>89883.26966666666</v>
      </c>
      <c r="AA53" s="263">
        <f t="shared" si="60"/>
        <v>91643.295060000004</v>
      </c>
      <c r="AB53" s="263">
        <f t="shared" si="60"/>
        <v>91643.295060000004</v>
      </c>
      <c r="AC53" s="263">
        <f t="shared" si="60"/>
        <v>91643.295060000004</v>
      </c>
      <c r="AD53" s="263">
        <f t="shared" si="60"/>
        <v>91643.295060000004</v>
      </c>
      <c r="AE53" s="263">
        <f t="shared" si="60"/>
        <v>91643.295060000004</v>
      </c>
      <c r="AF53" s="263">
        <f t="shared" si="60"/>
        <v>91643.295060000004</v>
      </c>
      <c r="AG53" s="263">
        <f t="shared" si="60"/>
        <v>91643.295060000004</v>
      </c>
      <c r="AH53" s="263">
        <f t="shared" si="60"/>
        <v>91643.295060000004</v>
      </c>
      <c r="AI53" s="263">
        <f t="shared" ref="AI53:BN53" si="61">AI43-AI51</f>
        <v>91643.295060000004</v>
      </c>
      <c r="AJ53" s="263">
        <f t="shared" si="61"/>
        <v>91643.295060000004</v>
      </c>
      <c r="AK53" s="263">
        <f t="shared" si="61"/>
        <v>91643.295060000004</v>
      </c>
      <c r="AL53" s="263">
        <f t="shared" si="61"/>
        <v>91643.295060000004</v>
      </c>
      <c r="AM53" s="263">
        <f t="shared" si="61"/>
        <v>93438.119261199987</v>
      </c>
      <c r="AN53" s="263">
        <f t="shared" si="61"/>
        <v>93438.119261199987</v>
      </c>
      <c r="AO53" s="263">
        <f t="shared" si="61"/>
        <v>93438.119261199987</v>
      </c>
      <c r="AP53" s="263">
        <f t="shared" si="61"/>
        <v>93438.119261199987</v>
      </c>
      <c r="AQ53" s="263">
        <f t="shared" si="61"/>
        <v>93438.119261199987</v>
      </c>
      <c r="AR53" s="263">
        <f t="shared" si="61"/>
        <v>93438.119261199987</v>
      </c>
      <c r="AS53" s="263">
        <f t="shared" si="61"/>
        <v>93438.119261199987</v>
      </c>
      <c r="AT53" s="263">
        <f t="shared" si="61"/>
        <v>93438.119261199987</v>
      </c>
      <c r="AU53" s="263">
        <f t="shared" si="61"/>
        <v>93438.119261199987</v>
      </c>
      <c r="AV53" s="263">
        <f t="shared" si="61"/>
        <v>93438.119261199987</v>
      </c>
      <c r="AW53" s="263">
        <f t="shared" si="61"/>
        <v>93438.119261199987</v>
      </c>
      <c r="AX53" s="263">
        <f t="shared" si="61"/>
        <v>93438.119261199987</v>
      </c>
      <c r="AY53" s="263">
        <f t="shared" si="61"/>
        <v>-17416.273319280001</v>
      </c>
      <c r="AZ53" s="263">
        <f t="shared" si="61"/>
        <v>-17416.273319280001</v>
      </c>
      <c r="BA53" s="263">
        <f t="shared" si="61"/>
        <v>-17416.273319280001</v>
      </c>
      <c r="BB53" s="263">
        <f t="shared" si="61"/>
        <v>-17416.273319280001</v>
      </c>
      <c r="BC53" s="263">
        <f t="shared" si="61"/>
        <v>-17416.273319280001</v>
      </c>
      <c r="BD53" s="263">
        <f t="shared" si="61"/>
        <v>-17416.273319280001</v>
      </c>
      <c r="BE53" s="263">
        <f t="shared" si="61"/>
        <v>-17416.273319280001</v>
      </c>
      <c r="BF53" s="263">
        <f t="shared" si="61"/>
        <v>-17416.273319280001</v>
      </c>
      <c r="BG53" s="263">
        <f t="shared" si="61"/>
        <v>-17416.273319280001</v>
      </c>
      <c r="BH53" s="263">
        <f t="shared" si="61"/>
        <v>-17416.273319280001</v>
      </c>
      <c r="BI53" s="263">
        <f t="shared" si="61"/>
        <v>-17416.273319280001</v>
      </c>
      <c r="BJ53" s="263">
        <f t="shared" si="61"/>
        <v>-17416.273319280001</v>
      </c>
      <c r="BK53" s="263">
        <f t="shared" si="61"/>
        <v>894856.23988862161</v>
      </c>
      <c r="BL53" s="263">
        <f t="shared" si="61"/>
        <v>405814.57322195498</v>
      </c>
      <c r="BM53" s="263">
        <f t="shared" si="61"/>
        <v>405814.57322195498</v>
      </c>
      <c r="BN53" s="263">
        <f t="shared" si="61"/>
        <v>405814.57322195498</v>
      </c>
      <c r="BO53" s="263">
        <f t="shared" ref="BO53:CT53" si="62">BO43-BO51</f>
        <v>405814.57322195498</v>
      </c>
      <c r="BP53" s="263">
        <f t="shared" si="62"/>
        <v>405814.57322195498</v>
      </c>
      <c r="BQ53" s="263">
        <f t="shared" si="62"/>
        <v>405814.57322195498</v>
      </c>
      <c r="BR53" s="263">
        <f t="shared" si="62"/>
        <v>405814.57322195498</v>
      </c>
      <c r="BS53" s="263">
        <f t="shared" si="62"/>
        <v>405814.57322195498</v>
      </c>
      <c r="BT53" s="263">
        <f t="shared" si="62"/>
        <v>405814.57322195498</v>
      </c>
      <c r="BU53" s="263">
        <f t="shared" si="62"/>
        <v>405814.57322195498</v>
      </c>
      <c r="BV53" s="263">
        <f t="shared" si="62"/>
        <v>405814.57322195498</v>
      </c>
      <c r="BW53" s="263">
        <f t="shared" si="62"/>
        <v>413984.68760515092</v>
      </c>
      <c r="BX53" s="263">
        <f t="shared" si="62"/>
        <v>413984.68760515092</v>
      </c>
      <c r="BY53" s="263">
        <f t="shared" si="62"/>
        <v>413984.68760515092</v>
      </c>
      <c r="BZ53" s="263">
        <f t="shared" si="62"/>
        <v>413984.68760515092</v>
      </c>
      <c r="CA53" s="263">
        <f t="shared" si="62"/>
        <v>413984.68760515092</v>
      </c>
      <c r="CB53" s="263">
        <f t="shared" si="62"/>
        <v>413984.68760515092</v>
      </c>
      <c r="CC53" s="263">
        <f t="shared" si="62"/>
        <v>413984.68760515092</v>
      </c>
      <c r="CD53" s="263">
        <f t="shared" si="62"/>
        <v>413984.68760515092</v>
      </c>
      <c r="CE53" s="263">
        <f t="shared" si="62"/>
        <v>413984.68760515092</v>
      </c>
      <c r="CF53" s="263">
        <f t="shared" si="62"/>
        <v>413984.68760515092</v>
      </c>
      <c r="CG53" s="263">
        <f t="shared" si="62"/>
        <v>413984.68760515092</v>
      </c>
      <c r="CH53" s="263">
        <f t="shared" si="62"/>
        <v>413984.68760515092</v>
      </c>
      <c r="CI53" s="263">
        <f t="shared" si="62"/>
        <v>422317.75215912174</v>
      </c>
      <c r="CJ53" s="263">
        <f t="shared" si="62"/>
        <v>422317.75215912174</v>
      </c>
      <c r="CK53" s="263">
        <f t="shared" si="62"/>
        <v>422317.75215912174</v>
      </c>
      <c r="CL53" s="263">
        <f t="shared" si="62"/>
        <v>422317.75215912174</v>
      </c>
      <c r="CM53" s="263">
        <f t="shared" si="62"/>
        <v>422317.75215912174</v>
      </c>
      <c r="CN53" s="263">
        <f t="shared" si="62"/>
        <v>422317.75215912174</v>
      </c>
      <c r="CO53" s="263">
        <f t="shared" si="62"/>
        <v>422317.75215912174</v>
      </c>
      <c r="CP53" s="263">
        <f t="shared" si="62"/>
        <v>422317.75215912174</v>
      </c>
      <c r="CQ53" s="263">
        <f t="shared" si="62"/>
        <v>422317.75215912174</v>
      </c>
      <c r="CR53" s="263">
        <f t="shared" si="62"/>
        <v>422317.75215912174</v>
      </c>
      <c r="CS53" s="263">
        <f t="shared" si="62"/>
        <v>422317.75215912174</v>
      </c>
      <c r="CT53" s="263">
        <f t="shared" si="62"/>
        <v>422317.75215912174</v>
      </c>
      <c r="CU53" s="263">
        <f t="shared" ref="CU53:ED53" si="63">CU43-CU51</f>
        <v>430817.01232377649</v>
      </c>
      <c r="CV53" s="263">
        <f t="shared" si="63"/>
        <v>430817.01232377649</v>
      </c>
      <c r="CW53" s="263">
        <f t="shared" si="63"/>
        <v>430817.01232377649</v>
      </c>
      <c r="CX53" s="263">
        <f t="shared" si="63"/>
        <v>430817.01232377649</v>
      </c>
      <c r="CY53" s="263">
        <f t="shared" si="63"/>
        <v>430817.01232377649</v>
      </c>
      <c r="CZ53" s="263">
        <f t="shared" si="63"/>
        <v>430817.01232377649</v>
      </c>
      <c r="DA53" s="263">
        <f t="shared" si="63"/>
        <v>430817.01232377649</v>
      </c>
      <c r="DB53" s="263">
        <f t="shared" si="63"/>
        <v>430817.01232377649</v>
      </c>
      <c r="DC53" s="263">
        <f t="shared" si="63"/>
        <v>430817.01232377649</v>
      </c>
      <c r="DD53" s="263">
        <f t="shared" si="63"/>
        <v>430817.01232377649</v>
      </c>
      <c r="DE53" s="263">
        <f t="shared" si="63"/>
        <v>430817.01232377649</v>
      </c>
      <c r="DF53" s="263">
        <f t="shared" si="63"/>
        <v>430817.01232377649</v>
      </c>
      <c r="DG53" s="263">
        <f t="shared" si="63"/>
        <v>439485.77804091672</v>
      </c>
      <c r="DH53" s="263">
        <f t="shared" si="63"/>
        <v>439485.77804091672</v>
      </c>
      <c r="DI53" s="263">
        <f t="shared" si="63"/>
        <v>439485.77804091672</v>
      </c>
      <c r="DJ53" s="263">
        <f t="shared" si="63"/>
        <v>439485.77804091672</v>
      </c>
      <c r="DK53" s="263">
        <f t="shared" si="63"/>
        <v>439485.77804091672</v>
      </c>
      <c r="DL53" s="263">
        <f t="shared" si="63"/>
        <v>439485.77804091672</v>
      </c>
      <c r="DM53" s="263">
        <f t="shared" si="63"/>
        <v>439485.77804091672</v>
      </c>
      <c r="DN53" s="263">
        <f t="shared" si="63"/>
        <v>439485.77804091672</v>
      </c>
      <c r="DO53" s="263">
        <f t="shared" si="63"/>
        <v>439485.77804091672</v>
      </c>
      <c r="DP53" s="263">
        <f t="shared" si="63"/>
        <v>439485.77804091672</v>
      </c>
      <c r="DQ53" s="263">
        <f t="shared" si="63"/>
        <v>439485.77804091672</v>
      </c>
      <c r="DR53" s="263">
        <f t="shared" si="63"/>
        <v>439485.77804091672</v>
      </c>
      <c r="DS53" s="263">
        <f t="shared" si="63"/>
        <v>448327.4250320681</v>
      </c>
      <c r="DT53" s="263">
        <f t="shared" si="63"/>
        <v>448327.4250320681</v>
      </c>
      <c r="DU53" s="263">
        <f t="shared" si="63"/>
        <v>448327.4250320681</v>
      </c>
      <c r="DV53" s="263">
        <f t="shared" si="63"/>
        <v>448327.4250320681</v>
      </c>
      <c r="DW53" s="263">
        <f t="shared" si="63"/>
        <v>448327.4250320681</v>
      </c>
      <c r="DX53" s="263">
        <f t="shared" si="63"/>
        <v>448327.4250320681</v>
      </c>
      <c r="DY53" s="263">
        <f t="shared" si="63"/>
        <v>448327.4250320681</v>
      </c>
      <c r="DZ53" s="263">
        <f t="shared" si="63"/>
        <v>448327.4250320681</v>
      </c>
      <c r="EA53" s="263">
        <f t="shared" si="63"/>
        <v>448327.4250320681</v>
      </c>
      <c r="EB53" s="263">
        <f t="shared" si="63"/>
        <v>448327.4250320681</v>
      </c>
      <c r="EC53" s="263">
        <f t="shared" si="63"/>
        <v>448327.4250320681</v>
      </c>
      <c r="ED53" s="263">
        <f t="shared" si="63"/>
        <v>448327.4250320681</v>
      </c>
    </row>
    <row r="54" spans="1:134" ht="19.149999999999999" customHeight="1" x14ac:dyDescent="0.4">
      <c r="A54" s="259" t="s">
        <v>182</v>
      </c>
      <c r="C54" s="267"/>
      <c r="D54" s="267"/>
      <c r="E54" s="267"/>
      <c r="F54" s="267"/>
      <c r="G54" s="267"/>
      <c r="H54" s="267"/>
      <c r="I54" s="267"/>
      <c r="J54" s="267"/>
      <c r="K54" s="267"/>
      <c r="L54" s="267"/>
      <c r="M54" s="267"/>
      <c r="N54" s="267"/>
      <c r="O54" s="267"/>
      <c r="P54" s="267"/>
      <c r="Q54" s="267"/>
      <c r="R54" s="267"/>
      <c r="S54" s="267"/>
      <c r="T54" s="267"/>
      <c r="U54" s="267"/>
      <c r="V54" s="267"/>
      <c r="W54" s="267"/>
      <c r="X54" s="267"/>
      <c r="Y54" s="267"/>
      <c r="Z54" s="267"/>
      <c r="AA54" s="267"/>
      <c r="AB54" s="267"/>
      <c r="AC54" s="267"/>
      <c r="AD54" s="267"/>
      <c r="AE54" s="267"/>
      <c r="AF54" s="267"/>
      <c r="AG54" s="267"/>
      <c r="AH54" s="267"/>
      <c r="AI54" s="267"/>
      <c r="AJ54" s="267"/>
      <c r="AK54" s="267"/>
      <c r="AL54" s="267"/>
      <c r="AM54" s="267"/>
      <c r="AN54" s="267"/>
      <c r="AO54" s="267"/>
      <c r="AP54" s="267"/>
      <c r="AQ54" s="267"/>
      <c r="AR54" s="267"/>
      <c r="AS54" s="267"/>
      <c r="AT54" s="267"/>
      <c r="AU54" s="267"/>
      <c r="AV54" s="267"/>
      <c r="AW54" s="267"/>
      <c r="AX54" s="267"/>
      <c r="AY54" s="267"/>
      <c r="AZ54" s="267"/>
      <c r="BA54" s="267"/>
      <c r="BB54" s="267"/>
      <c r="BC54" s="267"/>
      <c r="BD54" s="267"/>
      <c r="BE54" s="267"/>
      <c r="BF54" s="267"/>
      <c r="BG54" s="267"/>
      <c r="BH54" s="267"/>
      <c r="BI54" s="267"/>
      <c r="BJ54" s="267"/>
      <c r="BK54" s="267"/>
      <c r="BL54" s="267"/>
      <c r="BM54" s="267"/>
      <c r="BN54" s="267"/>
      <c r="BO54" s="267"/>
      <c r="BP54" s="267"/>
      <c r="BQ54" s="267"/>
      <c r="BR54" s="267"/>
      <c r="BS54" s="267"/>
      <c r="BT54" s="267"/>
      <c r="BU54" s="267"/>
      <c r="BV54" s="267"/>
      <c r="BW54" s="267"/>
      <c r="BX54" s="267"/>
      <c r="BY54" s="267"/>
      <c r="BZ54" s="267"/>
      <c r="CA54" s="267"/>
      <c r="CB54" s="267"/>
      <c r="CC54" s="267"/>
      <c r="CD54" s="267"/>
      <c r="CE54" s="267"/>
      <c r="CF54" s="267"/>
      <c r="CG54" s="267"/>
      <c r="CH54" s="267"/>
      <c r="CI54" s="267"/>
      <c r="CJ54" s="267"/>
      <c r="CK54" s="267"/>
      <c r="CL54" s="267"/>
      <c r="CM54" s="267"/>
      <c r="CN54" s="267"/>
      <c r="CO54" s="267"/>
      <c r="CP54" s="267"/>
      <c r="CQ54" s="267"/>
      <c r="CR54" s="267"/>
      <c r="CS54" s="267"/>
      <c r="CT54" s="267"/>
      <c r="CU54" s="267"/>
      <c r="CV54" s="267"/>
      <c r="CW54" s="267"/>
      <c r="CX54" s="267"/>
      <c r="CY54" s="267"/>
      <c r="CZ54" s="267"/>
      <c r="DA54" s="267"/>
      <c r="DB54" s="267"/>
      <c r="DC54" s="267"/>
      <c r="DD54" s="267"/>
      <c r="DE54" s="267"/>
      <c r="DF54" s="267"/>
      <c r="DG54" s="267"/>
      <c r="DH54" s="267"/>
      <c r="DI54" s="267"/>
      <c r="DJ54" s="267"/>
      <c r="DK54" s="267"/>
      <c r="DL54" s="267"/>
      <c r="DM54" s="267"/>
      <c r="DN54" s="267"/>
      <c r="DO54" s="267"/>
      <c r="DP54" s="267"/>
      <c r="DQ54" s="267"/>
      <c r="DR54" s="267"/>
      <c r="DS54" s="267"/>
      <c r="DT54" s="267"/>
      <c r="DU54" s="267"/>
      <c r="DV54" s="267"/>
      <c r="DW54" s="267"/>
      <c r="DX54" s="267"/>
      <c r="DY54" s="267"/>
      <c r="DZ54" s="267"/>
      <c r="EA54" s="267"/>
      <c r="EB54" s="267"/>
      <c r="EC54" s="267"/>
      <c r="ED54" s="267"/>
    </row>
    <row r="55" spans="1:134" ht="19.149999999999999" customHeight="1" x14ac:dyDescent="0.4">
      <c r="A55" s="268" t="s">
        <v>192</v>
      </c>
      <c r="B55" s="268"/>
      <c r="C55" s="267"/>
      <c r="D55" s="267"/>
      <c r="E55" s="267"/>
      <c r="F55" s="267"/>
      <c r="G55" s="267"/>
      <c r="H55" s="267"/>
      <c r="I55" s="267"/>
      <c r="J55" s="267"/>
      <c r="K55" s="267"/>
      <c r="L55" s="267"/>
      <c r="M55" s="267"/>
      <c r="N55" s="267"/>
      <c r="O55" s="267"/>
      <c r="P55" s="267"/>
      <c r="Q55" s="267"/>
      <c r="R55" s="267"/>
      <c r="S55" s="267"/>
      <c r="T55" s="267"/>
      <c r="U55" s="267"/>
      <c r="V55" s="267"/>
      <c r="W55" s="267"/>
      <c r="X55" s="267"/>
      <c r="Y55" s="267"/>
      <c r="Z55" s="267"/>
      <c r="AA55" s="267"/>
      <c r="AB55" s="267"/>
      <c r="AC55" s="267"/>
      <c r="AD55" s="267"/>
      <c r="AE55" s="267"/>
      <c r="AF55" s="267"/>
      <c r="AG55" s="267"/>
      <c r="AH55" s="267"/>
      <c r="AI55" s="267"/>
      <c r="AJ55" s="267"/>
      <c r="AK55" s="267"/>
      <c r="AL55" s="267"/>
      <c r="AM55" s="267"/>
      <c r="AN55" s="267"/>
      <c r="AO55" s="267"/>
      <c r="AP55" s="267"/>
      <c r="AQ55" s="267"/>
      <c r="AR55" s="267"/>
      <c r="AS55" s="267"/>
      <c r="AT55" s="267"/>
      <c r="AU55" s="267"/>
      <c r="AV55" s="267"/>
      <c r="AW55" s="267"/>
      <c r="AX55" s="267"/>
      <c r="AY55" s="267"/>
      <c r="AZ55" s="267"/>
      <c r="BA55" s="267"/>
      <c r="BB55" s="267"/>
      <c r="BC55" s="267"/>
      <c r="BD55" s="267"/>
      <c r="BE55" s="267"/>
      <c r="BF55" s="267"/>
      <c r="BG55" s="267"/>
      <c r="BH55" s="267"/>
      <c r="BI55" s="267"/>
      <c r="BJ55" s="267"/>
      <c r="BK55" s="267"/>
      <c r="BL55" s="267"/>
      <c r="BM55" s="267"/>
      <c r="BN55" s="267"/>
      <c r="BO55" s="267"/>
      <c r="BP55" s="267"/>
      <c r="BQ55" s="267"/>
      <c r="BR55" s="267"/>
      <c r="BS55" s="267"/>
      <c r="BT55" s="267"/>
      <c r="BU55" s="267"/>
      <c r="BV55" s="267"/>
      <c r="BW55" s="267"/>
      <c r="BX55" s="267"/>
      <c r="BY55" s="267"/>
      <c r="BZ55" s="267"/>
      <c r="CA55" s="267"/>
      <c r="CB55" s="267"/>
      <c r="CC55" s="267"/>
      <c r="CD55" s="267"/>
      <c r="CE55" s="267"/>
      <c r="CF55" s="267"/>
      <c r="CG55" s="267"/>
      <c r="CH55" s="267"/>
      <c r="CI55" s="267"/>
      <c r="CJ55" s="267"/>
      <c r="CK55" s="267"/>
      <c r="CL55" s="267"/>
      <c r="CM55" s="267"/>
      <c r="CN55" s="267"/>
      <c r="CO55" s="267"/>
      <c r="CP55" s="267"/>
      <c r="CQ55" s="267"/>
      <c r="CR55" s="267"/>
      <c r="CS55" s="267"/>
      <c r="CT55" s="267"/>
      <c r="CU55" s="267"/>
      <c r="CV55" s="267"/>
      <c r="CW55" s="267"/>
      <c r="CX55" s="267"/>
      <c r="CY55" s="267"/>
      <c r="CZ55" s="267"/>
      <c r="DA55" s="267"/>
      <c r="DB55" s="267"/>
      <c r="DC55" s="267"/>
      <c r="DD55" s="267"/>
      <c r="DE55" s="267"/>
      <c r="DF55" s="267"/>
      <c r="DG55" s="267"/>
      <c r="DH55" s="267"/>
      <c r="DI55" s="267"/>
      <c r="DJ55" s="267"/>
      <c r="DK55" s="267"/>
      <c r="DL55" s="267"/>
      <c r="DM55" s="267"/>
      <c r="DN55" s="267"/>
      <c r="DO55" s="267"/>
      <c r="DP55" s="267"/>
      <c r="DQ55" s="267"/>
      <c r="DR55" s="267"/>
      <c r="DS55" s="267"/>
      <c r="DT55" s="267"/>
      <c r="DU55" s="267"/>
      <c r="DV55" s="267"/>
      <c r="DW55" s="267"/>
      <c r="DX55" s="267"/>
      <c r="DY55" s="267"/>
      <c r="DZ55" s="267"/>
      <c r="EA55" s="267"/>
      <c r="EB55" s="267"/>
      <c r="EC55" s="267"/>
      <c r="ED55" s="267"/>
    </row>
    <row r="56" spans="1:134" ht="19.149999999999999" customHeight="1" x14ac:dyDescent="0.4">
      <c r="A56" s="265" t="s">
        <v>132</v>
      </c>
      <c r="B56" s="265"/>
      <c r="C56" s="266">
        <f>IF(AND(C$10&gt;EOMONTH('Torrance Inputs'!$H$35,'Torrance Inputs'!$L$28),C$10&lt;=EOMONTH('Torrance Inputs'!$H$35,'Torrance Inputs'!$M$28)),'Torrance Inputs'!$Q$17/('Torrance Inputs'!$M$28-'Torrance Inputs'!$L$28),0)</f>
        <v>0</v>
      </c>
      <c r="D56" s="266">
        <f>IF(AND(D$10&gt;EOMONTH('Torrance Inputs'!$H$35,'Torrance Inputs'!$L$28),D$10&lt;=EOMONTH('Torrance Inputs'!$H$35,'Torrance Inputs'!$M$28)),'Torrance Inputs'!$Q$17/('Torrance Inputs'!$M$28-'Torrance Inputs'!$L$28),0)</f>
        <v>0</v>
      </c>
      <c r="E56" s="266">
        <f>IF(AND(E$10&gt;EOMONTH('Torrance Inputs'!$H$35,'Torrance Inputs'!$L$28),E$10&lt;=EOMONTH('Torrance Inputs'!$H$35,'Torrance Inputs'!$M$28)),'Torrance Inputs'!$Q$17/('Torrance Inputs'!$M$28-'Torrance Inputs'!$L$28),0)</f>
        <v>0</v>
      </c>
      <c r="F56" s="266">
        <f>IF(AND(F$10&gt;EOMONTH('Torrance Inputs'!$H$35,'Torrance Inputs'!$L$28),F$10&lt;=EOMONTH('Torrance Inputs'!$H$35,'Torrance Inputs'!$M$28)),'Torrance Inputs'!$Q$17/('Torrance Inputs'!$M$28-'Torrance Inputs'!$L$28),0)</f>
        <v>0</v>
      </c>
      <c r="G56" s="266">
        <f>IF(AND(G$10&gt;EOMONTH('Torrance Inputs'!$H$35,'Torrance Inputs'!$L$28),G$10&lt;=EOMONTH('Torrance Inputs'!$H$35,'Torrance Inputs'!$M$28)),'Torrance Inputs'!$Q$17/('Torrance Inputs'!$M$28-'Torrance Inputs'!$L$28),0)</f>
        <v>0</v>
      </c>
      <c r="H56" s="266">
        <f>IF(AND(H$10&gt;EOMONTH('Torrance Inputs'!$H$35,'Torrance Inputs'!$L$28),H$10&lt;=EOMONTH('Torrance Inputs'!$H$35,'Torrance Inputs'!$M$28)),'Torrance Inputs'!$Q$17/('Torrance Inputs'!$M$28-'Torrance Inputs'!$L$28),0)</f>
        <v>0</v>
      </c>
      <c r="I56" s="266">
        <f>IF(AND(I$10&gt;EOMONTH('Torrance Inputs'!$H$35,'Torrance Inputs'!$L$28),I$10&lt;=EOMONTH('Torrance Inputs'!$H$35,'Torrance Inputs'!$M$28)),'Torrance Inputs'!$Q$17/('Torrance Inputs'!$M$28-'Torrance Inputs'!$L$28),0)</f>
        <v>0</v>
      </c>
      <c r="J56" s="266">
        <f>IF(AND(J$10&gt;EOMONTH('Torrance Inputs'!$H$35,'Torrance Inputs'!$L$28),J$10&lt;=EOMONTH('Torrance Inputs'!$H$35,'Torrance Inputs'!$M$28)),'Torrance Inputs'!$Q$17/('Torrance Inputs'!$M$28-'Torrance Inputs'!$L$28),0)</f>
        <v>0</v>
      </c>
      <c r="K56" s="266">
        <f>IF(AND(K$10&gt;EOMONTH('Torrance Inputs'!$H$35,'Torrance Inputs'!$L$28),K$10&lt;=EOMONTH('Torrance Inputs'!$H$35,'Torrance Inputs'!$M$28)),'Torrance Inputs'!$Q$17/('Torrance Inputs'!$M$28-'Torrance Inputs'!$L$28),0)</f>
        <v>0</v>
      </c>
      <c r="L56" s="266">
        <f>IF(AND(L$10&gt;EOMONTH('Torrance Inputs'!$H$35,'Torrance Inputs'!$L$28),L$10&lt;=EOMONTH('Torrance Inputs'!$H$35,'Torrance Inputs'!$M$28)),'Torrance Inputs'!$Q$17/('Torrance Inputs'!$M$28-'Torrance Inputs'!$L$28),0)</f>
        <v>0</v>
      </c>
      <c r="M56" s="266">
        <f>IF(AND(M$10&gt;EOMONTH('Torrance Inputs'!$H$35,'Torrance Inputs'!$L$28),M$10&lt;=EOMONTH('Torrance Inputs'!$H$35,'Torrance Inputs'!$M$28)),'Torrance Inputs'!$Q$17/('Torrance Inputs'!$M$28-'Torrance Inputs'!$L$28),0)</f>
        <v>0</v>
      </c>
      <c r="N56" s="266">
        <f>IF(AND(N$10&gt;EOMONTH('Torrance Inputs'!$H$35,'Torrance Inputs'!$L$28),N$10&lt;=EOMONTH('Torrance Inputs'!$H$35,'Torrance Inputs'!$M$28)),'Torrance Inputs'!$Q$17/('Torrance Inputs'!$M$28-'Torrance Inputs'!$L$28),0)</f>
        <v>0</v>
      </c>
      <c r="O56" s="266">
        <f>IF(AND(O$10&gt;EOMONTH('Torrance Inputs'!$H$35,'Torrance Inputs'!$L$28),O$10&lt;=EOMONTH('Torrance Inputs'!$H$35,'Torrance Inputs'!$M$28)),'Torrance Inputs'!$Q$17/('Torrance Inputs'!$M$28-'Torrance Inputs'!$L$28),0)</f>
        <v>0</v>
      </c>
      <c r="P56" s="266">
        <f>IF(AND(P$10&gt;EOMONTH('Torrance Inputs'!$H$35,'Torrance Inputs'!$L$28),P$10&lt;=EOMONTH('Torrance Inputs'!$H$35,'Torrance Inputs'!$M$28)),'Torrance Inputs'!$Q$17/('Torrance Inputs'!$M$28-'Torrance Inputs'!$L$28),0)</f>
        <v>0</v>
      </c>
      <c r="Q56" s="266">
        <f>IF(AND(Q$10&gt;EOMONTH('Torrance Inputs'!$H$35,'Torrance Inputs'!$L$28),Q$10&lt;=EOMONTH('Torrance Inputs'!$H$35,'Torrance Inputs'!$M$28)),'Torrance Inputs'!$Q$17/('Torrance Inputs'!$M$28-'Torrance Inputs'!$L$28),0)</f>
        <v>0</v>
      </c>
      <c r="R56" s="266">
        <f>IF(AND(R$10&gt;EOMONTH('Torrance Inputs'!$H$35,'Torrance Inputs'!$L$28),R$10&lt;=EOMONTH('Torrance Inputs'!$H$35,'Torrance Inputs'!$M$28)),'Torrance Inputs'!$Q$17/('Torrance Inputs'!$M$28-'Torrance Inputs'!$L$28),0)</f>
        <v>0</v>
      </c>
      <c r="S56" s="266">
        <f>IF(AND(S$10&gt;EOMONTH('Torrance Inputs'!$H$35,'Torrance Inputs'!$L$28),S$10&lt;=EOMONTH('Torrance Inputs'!$H$35,'Torrance Inputs'!$M$28)),'Torrance Inputs'!$Q$17/('Torrance Inputs'!$M$28-'Torrance Inputs'!$L$28),0)</f>
        <v>0</v>
      </c>
      <c r="T56" s="266">
        <f>IF(AND(T$10&gt;EOMONTH('Torrance Inputs'!$H$35,'Torrance Inputs'!$L$28),T$10&lt;=EOMONTH('Torrance Inputs'!$H$35,'Torrance Inputs'!$M$28)),'Torrance Inputs'!$Q$17/('Torrance Inputs'!$M$28-'Torrance Inputs'!$L$28),0)</f>
        <v>0</v>
      </c>
      <c r="U56" s="266">
        <f>IF(AND(U$10&gt;EOMONTH('Torrance Inputs'!$H$35,'Torrance Inputs'!$L$28),U$10&lt;=EOMONTH('Torrance Inputs'!$H$35,'Torrance Inputs'!$M$28)),'Torrance Inputs'!$Q$17/('Torrance Inputs'!$M$28-'Torrance Inputs'!$L$28),0)</f>
        <v>0</v>
      </c>
      <c r="V56" s="266">
        <f>IF(AND(V$10&gt;EOMONTH('Torrance Inputs'!$H$35,'Torrance Inputs'!$L$28),V$10&lt;=EOMONTH('Torrance Inputs'!$H$35,'Torrance Inputs'!$M$28)),'Torrance Inputs'!$Q$17/('Torrance Inputs'!$M$28-'Torrance Inputs'!$L$28),0)</f>
        <v>0</v>
      </c>
      <c r="W56" s="266">
        <f>IF(AND(W$10&gt;EOMONTH('Torrance Inputs'!$H$35,'Torrance Inputs'!$L$28),W$10&lt;=EOMONTH('Torrance Inputs'!$H$35,'Torrance Inputs'!$M$28)),'Torrance Inputs'!$Q$17/('Torrance Inputs'!$M$28-'Torrance Inputs'!$L$28),0)</f>
        <v>0</v>
      </c>
      <c r="X56" s="266">
        <f>IF(AND(X$10&gt;EOMONTH('Torrance Inputs'!$H$35,'Torrance Inputs'!$L$28),X$10&lt;=EOMONTH('Torrance Inputs'!$H$35,'Torrance Inputs'!$M$28)),'Torrance Inputs'!$Q$17/('Torrance Inputs'!$M$28-'Torrance Inputs'!$L$28),0)</f>
        <v>0</v>
      </c>
      <c r="Y56" s="266">
        <f>IF(AND(Y$10&gt;EOMONTH('Torrance Inputs'!$H$35,'Torrance Inputs'!$L$28),Y$10&lt;=EOMONTH('Torrance Inputs'!$H$35,'Torrance Inputs'!$M$28)),'Torrance Inputs'!$Q$17/('Torrance Inputs'!$M$28-'Torrance Inputs'!$L$28),0)</f>
        <v>0</v>
      </c>
      <c r="Z56" s="266">
        <f>IF(AND(Z$10&gt;EOMONTH('Torrance Inputs'!$H$35,'Torrance Inputs'!$L$28),Z$10&lt;=EOMONTH('Torrance Inputs'!$H$35,'Torrance Inputs'!$M$28)),'Torrance Inputs'!$Q$17/('Torrance Inputs'!$M$28-'Torrance Inputs'!$L$28),0)</f>
        <v>0</v>
      </c>
      <c r="AA56" s="266">
        <f>IF(AND(AA$10&gt;EOMONTH('Torrance Inputs'!$H$35,'Torrance Inputs'!$L$28),AA$10&lt;=EOMONTH('Torrance Inputs'!$H$35,'Torrance Inputs'!$M$28)),'Torrance Inputs'!$Q$17/('Torrance Inputs'!$M$28-'Torrance Inputs'!$L$28),0)</f>
        <v>0</v>
      </c>
      <c r="AB56" s="266">
        <f>IF(AND(AB$10&gt;EOMONTH('Torrance Inputs'!$H$35,'Torrance Inputs'!$L$28),AB$10&lt;=EOMONTH('Torrance Inputs'!$H$35,'Torrance Inputs'!$M$28)),'Torrance Inputs'!$Q$17/('Torrance Inputs'!$M$28-'Torrance Inputs'!$L$28),0)</f>
        <v>0</v>
      </c>
      <c r="AC56" s="266">
        <f>IF(AND(AC$10&gt;EOMONTH('Torrance Inputs'!$H$35,'Torrance Inputs'!$L$28),AC$10&lt;=EOMONTH('Torrance Inputs'!$H$35,'Torrance Inputs'!$M$28)),'Torrance Inputs'!$Q$17/('Torrance Inputs'!$M$28-'Torrance Inputs'!$L$28),0)</f>
        <v>0</v>
      </c>
      <c r="AD56" s="266">
        <f>IF(AND(AD$10&gt;EOMONTH('Torrance Inputs'!$H$35,'Torrance Inputs'!$L$28),AD$10&lt;=EOMONTH('Torrance Inputs'!$H$35,'Torrance Inputs'!$M$28)),'Torrance Inputs'!$Q$17/('Torrance Inputs'!$M$28-'Torrance Inputs'!$L$28),0)</f>
        <v>0</v>
      </c>
      <c r="AE56" s="266">
        <f>IF(AND(AE$10&gt;EOMONTH('Torrance Inputs'!$H$35,'Torrance Inputs'!$L$28),AE$10&lt;=EOMONTH('Torrance Inputs'!$H$35,'Torrance Inputs'!$M$28)),'Torrance Inputs'!$Q$17/('Torrance Inputs'!$M$28-'Torrance Inputs'!$L$28),0)</f>
        <v>0</v>
      </c>
      <c r="AF56" s="266">
        <f>IF(AND(AF$10&gt;EOMONTH('Torrance Inputs'!$H$35,'Torrance Inputs'!$L$28),AF$10&lt;=EOMONTH('Torrance Inputs'!$H$35,'Torrance Inputs'!$M$28)),'Torrance Inputs'!$Q$17/('Torrance Inputs'!$M$28-'Torrance Inputs'!$L$28),0)</f>
        <v>0</v>
      </c>
      <c r="AG56" s="266">
        <f>IF(AND(AG$10&gt;EOMONTH('Torrance Inputs'!$H$35,'Torrance Inputs'!$L$28),AG$10&lt;=EOMONTH('Torrance Inputs'!$H$35,'Torrance Inputs'!$M$28)),'Torrance Inputs'!$Q$17/('Torrance Inputs'!$M$28-'Torrance Inputs'!$L$28),0)</f>
        <v>0</v>
      </c>
      <c r="AH56" s="266">
        <f>IF(AND(AH$10&gt;EOMONTH('Torrance Inputs'!$H$35,'Torrance Inputs'!$L$28),AH$10&lt;=EOMONTH('Torrance Inputs'!$H$35,'Torrance Inputs'!$M$28)),'Torrance Inputs'!$Q$17/('Torrance Inputs'!$M$28-'Torrance Inputs'!$L$28),0)</f>
        <v>0</v>
      </c>
      <c r="AI56" s="266">
        <f>IF(AND(AI$10&gt;EOMONTH('Torrance Inputs'!$H$35,'Torrance Inputs'!$L$28),AI$10&lt;=EOMONTH('Torrance Inputs'!$H$35,'Torrance Inputs'!$M$28)),'Torrance Inputs'!$Q$17/('Torrance Inputs'!$M$28-'Torrance Inputs'!$L$28),0)</f>
        <v>0</v>
      </c>
      <c r="AJ56" s="266">
        <f>IF(AND(AJ$10&gt;EOMONTH('Torrance Inputs'!$H$35,'Torrance Inputs'!$L$28),AJ$10&lt;=EOMONTH('Torrance Inputs'!$H$35,'Torrance Inputs'!$M$28)),'Torrance Inputs'!$Q$17/('Torrance Inputs'!$M$28-'Torrance Inputs'!$L$28),0)</f>
        <v>0</v>
      </c>
      <c r="AK56" s="266">
        <f>IF(AND(AK$10&gt;EOMONTH('Torrance Inputs'!$H$35,'Torrance Inputs'!$L$28),AK$10&lt;=EOMONTH('Torrance Inputs'!$H$35,'Torrance Inputs'!$M$28)),'Torrance Inputs'!$Q$17/('Torrance Inputs'!$M$28-'Torrance Inputs'!$L$28),0)</f>
        <v>0</v>
      </c>
      <c r="AL56" s="266">
        <f>IF(AND(AL$10&gt;EOMONTH('Torrance Inputs'!$H$35,'Torrance Inputs'!$L$28),AL$10&lt;=EOMONTH('Torrance Inputs'!$H$35,'Torrance Inputs'!$M$28)),'Torrance Inputs'!$Q$17/('Torrance Inputs'!$M$28-'Torrance Inputs'!$L$28),0)</f>
        <v>0</v>
      </c>
      <c r="AM56" s="266">
        <f>IF(AND(AM$10&gt;EOMONTH('Torrance Inputs'!$H$35,'Torrance Inputs'!$L$28),AM$10&lt;=EOMONTH('Torrance Inputs'!$H$35,'Torrance Inputs'!$M$28)),'Torrance Inputs'!$Q$17/('Torrance Inputs'!$M$28-'Torrance Inputs'!$L$28),0)</f>
        <v>0</v>
      </c>
      <c r="AN56" s="266">
        <f>IF(AND(AN$10&gt;EOMONTH('Torrance Inputs'!$H$35,'Torrance Inputs'!$L$28),AN$10&lt;=EOMONTH('Torrance Inputs'!$H$35,'Torrance Inputs'!$M$28)),'Torrance Inputs'!$Q$17/('Torrance Inputs'!$M$28-'Torrance Inputs'!$L$28),0)</f>
        <v>0</v>
      </c>
      <c r="AO56" s="266">
        <f>IF(AND(AO$10&gt;EOMONTH('Torrance Inputs'!$H$35,'Torrance Inputs'!$L$28),AO$10&lt;=EOMONTH('Torrance Inputs'!$H$35,'Torrance Inputs'!$M$28)),'Torrance Inputs'!$Q$17/('Torrance Inputs'!$M$28-'Torrance Inputs'!$L$28),0)</f>
        <v>0</v>
      </c>
      <c r="AP56" s="266">
        <f>IF(AND(AP$10&gt;EOMONTH('Torrance Inputs'!$H$35,'Torrance Inputs'!$L$28),AP$10&lt;=EOMONTH('Torrance Inputs'!$H$35,'Torrance Inputs'!$M$28)),'Torrance Inputs'!$Q$17/('Torrance Inputs'!$M$28-'Torrance Inputs'!$L$28),0)</f>
        <v>0</v>
      </c>
      <c r="AQ56" s="266">
        <f>IF(AND(AQ$10&gt;EOMONTH('Torrance Inputs'!$H$35,'Torrance Inputs'!$L$28),AQ$10&lt;=EOMONTH('Torrance Inputs'!$H$35,'Torrance Inputs'!$M$28)),'Torrance Inputs'!$Q$17/('Torrance Inputs'!$M$28-'Torrance Inputs'!$L$28),0)</f>
        <v>0</v>
      </c>
      <c r="AR56" s="266">
        <f>IF(AND(AR$10&gt;EOMONTH('Torrance Inputs'!$H$35,'Torrance Inputs'!$L$28),AR$10&lt;=EOMONTH('Torrance Inputs'!$H$35,'Torrance Inputs'!$M$28)),'Torrance Inputs'!$Q$17/('Torrance Inputs'!$M$28-'Torrance Inputs'!$L$28),0)</f>
        <v>0</v>
      </c>
      <c r="AS56" s="266">
        <f>IF(AND(AS$10&gt;EOMONTH('Torrance Inputs'!$H$35,'Torrance Inputs'!$L$28),AS$10&lt;=EOMONTH('Torrance Inputs'!$H$35,'Torrance Inputs'!$M$28)),'Torrance Inputs'!$Q$17/('Torrance Inputs'!$M$28-'Torrance Inputs'!$L$28),0)</f>
        <v>0</v>
      </c>
      <c r="AT56" s="266">
        <f>IF(AND(AT$10&gt;EOMONTH('Torrance Inputs'!$H$35,'Torrance Inputs'!$L$28),AT$10&lt;=EOMONTH('Torrance Inputs'!$H$35,'Torrance Inputs'!$M$28)),'Torrance Inputs'!$Q$17/('Torrance Inputs'!$M$28-'Torrance Inputs'!$L$28),0)</f>
        <v>0</v>
      </c>
      <c r="AU56" s="266">
        <f>IF(AND(AU$10&gt;EOMONTH('Torrance Inputs'!$H$35,'Torrance Inputs'!$L$28),AU$10&lt;=EOMONTH('Torrance Inputs'!$H$35,'Torrance Inputs'!$M$28)),'Torrance Inputs'!$Q$17/('Torrance Inputs'!$M$28-'Torrance Inputs'!$L$28),0)</f>
        <v>0</v>
      </c>
      <c r="AV56" s="266">
        <f>IF(AND(AV$10&gt;EOMONTH('Torrance Inputs'!$H$35,'Torrance Inputs'!$L$28),AV$10&lt;=EOMONTH('Torrance Inputs'!$H$35,'Torrance Inputs'!$M$28)),'Torrance Inputs'!$Q$17/('Torrance Inputs'!$M$28-'Torrance Inputs'!$L$28),0)</f>
        <v>0</v>
      </c>
      <c r="AW56" s="266">
        <f>IF(AND(AW$10&gt;EOMONTH('Torrance Inputs'!$H$35,'Torrance Inputs'!$L$28),AW$10&lt;=EOMONTH('Torrance Inputs'!$H$35,'Torrance Inputs'!$M$28)),'Torrance Inputs'!$Q$17/('Torrance Inputs'!$M$28-'Torrance Inputs'!$L$28),0)</f>
        <v>0</v>
      </c>
      <c r="AX56" s="266">
        <f>IF(AND(AX$10&gt;EOMONTH('Torrance Inputs'!$H$35,'Torrance Inputs'!$L$28),AX$10&lt;=EOMONTH('Torrance Inputs'!$H$35,'Torrance Inputs'!$M$28)),'Torrance Inputs'!$Q$17/('Torrance Inputs'!$M$28-'Torrance Inputs'!$L$28),0)</f>
        <v>0</v>
      </c>
      <c r="AY56" s="266">
        <f>IF(AND(AY$10&gt;EOMONTH('Torrance Inputs'!$H$35,'Torrance Inputs'!$L$28),AY$10&lt;=EOMONTH('Torrance Inputs'!$H$35,'Torrance Inputs'!$M$28)),'Torrance Inputs'!$Q$17/('Torrance Inputs'!$M$28-'Torrance Inputs'!$L$28),0)</f>
        <v>0</v>
      </c>
      <c r="AZ56" s="266">
        <f>IF(AND(AZ$10&gt;EOMONTH('Torrance Inputs'!$H$35,'Torrance Inputs'!$L$28),AZ$10&lt;=EOMONTH('Torrance Inputs'!$H$35,'Torrance Inputs'!$M$28)),'Torrance Inputs'!$Q$17/('Torrance Inputs'!$M$28-'Torrance Inputs'!$L$28),0)</f>
        <v>0</v>
      </c>
      <c r="BA56" s="266">
        <f>IF(AND(BA$10&gt;EOMONTH('Torrance Inputs'!$H$35,'Torrance Inputs'!$L$28),BA$10&lt;=EOMONTH('Torrance Inputs'!$H$35,'Torrance Inputs'!$M$28)),'Torrance Inputs'!$Q$17/('Torrance Inputs'!$M$28-'Torrance Inputs'!$L$28),0)</f>
        <v>0</v>
      </c>
      <c r="BB56" s="266">
        <f>IF(AND(BB$10&gt;EOMONTH('Torrance Inputs'!$H$35,'Torrance Inputs'!$L$28),BB$10&lt;=EOMONTH('Torrance Inputs'!$H$35,'Torrance Inputs'!$M$28)),'Torrance Inputs'!$Q$17/('Torrance Inputs'!$M$28-'Torrance Inputs'!$L$28),0)</f>
        <v>0</v>
      </c>
      <c r="BC56" s="266">
        <f>IF(AND(BC$10&gt;EOMONTH('Torrance Inputs'!$H$35,'Torrance Inputs'!$L$28),BC$10&lt;=EOMONTH('Torrance Inputs'!$H$35,'Torrance Inputs'!$M$28)),'Torrance Inputs'!$Q$17/('Torrance Inputs'!$M$28-'Torrance Inputs'!$L$28),0)</f>
        <v>0</v>
      </c>
      <c r="BD56" s="266">
        <f>IF(AND(BD$10&gt;EOMONTH('Torrance Inputs'!$H$35,'Torrance Inputs'!$L$28),BD$10&lt;=EOMONTH('Torrance Inputs'!$H$35,'Torrance Inputs'!$M$28)),'Torrance Inputs'!$Q$17/('Torrance Inputs'!$M$28-'Torrance Inputs'!$L$28),0)</f>
        <v>0</v>
      </c>
      <c r="BE56" s="266">
        <f>IF(AND(BE$10&gt;EOMONTH('Torrance Inputs'!$H$35,'Torrance Inputs'!$L$28),BE$10&lt;=EOMONTH('Torrance Inputs'!$H$35,'Torrance Inputs'!$M$28)),'Torrance Inputs'!$Q$17/('Torrance Inputs'!$M$28-'Torrance Inputs'!$L$28),0)</f>
        <v>0</v>
      </c>
      <c r="BF56" s="266">
        <f>IF(AND(BF$10&gt;EOMONTH('Torrance Inputs'!$H$35,'Torrance Inputs'!$L$28),BF$10&lt;=EOMONTH('Torrance Inputs'!$H$35,'Torrance Inputs'!$M$28)),'Torrance Inputs'!$Q$17/('Torrance Inputs'!$M$28-'Torrance Inputs'!$L$28),0)</f>
        <v>0</v>
      </c>
      <c r="BG56" s="266">
        <f>IF(AND(BG$10&gt;EOMONTH('Torrance Inputs'!$H$35,'Torrance Inputs'!$L$28),BG$10&lt;=EOMONTH('Torrance Inputs'!$H$35,'Torrance Inputs'!$M$28)),'Torrance Inputs'!$Q$17/('Torrance Inputs'!$M$28-'Torrance Inputs'!$L$28),0)</f>
        <v>0</v>
      </c>
      <c r="BH56" s="266">
        <f>IF(AND(BH$10&gt;EOMONTH('Torrance Inputs'!$H$35,'Torrance Inputs'!$L$28),BH$10&lt;=EOMONTH('Torrance Inputs'!$H$35,'Torrance Inputs'!$M$28)),'Torrance Inputs'!$Q$17/('Torrance Inputs'!$M$28-'Torrance Inputs'!$L$28),0)</f>
        <v>0</v>
      </c>
      <c r="BI56" s="266">
        <f>IF(AND(BI$10&gt;EOMONTH('Torrance Inputs'!$H$35,'Torrance Inputs'!$L$28),BI$10&lt;=EOMONTH('Torrance Inputs'!$H$35,'Torrance Inputs'!$M$28)),'Torrance Inputs'!$Q$17/('Torrance Inputs'!$M$28-'Torrance Inputs'!$L$28),0)</f>
        <v>0</v>
      </c>
      <c r="BJ56" s="266">
        <f>IF(AND(BJ$10&gt;EOMONTH('Torrance Inputs'!$H$35,'Torrance Inputs'!$L$28),BJ$10&lt;=EOMONTH('Torrance Inputs'!$H$35,'Torrance Inputs'!$M$28)),'Torrance Inputs'!$Q$17/('Torrance Inputs'!$M$28-'Torrance Inputs'!$L$28),0)</f>
        <v>0</v>
      </c>
      <c r="BK56" s="266">
        <f>IF(AND(BK$10&gt;EOMONTH('Torrance Inputs'!$H$35,'Torrance Inputs'!$L$28),BK$10&lt;=EOMONTH('Torrance Inputs'!$H$35,'Torrance Inputs'!$M$28)),'Torrance Inputs'!$Q$17/('Torrance Inputs'!$M$28-'Torrance Inputs'!$L$28),0)</f>
        <v>183333.33333333334</v>
      </c>
      <c r="BL56" s="266">
        <f>IF(AND(BL$10&gt;EOMONTH('Torrance Inputs'!$H$35,'Torrance Inputs'!$L$28),BL$10&lt;=EOMONTH('Torrance Inputs'!$H$35,'Torrance Inputs'!$M$28)),'Torrance Inputs'!$Q$17/('Torrance Inputs'!$M$28-'Torrance Inputs'!$L$28),0)</f>
        <v>183333.33333333334</v>
      </c>
      <c r="BM56" s="266">
        <f>IF(AND(BM$10&gt;EOMONTH('Torrance Inputs'!$H$35,'Torrance Inputs'!$L$28),BM$10&lt;=EOMONTH('Torrance Inputs'!$H$35,'Torrance Inputs'!$M$28)),'Torrance Inputs'!$Q$17/('Torrance Inputs'!$M$28-'Torrance Inputs'!$L$28),0)</f>
        <v>183333.33333333334</v>
      </c>
      <c r="BN56" s="266">
        <f>IF(AND(BN$10&gt;EOMONTH('Torrance Inputs'!$H$35,'Torrance Inputs'!$L$28),BN$10&lt;=EOMONTH('Torrance Inputs'!$H$35,'Torrance Inputs'!$M$28)),'Torrance Inputs'!$Q$17/('Torrance Inputs'!$M$28-'Torrance Inputs'!$L$28),0)</f>
        <v>0</v>
      </c>
      <c r="BO56" s="266">
        <f>IF(AND(BO$10&gt;EOMONTH('Torrance Inputs'!$H$35,'Torrance Inputs'!$L$28),BO$10&lt;=EOMONTH('Torrance Inputs'!$H$35,'Torrance Inputs'!$M$28)),'Torrance Inputs'!$Q$17/('Torrance Inputs'!$M$28-'Torrance Inputs'!$L$28),0)</f>
        <v>0</v>
      </c>
      <c r="BP56" s="266">
        <f>IF(AND(BP$10&gt;EOMONTH('Torrance Inputs'!$H$35,'Torrance Inputs'!$L$28),BP$10&lt;=EOMONTH('Torrance Inputs'!$H$35,'Torrance Inputs'!$M$28)),'Torrance Inputs'!$Q$17/('Torrance Inputs'!$M$28-'Torrance Inputs'!$L$28),0)</f>
        <v>0</v>
      </c>
      <c r="BQ56" s="266">
        <f>IF(AND(BQ$10&gt;EOMONTH('Torrance Inputs'!$H$35,'Torrance Inputs'!$L$28),BQ$10&lt;=EOMONTH('Torrance Inputs'!$H$35,'Torrance Inputs'!$M$28)),'Torrance Inputs'!$Q$17/('Torrance Inputs'!$M$28-'Torrance Inputs'!$L$28),0)</f>
        <v>0</v>
      </c>
      <c r="BR56" s="266">
        <f>IF(AND(BR$10&gt;EOMONTH('Torrance Inputs'!$H$35,'Torrance Inputs'!$L$28),BR$10&lt;=EOMONTH('Torrance Inputs'!$H$35,'Torrance Inputs'!$M$28)),'Torrance Inputs'!$Q$17/('Torrance Inputs'!$M$28-'Torrance Inputs'!$L$28),0)</f>
        <v>0</v>
      </c>
      <c r="BS56" s="266">
        <f>IF(AND(BS$10&gt;EOMONTH('Torrance Inputs'!$H$35,'Torrance Inputs'!$L$28),BS$10&lt;=EOMONTH('Torrance Inputs'!$H$35,'Torrance Inputs'!$M$28)),'Torrance Inputs'!$Q$17/('Torrance Inputs'!$M$28-'Torrance Inputs'!$L$28),0)</f>
        <v>0</v>
      </c>
      <c r="BT56" s="266">
        <f>IF(AND(BT$10&gt;EOMONTH('Torrance Inputs'!$H$35,'Torrance Inputs'!$L$28),BT$10&lt;=EOMONTH('Torrance Inputs'!$H$35,'Torrance Inputs'!$M$28)),'Torrance Inputs'!$Q$17/('Torrance Inputs'!$M$28-'Torrance Inputs'!$L$28),0)</f>
        <v>0</v>
      </c>
      <c r="BU56" s="266">
        <f>IF(AND(BU$10&gt;EOMONTH('Torrance Inputs'!$H$35,'Torrance Inputs'!$L$28),BU$10&lt;=EOMONTH('Torrance Inputs'!$H$35,'Torrance Inputs'!$M$28)),'Torrance Inputs'!$Q$17/('Torrance Inputs'!$M$28-'Torrance Inputs'!$L$28),0)</f>
        <v>0</v>
      </c>
      <c r="BV56" s="266">
        <f>IF(AND(BV$10&gt;EOMONTH('Torrance Inputs'!$H$35,'Torrance Inputs'!$L$28),BV$10&lt;=EOMONTH('Torrance Inputs'!$H$35,'Torrance Inputs'!$M$28)),'Torrance Inputs'!$Q$17/('Torrance Inputs'!$M$28-'Torrance Inputs'!$L$28),0)</f>
        <v>0</v>
      </c>
      <c r="BW56" s="266">
        <f>IF(AND(BW$10&gt;EOMONTH('Torrance Inputs'!$H$35,'Torrance Inputs'!$L$28),BW$10&lt;=EOMONTH('Torrance Inputs'!$H$35,'Torrance Inputs'!$M$28)),'Torrance Inputs'!$Q$17/('Torrance Inputs'!$M$28-'Torrance Inputs'!$L$28),0)</f>
        <v>0</v>
      </c>
      <c r="BX56" s="266">
        <f>IF(AND(BX$10&gt;EOMONTH('Torrance Inputs'!$H$35,'Torrance Inputs'!$L$28),BX$10&lt;=EOMONTH('Torrance Inputs'!$H$35,'Torrance Inputs'!$M$28)),'Torrance Inputs'!$Q$17/('Torrance Inputs'!$M$28-'Torrance Inputs'!$L$28),0)</f>
        <v>0</v>
      </c>
      <c r="BY56" s="266">
        <f>IF(AND(BY$10&gt;EOMONTH('Torrance Inputs'!$H$35,'Torrance Inputs'!$L$28),BY$10&lt;=EOMONTH('Torrance Inputs'!$H$35,'Torrance Inputs'!$M$28)),'Torrance Inputs'!$Q$17/('Torrance Inputs'!$M$28-'Torrance Inputs'!$L$28),0)</f>
        <v>0</v>
      </c>
      <c r="BZ56" s="266">
        <f>IF(AND(BZ$10&gt;EOMONTH('Torrance Inputs'!$H$35,'Torrance Inputs'!$L$28),BZ$10&lt;=EOMONTH('Torrance Inputs'!$H$35,'Torrance Inputs'!$M$28)),'Torrance Inputs'!$Q$17/('Torrance Inputs'!$M$28-'Torrance Inputs'!$L$28),0)</f>
        <v>0</v>
      </c>
      <c r="CA56" s="266">
        <f>IF(AND(CA$10&gt;EOMONTH('Torrance Inputs'!$H$35,'Torrance Inputs'!$L$28),CA$10&lt;=EOMONTH('Torrance Inputs'!$H$35,'Torrance Inputs'!$M$28)),'Torrance Inputs'!$Q$17/('Torrance Inputs'!$M$28-'Torrance Inputs'!$L$28),0)</f>
        <v>0</v>
      </c>
      <c r="CB56" s="266">
        <f>IF(AND(CB$10&gt;EOMONTH('Torrance Inputs'!$H$35,'Torrance Inputs'!$L$28),CB$10&lt;=EOMONTH('Torrance Inputs'!$H$35,'Torrance Inputs'!$M$28)),'Torrance Inputs'!$Q$17/('Torrance Inputs'!$M$28-'Torrance Inputs'!$L$28),0)</f>
        <v>0</v>
      </c>
      <c r="CC56" s="266">
        <f>IF(AND(CC$10&gt;EOMONTH('Torrance Inputs'!$H$35,'Torrance Inputs'!$L$28),CC$10&lt;=EOMONTH('Torrance Inputs'!$H$35,'Torrance Inputs'!$M$28)),'Torrance Inputs'!$Q$17/('Torrance Inputs'!$M$28-'Torrance Inputs'!$L$28),0)</f>
        <v>0</v>
      </c>
      <c r="CD56" s="266">
        <f>IF(AND(CD$10&gt;EOMONTH('Torrance Inputs'!$H$35,'Torrance Inputs'!$L$28),CD$10&lt;=EOMONTH('Torrance Inputs'!$H$35,'Torrance Inputs'!$M$28)),'Torrance Inputs'!$Q$17/('Torrance Inputs'!$M$28-'Torrance Inputs'!$L$28),0)</f>
        <v>0</v>
      </c>
      <c r="CE56" s="266">
        <f>IF(AND(CE$10&gt;EOMONTH('Torrance Inputs'!$H$35,'Torrance Inputs'!$L$28),CE$10&lt;=EOMONTH('Torrance Inputs'!$H$35,'Torrance Inputs'!$M$28)),'Torrance Inputs'!$Q$17/('Torrance Inputs'!$M$28-'Torrance Inputs'!$L$28),0)</f>
        <v>0</v>
      </c>
      <c r="CF56" s="266">
        <f>IF(AND(CF$10&gt;EOMONTH('Torrance Inputs'!$H$35,'Torrance Inputs'!$L$28),CF$10&lt;=EOMONTH('Torrance Inputs'!$H$35,'Torrance Inputs'!$M$28)),'Torrance Inputs'!$Q$17/('Torrance Inputs'!$M$28-'Torrance Inputs'!$L$28),0)</f>
        <v>0</v>
      </c>
      <c r="CG56" s="266">
        <f>IF(AND(CG$10&gt;EOMONTH('Torrance Inputs'!$H$35,'Torrance Inputs'!$L$28),CG$10&lt;=EOMONTH('Torrance Inputs'!$H$35,'Torrance Inputs'!$M$28)),'Torrance Inputs'!$Q$17/('Torrance Inputs'!$M$28-'Torrance Inputs'!$L$28),0)</f>
        <v>0</v>
      </c>
      <c r="CH56" s="266">
        <f>IF(AND(CH$10&gt;EOMONTH('Torrance Inputs'!$H$35,'Torrance Inputs'!$L$28),CH$10&lt;=EOMONTH('Torrance Inputs'!$H$35,'Torrance Inputs'!$M$28)),'Torrance Inputs'!$Q$17/('Torrance Inputs'!$M$28-'Torrance Inputs'!$L$28),0)</f>
        <v>0</v>
      </c>
      <c r="CI56" s="266">
        <f>IF(AND(CI$10&gt;EOMONTH('Torrance Inputs'!$H$35,'Torrance Inputs'!$L$28),CI$10&lt;=EOMONTH('Torrance Inputs'!$H$35,'Torrance Inputs'!$M$28)),'Torrance Inputs'!$Q$17/('Torrance Inputs'!$M$28-'Torrance Inputs'!$L$28),0)</f>
        <v>0</v>
      </c>
      <c r="CJ56" s="266">
        <f>IF(AND(CJ$10&gt;EOMONTH('Torrance Inputs'!$H$35,'Torrance Inputs'!$L$28),CJ$10&lt;=EOMONTH('Torrance Inputs'!$H$35,'Torrance Inputs'!$M$28)),'Torrance Inputs'!$Q$17/('Torrance Inputs'!$M$28-'Torrance Inputs'!$L$28),0)</f>
        <v>0</v>
      </c>
      <c r="CK56" s="266">
        <f>IF(AND(CK$10&gt;EOMONTH('Torrance Inputs'!$H$35,'Torrance Inputs'!$L$28),CK$10&lt;=EOMONTH('Torrance Inputs'!$H$35,'Torrance Inputs'!$M$28)),'Torrance Inputs'!$Q$17/('Torrance Inputs'!$M$28-'Torrance Inputs'!$L$28),0)</f>
        <v>0</v>
      </c>
      <c r="CL56" s="266">
        <f>IF(AND(CL$10&gt;EOMONTH('Torrance Inputs'!$H$35,'Torrance Inputs'!$L$28),CL$10&lt;=EOMONTH('Torrance Inputs'!$H$35,'Torrance Inputs'!$M$28)),'Torrance Inputs'!$Q$17/('Torrance Inputs'!$M$28-'Torrance Inputs'!$L$28),0)</f>
        <v>0</v>
      </c>
      <c r="CM56" s="266">
        <f>IF(AND(CM$10&gt;EOMONTH('Torrance Inputs'!$H$35,'Torrance Inputs'!$L$28),CM$10&lt;=EOMONTH('Torrance Inputs'!$H$35,'Torrance Inputs'!$M$28)),'Torrance Inputs'!$Q$17/('Torrance Inputs'!$M$28-'Torrance Inputs'!$L$28),0)</f>
        <v>0</v>
      </c>
      <c r="CN56" s="266">
        <f>IF(AND(CN$10&gt;EOMONTH('Torrance Inputs'!$H$35,'Torrance Inputs'!$L$28),CN$10&lt;=EOMONTH('Torrance Inputs'!$H$35,'Torrance Inputs'!$M$28)),'Torrance Inputs'!$Q$17/('Torrance Inputs'!$M$28-'Torrance Inputs'!$L$28),0)</f>
        <v>0</v>
      </c>
      <c r="CO56" s="266">
        <f>IF(AND(CO$10&gt;EOMONTH('Torrance Inputs'!$H$35,'Torrance Inputs'!$L$28),CO$10&lt;=EOMONTH('Torrance Inputs'!$H$35,'Torrance Inputs'!$M$28)),'Torrance Inputs'!$Q$17/('Torrance Inputs'!$M$28-'Torrance Inputs'!$L$28),0)</f>
        <v>0</v>
      </c>
      <c r="CP56" s="266">
        <f>IF(AND(CP$10&gt;EOMONTH('Torrance Inputs'!$H$35,'Torrance Inputs'!$L$28),CP$10&lt;=EOMONTH('Torrance Inputs'!$H$35,'Torrance Inputs'!$M$28)),'Torrance Inputs'!$Q$17/('Torrance Inputs'!$M$28-'Torrance Inputs'!$L$28),0)</f>
        <v>0</v>
      </c>
      <c r="CQ56" s="266">
        <f>IF(AND(CQ$10&gt;EOMONTH('Torrance Inputs'!$H$35,'Torrance Inputs'!$L$28),CQ$10&lt;=EOMONTH('Torrance Inputs'!$H$35,'Torrance Inputs'!$M$28)),'Torrance Inputs'!$Q$17/('Torrance Inputs'!$M$28-'Torrance Inputs'!$L$28),0)</f>
        <v>0</v>
      </c>
      <c r="CR56" s="266">
        <f>IF(AND(CR$10&gt;EOMONTH('Torrance Inputs'!$H$35,'Torrance Inputs'!$L$28),CR$10&lt;=EOMONTH('Torrance Inputs'!$H$35,'Torrance Inputs'!$M$28)),'Torrance Inputs'!$Q$17/('Torrance Inputs'!$M$28-'Torrance Inputs'!$L$28),0)</f>
        <v>0</v>
      </c>
      <c r="CS56" s="266">
        <f>IF(AND(CS$10&gt;EOMONTH('Torrance Inputs'!$H$35,'Torrance Inputs'!$L$28),CS$10&lt;=EOMONTH('Torrance Inputs'!$H$35,'Torrance Inputs'!$M$28)),'Torrance Inputs'!$Q$17/('Torrance Inputs'!$M$28-'Torrance Inputs'!$L$28),0)</f>
        <v>0</v>
      </c>
      <c r="CT56" s="266">
        <f>IF(AND(CT$10&gt;EOMONTH('Torrance Inputs'!$H$35,'Torrance Inputs'!$L$28),CT$10&lt;=EOMONTH('Torrance Inputs'!$H$35,'Torrance Inputs'!$M$28)),'Torrance Inputs'!$Q$17/('Torrance Inputs'!$M$28-'Torrance Inputs'!$L$28),0)</f>
        <v>0</v>
      </c>
      <c r="CU56" s="266">
        <f>IF(AND(CU$10&gt;EOMONTH('Torrance Inputs'!$H$35,'Torrance Inputs'!$L$28),CU$10&lt;=EOMONTH('Torrance Inputs'!$H$35,'Torrance Inputs'!$M$28)),'Torrance Inputs'!$Q$17/('Torrance Inputs'!$M$28-'Torrance Inputs'!$L$28),0)</f>
        <v>0</v>
      </c>
      <c r="CV56" s="266">
        <f>IF(AND(CV$10&gt;EOMONTH('Torrance Inputs'!$H$35,'Torrance Inputs'!$L$28),CV$10&lt;=EOMONTH('Torrance Inputs'!$H$35,'Torrance Inputs'!$M$28)),'Torrance Inputs'!$Q$17/('Torrance Inputs'!$M$28-'Torrance Inputs'!$L$28),0)</f>
        <v>0</v>
      </c>
      <c r="CW56" s="266">
        <f>IF(AND(CW$10&gt;EOMONTH('Torrance Inputs'!$H$35,'Torrance Inputs'!$L$28),CW$10&lt;=EOMONTH('Torrance Inputs'!$H$35,'Torrance Inputs'!$M$28)),'Torrance Inputs'!$Q$17/('Torrance Inputs'!$M$28-'Torrance Inputs'!$L$28),0)</f>
        <v>0</v>
      </c>
      <c r="CX56" s="266">
        <f>IF(AND(CX$10&gt;EOMONTH('Torrance Inputs'!$H$35,'Torrance Inputs'!$L$28),CX$10&lt;=EOMONTH('Torrance Inputs'!$H$35,'Torrance Inputs'!$M$28)),'Torrance Inputs'!$Q$17/('Torrance Inputs'!$M$28-'Torrance Inputs'!$L$28),0)</f>
        <v>0</v>
      </c>
      <c r="CY56" s="266">
        <f>IF(AND(CY$10&gt;EOMONTH('Torrance Inputs'!$H$35,'Torrance Inputs'!$L$28),CY$10&lt;=EOMONTH('Torrance Inputs'!$H$35,'Torrance Inputs'!$M$28)),'Torrance Inputs'!$Q$17/('Torrance Inputs'!$M$28-'Torrance Inputs'!$L$28),0)</f>
        <v>0</v>
      </c>
      <c r="CZ56" s="266">
        <f>IF(AND(CZ$10&gt;EOMONTH('Torrance Inputs'!$H$35,'Torrance Inputs'!$L$28),CZ$10&lt;=EOMONTH('Torrance Inputs'!$H$35,'Torrance Inputs'!$M$28)),'Torrance Inputs'!$Q$17/('Torrance Inputs'!$M$28-'Torrance Inputs'!$L$28),0)</f>
        <v>0</v>
      </c>
      <c r="DA56" s="266">
        <f>IF(AND(DA$10&gt;EOMONTH('Torrance Inputs'!$H$35,'Torrance Inputs'!$L$28),DA$10&lt;=EOMONTH('Torrance Inputs'!$H$35,'Torrance Inputs'!$M$28)),'Torrance Inputs'!$Q$17/('Torrance Inputs'!$M$28-'Torrance Inputs'!$L$28),0)</f>
        <v>0</v>
      </c>
      <c r="DB56" s="266">
        <f>IF(AND(DB$10&gt;EOMONTH('Torrance Inputs'!$H$35,'Torrance Inputs'!$L$28),DB$10&lt;=EOMONTH('Torrance Inputs'!$H$35,'Torrance Inputs'!$M$28)),'Torrance Inputs'!$Q$17/('Torrance Inputs'!$M$28-'Torrance Inputs'!$L$28),0)</f>
        <v>0</v>
      </c>
      <c r="DC56" s="266">
        <f>IF(AND(DC$10&gt;EOMONTH('Torrance Inputs'!$H$35,'Torrance Inputs'!$L$28),DC$10&lt;=EOMONTH('Torrance Inputs'!$H$35,'Torrance Inputs'!$M$28)),'Torrance Inputs'!$Q$17/('Torrance Inputs'!$M$28-'Torrance Inputs'!$L$28),0)</f>
        <v>0</v>
      </c>
      <c r="DD56" s="266">
        <f>IF(AND(DD$10&gt;EOMONTH('Torrance Inputs'!$H$35,'Torrance Inputs'!$L$28),DD$10&lt;=EOMONTH('Torrance Inputs'!$H$35,'Torrance Inputs'!$M$28)),'Torrance Inputs'!$Q$17/('Torrance Inputs'!$M$28-'Torrance Inputs'!$L$28),0)</f>
        <v>0</v>
      </c>
      <c r="DE56" s="266">
        <f>IF(AND(DE$10&gt;EOMONTH('Torrance Inputs'!$H$35,'Torrance Inputs'!$L$28),DE$10&lt;=EOMONTH('Torrance Inputs'!$H$35,'Torrance Inputs'!$M$28)),'Torrance Inputs'!$Q$17/('Torrance Inputs'!$M$28-'Torrance Inputs'!$L$28),0)</f>
        <v>0</v>
      </c>
      <c r="DF56" s="266">
        <f>IF(AND(DF$10&gt;EOMONTH('Torrance Inputs'!$H$35,'Torrance Inputs'!$L$28),DF$10&lt;=EOMONTH('Torrance Inputs'!$H$35,'Torrance Inputs'!$M$28)),'Torrance Inputs'!$Q$17/('Torrance Inputs'!$M$28-'Torrance Inputs'!$L$28),0)</f>
        <v>0</v>
      </c>
      <c r="DG56" s="266">
        <f>IF(AND(DG$10&gt;EOMONTH('Torrance Inputs'!$H$35,'Torrance Inputs'!$L$28),DG$10&lt;=EOMONTH('Torrance Inputs'!$H$35,'Torrance Inputs'!$M$28)),'Torrance Inputs'!$Q$17/('Torrance Inputs'!$M$28-'Torrance Inputs'!$L$28),0)</f>
        <v>0</v>
      </c>
      <c r="DH56" s="266">
        <f>IF(AND(DH$10&gt;EOMONTH('Torrance Inputs'!$H$35,'Torrance Inputs'!$L$28),DH$10&lt;=EOMONTH('Torrance Inputs'!$H$35,'Torrance Inputs'!$M$28)),'Torrance Inputs'!$Q$17/('Torrance Inputs'!$M$28-'Torrance Inputs'!$L$28),0)</f>
        <v>0</v>
      </c>
      <c r="DI56" s="266">
        <f>IF(AND(DI$10&gt;EOMONTH('Torrance Inputs'!$H$35,'Torrance Inputs'!$L$28),DI$10&lt;=EOMONTH('Torrance Inputs'!$H$35,'Torrance Inputs'!$M$28)),'Torrance Inputs'!$Q$17/('Torrance Inputs'!$M$28-'Torrance Inputs'!$L$28),0)</f>
        <v>0</v>
      </c>
      <c r="DJ56" s="266">
        <f>IF(AND(DJ$10&gt;EOMONTH('Torrance Inputs'!$H$35,'Torrance Inputs'!$L$28),DJ$10&lt;=EOMONTH('Torrance Inputs'!$H$35,'Torrance Inputs'!$M$28)),'Torrance Inputs'!$Q$17/('Torrance Inputs'!$M$28-'Torrance Inputs'!$L$28),0)</f>
        <v>0</v>
      </c>
      <c r="DK56" s="266">
        <f>IF(AND(DK$10&gt;EOMONTH('Torrance Inputs'!$H$35,'Torrance Inputs'!$L$28),DK$10&lt;=EOMONTH('Torrance Inputs'!$H$35,'Torrance Inputs'!$M$28)),'Torrance Inputs'!$Q$17/('Torrance Inputs'!$M$28-'Torrance Inputs'!$L$28),0)</f>
        <v>0</v>
      </c>
      <c r="DL56" s="266">
        <f>IF(AND(DL$10&gt;EOMONTH('Torrance Inputs'!$H$35,'Torrance Inputs'!$L$28),DL$10&lt;=EOMONTH('Torrance Inputs'!$H$35,'Torrance Inputs'!$M$28)),'Torrance Inputs'!$Q$17/('Torrance Inputs'!$M$28-'Torrance Inputs'!$L$28),0)</f>
        <v>0</v>
      </c>
      <c r="DM56" s="266">
        <f>IF(AND(DM$10&gt;EOMONTH('Torrance Inputs'!$H$35,'Torrance Inputs'!$L$28),DM$10&lt;=EOMONTH('Torrance Inputs'!$H$35,'Torrance Inputs'!$M$28)),'Torrance Inputs'!$Q$17/('Torrance Inputs'!$M$28-'Torrance Inputs'!$L$28),0)</f>
        <v>0</v>
      </c>
      <c r="DN56" s="266">
        <f>IF(AND(DN$10&gt;EOMONTH('Torrance Inputs'!$H$35,'Torrance Inputs'!$L$28),DN$10&lt;=EOMONTH('Torrance Inputs'!$H$35,'Torrance Inputs'!$M$28)),'Torrance Inputs'!$Q$17/('Torrance Inputs'!$M$28-'Torrance Inputs'!$L$28),0)</f>
        <v>0</v>
      </c>
      <c r="DO56" s="266">
        <f>IF(AND(DO$10&gt;EOMONTH('Torrance Inputs'!$H$35,'Torrance Inputs'!$L$28),DO$10&lt;=EOMONTH('Torrance Inputs'!$H$35,'Torrance Inputs'!$M$28)),'Torrance Inputs'!$Q$17/('Torrance Inputs'!$M$28-'Torrance Inputs'!$L$28),0)</f>
        <v>0</v>
      </c>
      <c r="DP56" s="266">
        <f>IF(AND(DP$10&gt;EOMONTH('Torrance Inputs'!$H$35,'Torrance Inputs'!$L$28),DP$10&lt;=EOMONTH('Torrance Inputs'!$H$35,'Torrance Inputs'!$M$28)),'Torrance Inputs'!$Q$17/('Torrance Inputs'!$M$28-'Torrance Inputs'!$L$28),0)</f>
        <v>0</v>
      </c>
      <c r="DQ56" s="266">
        <f>IF(AND(DQ$10&gt;EOMONTH('Torrance Inputs'!$H$35,'Torrance Inputs'!$L$28),DQ$10&lt;=EOMONTH('Torrance Inputs'!$H$35,'Torrance Inputs'!$M$28)),'Torrance Inputs'!$Q$17/('Torrance Inputs'!$M$28-'Torrance Inputs'!$L$28),0)</f>
        <v>0</v>
      </c>
      <c r="DR56" s="266">
        <f>IF(AND(DR$10&gt;EOMONTH('Torrance Inputs'!$H$35,'Torrance Inputs'!$L$28),DR$10&lt;=EOMONTH('Torrance Inputs'!$H$35,'Torrance Inputs'!$M$28)),'Torrance Inputs'!$Q$17/('Torrance Inputs'!$M$28-'Torrance Inputs'!$L$28),0)</f>
        <v>0</v>
      </c>
      <c r="DS56" s="266">
        <f>IF(AND(DS$10&gt;EOMONTH('Torrance Inputs'!$H$35,'Torrance Inputs'!$L$28),DS$10&lt;=EOMONTH('Torrance Inputs'!$H$35,'Torrance Inputs'!$M$28)),'Torrance Inputs'!$Q$17/('Torrance Inputs'!$M$28-'Torrance Inputs'!$L$28),0)</f>
        <v>0</v>
      </c>
      <c r="DT56" s="266">
        <f>IF(AND(DT$10&gt;EOMONTH('Torrance Inputs'!$H$35,'Torrance Inputs'!$L$28),DT$10&lt;=EOMONTH('Torrance Inputs'!$H$35,'Torrance Inputs'!$M$28)),'Torrance Inputs'!$Q$17/('Torrance Inputs'!$M$28-'Torrance Inputs'!$L$28),0)</f>
        <v>0</v>
      </c>
      <c r="DU56" s="266">
        <f>IF(AND(DU$10&gt;EOMONTH('Torrance Inputs'!$H$35,'Torrance Inputs'!$L$28),DU$10&lt;=EOMONTH('Torrance Inputs'!$H$35,'Torrance Inputs'!$M$28)),'Torrance Inputs'!$Q$17/('Torrance Inputs'!$M$28-'Torrance Inputs'!$L$28),0)</f>
        <v>0</v>
      </c>
      <c r="DV56" s="266">
        <f>IF(AND(DV$10&gt;EOMONTH('Torrance Inputs'!$H$35,'Torrance Inputs'!$L$28),DV$10&lt;=EOMONTH('Torrance Inputs'!$H$35,'Torrance Inputs'!$M$28)),'Torrance Inputs'!$Q$17/('Torrance Inputs'!$M$28-'Torrance Inputs'!$L$28),0)</f>
        <v>0</v>
      </c>
      <c r="DW56" s="266">
        <f>IF(AND(DW$10&gt;EOMONTH('Torrance Inputs'!$H$35,'Torrance Inputs'!$L$28),DW$10&lt;=EOMONTH('Torrance Inputs'!$H$35,'Torrance Inputs'!$M$28)),'Torrance Inputs'!$Q$17/('Torrance Inputs'!$M$28-'Torrance Inputs'!$L$28),0)</f>
        <v>0</v>
      </c>
      <c r="DX56" s="266">
        <f>IF(AND(DX$10&gt;EOMONTH('Torrance Inputs'!$H$35,'Torrance Inputs'!$L$28),DX$10&lt;=EOMONTH('Torrance Inputs'!$H$35,'Torrance Inputs'!$M$28)),'Torrance Inputs'!$Q$17/('Torrance Inputs'!$M$28-'Torrance Inputs'!$L$28),0)</f>
        <v>0</v>
      </c>
      <c r="DY56" s="266">
        <f>IF(AND(DY$10&gt;EOMONTH('Torrance Inputs'!$H$35,'Torrance Inputs'!$L$28),DY$10&lt;=EOMONTH('Torrance Inputs'!$H$35,'Torrance Inputs'!$M$28)),'Torrance Inputs'!$Q$17/('Torrance Inputs'!$M$28-'Torrance Inputs'!$L$28),0)</f>
        <v>0</v>
      </c>
      <c r="DZ56" s="266">
        <f>IF(AND(DZ$10&gt;EOMONTH('Torrance Inputs'!$H$35,'Torrance Inputs'!$L$28),DZ$10&lt;=EOMONTH('Torrance Inputs'!$H$35,'Torrance Inputs'!$M$28)),'Torrance Inputs'!$Q$17/('Torrance Inputs'!$M$28-'Torrance Inputs'!$L$28),0)</f>
        <v>0</v>
      </c>
      <c r="EA56" s="266">
        <f>IF(AND(EA$10&gt;EOMONTH('Torrance Inputs'!$H$35,'Torrance Inputs'!$L$28),EA$10&lt;=EOMONTH('Torrance Inputs'!$H$35,'Torrance Inputs'!$M$28)),'Torrance Inputs'!$Q$17/('Torrance Inputs'!$M$28-'Torrance Inputs'!$L$28),0)</f>
        <v>0</v>
      </c>
      <c r="EB56" s="266">
        <f>IF(AND(EB$10&gt;EOMONTH('Torrance Inputs'!$H$35,'Torrance Inputs'!$L$28),EB$10&lt;=EOMONTH('Torrance Inputs'!$H$35,'Torrance Inputs'!$M$28)),'Torrance Inputs'!$Q$17/('Torrance Inputs'!$M$28-'Torrance Inputs'!$L$28),0)</f>
        <v>0</v>
      </c>
      <c r="EC56" s="266">
        <f>IF(AND(EC$10&gt;EOMONTH('Torrance Inputs'!$H$35,'Torrance Inputs'!$L$28),EC$10&lt;=EOMONTH('Torrance Inputs'!$H$35,'Torrance Inputs'!$M$28)),'Torrance Inputs'!$Q$17/('Torrance Inputs'!$M$28-'Torrance Inputs'!$L$28),0)</f>
        <v>0</v>
      </c>
      <c r="ED56" s="266">
        <f>IF(AND(ED$10&gt;EOMONTH('Torrance Inputs'!$H$35,'Torrance Inputs'!$L$28),ED$10&lt;=EOMONTH('Torrance Inputs'!$H$35,'Torrance Inputs'!$M$28)),'Torrance Inputs'!$Q$17/('Torrance Inputs'!$M$28-'Torrance Inputs'!$L$28),0)</f>
        <v>0</v>
      </c>
    </row>
    <row r="57" spans="1:134" ht="19.149999999999999" customHeight="1" x14ac:dyDescent="0.4">
      <c r="A57" s="265" t="s">
        <v>191</v>
      </c>
      <c r="B57" s="265"/>
      <c r="C57" s="266">
        <f>IF(AND(C$10&gt;=EOMONTH('Torrance Inputs'!$H$35,'Torrance Inputs'!$L$29),C$10&lt;=EOMONTH('Torrance Inputs'!$H$35,'Torrance Inputs'!$M$29)),'Torrance Inputs'!$Q$16/('Torrance Inputs'!$M$29-'Torrance Inputs'!$L$29),0)</f>
        <v>0</v>
      </c>
      <c r="D57" s="266">
        <f>IF(AND(D$10&gt;=EOMONTH('Torrance Inputs'!$H$35,'Torrance Inputs'!$L$29),D$10&lt;=EOMONTH('Torrance Inputs'!$H$35,'Torrance Inputs'!$M$29)),'Torrance Inputs'!$Q$16/('Torrance Inputs'!$M$29-'Torrance Inputs'!$L$29),0)</f>
        <v>0</v>
      </c>
      <c r="E57" s="266">
        <f>IF(AND(E$10&gt;=EOMONTH('Torrance Inputs'!$H$35,'Torrance Inputs'!$L$29),E$10&lt;=EOMONTH('Torrance Inputs'!$H$35,'Torrance Inputs'!$M$29)),'Torrance Inputs'!$Q$16/('Torrance Inputs'!$M$29-'Torrance Inputs'!$L$29),0)</f>
        <v>0</v>
      </c>
      <c r="F57" s="266">
        <f>IF(AND(F$10&gt;=EOMONTH('Torrance Inputs'!$H$35,'Torrance Inputs'!$L$29),F$10&lt;=EOMONTH('Torrance Inputs'!$H$35,'Torrance Inputs'!$M$29)),'Torrance Inputs'!$Q$16/('Torrance Inputs'!$M$29-'Torrance Inputs'!$L$29),0)</f>
        <v>0</v>
      </c>
      <c r="G57" s="266">
        <f>IF(AND(G$10&gt;=EOMONTH('Torrance Inputs'!$H$35,'Torrance Inputs'!$L$29),G$10&lt;=EOMONTH('Torrance Inputs'!$H$35,'Torrance Inputs'!$M$29)),'Torrance Inputs'!$Q$16/('Torrance Inputs'!$M$29-'Torrance Inputs'!$L$29),0)</f>
        <v>0</v>
      </c>
      <c r="H57" s="266">
        <f>IF(AND(H$10&gt;=EOMONTH('Torrance Inputs'!$H$35,'Torrance Inputs'!$L$29),H$10&lt;=EOMONTH('Torrance Inputs'!$H$35,'Torrance Inputs'!$M$29)),'Torrance Inputs'!$Q$16/('Torrance Inputs'!$M$29-'Torrance Inputs'!$L$29),0)</f>
        <v>0</v>
      </c>
      <c r="I57" s="266">
        <f>IF(AND(I$10&gt;=EOMONTH('Torrance Inputs'!$H$35,'Torrance Inputs'!$L$29),I$10&lt;=EOMONTH('Torrance Inputs'!$H$35,'Torrance Inputs'!$M$29)),'Torrance Inputs'!$Q$16/('Torrance Inputs'!$M$29-'Torrance Inputs'!$L$29),0)</f>
        <v>0</v>
      </c>
      <c r="J57" s="266">
        <f>IF(AND(J$10&gt;=EOMONTH('Torrance Inputs'!$H$35,'Torrance Inputs'!$L$29),J$10&lt;=EOMONTH('Torrance Inputs'!$H$35,'Torrance Inputs'!$M$29)),'Torrance Inputs'!$Q$16/('Torrance Inputs'!$M$29-'Torrance Inputs'!$L$29),0)</f>
        <v>0</v>
      </c>
      <c r="K57" s="266">
        <f>IF(AND(K$10&gt;=EOMONTH('Torrance Inputs'!$H$35,'Torrance Inputs'!$L$29),K$10&lt;=EOMONTH('Torrance Inputs'!$H$35,'Torrance Inputs'!$M$29)),'Torrance Inputs'!$Q$16/('Torrance Inputs'!$M$29-'Torrance Inputs'!$L$29),0)</f>
        <v>0</v>
      </c>
      <c r="L57" s="266">
        <f>IF(AND(L$10&gt;=EOMONTH('Torrance Inputs'!$H$35,'Torrance Inputs'!$L$29),L$10&lt;=EOMONTH('Torrance Inputs'!$H$35,'Torrance Inputs'!$M$29)),'Torrance Inputs'!$Q$16/('Torrance Inputs'!$M$29-'Torrance Inputs'!$L$29),0)</f>
        <v>0</v>
      </c>
      <c r="M57" s="266">
        <f>IF(AND(M$10&gt;=EOMONTH('Torrance Inputs'!$H$35,'Torrance Inputs'!$L$29),M$10&lt;=EOMONTH('Torrance Inputs'!$H$35,'Torrance Inputs'!$M$29)),'Torrance Inputs'!$Q$16/('Torrance Inputs'!$M$29-'Torrance Inputs'!$L$29),0)</f>
        <v>0</v>
      </c>
      <c r="N57" s="266">
        <f>IF(AND(N$10&gt;=EOMONTH('Torrance Inputs'!$H$35,'Torrance Inputs'!$L$29),N$10&lt;=EOMONTH('Torrance Inputs'!$H$35,'Torrance Inputs'!$M$29)),'Torrance Inputs'!$Q$16/('Torrance Inputs'!$M$29-'Torrance Inputs'!$L$29),0)</f>
        <v>0</v>
      </c>
      <c r="O57" s="266">
        <f>IF(AND(O$10&gt;=EOMONTH('Torrance Inputs'!$H$35,'Torrance Inputs'!$L$29),O$10&lt;=EOMONTH('Torrance Inputs'!$H$35,'Torrance Inputs'!$M$29)),'Torrance Inputs'!$Q$16/('Torrance Inputs'!$M$29-'Torrance Inputs'!$L$29),0)</f>
        <v>0</v>
      </c>
      <c r="P57" s="266">
        <f>IF(AND(P$10&gt;=EOMONTH('Torrance Inputs'!$H$35,'Torrance Inputs'!$L$29),P$10&lt;=EOMONTH('Torrance Inputs'!$H$35,'Torrance Inputs'!$M$29)),'Torrance Inputs'!$Q$16/('Torrance Inputs'!$M$29-'Torrance Inputs'!$L$29),0)</f>
        <v>0</v>
      </c>
      <c r="Q57" s="266">
        <f>IF(AND(Q$10&gt;=EOMONTH('Torrance Inputs'!$H$35,'Torrance Inputs'!$L$29),Q$10&lt;=EOMONTH('Torrance Inputs'!$H$35,'Torrance Inputs'!$M$29)),'Torrance Inputs'!$Q$16/('Torrance Inputs'!$M$29-'Torrance Inputs'!$L$29),0)</f>
        <v>0</v>
      </c>
      <c r="R57" s="266">
        <f>IF(AND(R$10&gt;=EOMONTH('Torrance Inputs'!$H$35,'Torrance Inputs'!$L$29),R$10&lt;=EOMONTH('Torrance Inputs'!$H$35,'Torrance Inputs'!$M$29)),'Torrance Inputs'!$Q$16/('Torrance Inputs'!$M$29-'Torrance Inputs'!$L$29),0)</f>
        <v>0</v>
      </c>
      <c r="S57" s="266">
        <f>IF(AND(S$10&gt;=EOMONTH('Torrance Inputs'!$H$35,'Torrance Inputs'!$L$29),S$10&lt;=EOMONTH('Torrance Inputs'!$H$35,'Torrance Inputs'!$M$29)),'Torrance Inputs'!$Q$16/('Torrance Inputs'!$M$29-'Torrance Inputs'!$L$29),0)</f>
        <v>0</v>
      </c>
      <c r="T57" s="266">
        <f>IF(AND(T$10&gt;=EOMONTH('Torrance Inputs'!$H$35,'Torrance Inputs'!$L$29),T$10&lt;=EOMONTH('Torrance Inputs'!$H$35,'Torrance Inputs'!$M$29)),'Torrance Inputs'!$Q$16/('Torrance Inputs'!$M$29-'Torrance Inputs'!$L$29),0)</f>
        <v>0</v>
      </c>
      <c r="U57" s="266">
        <f>IF(AND(U$10&gt;=EOMONTH('Torrance Inputs'!$H$35,'Torrance Inputs'!$L$29),U$10&lt;=EOMONTH('Torrance Inputs'!$H$35,'Torrance Inputs'!$M$29)),'Torrance Inputs'!$Q$16/('Torrance Inputs'!$M$29-'Torrance Inputs'!$L$29),0)</f>
        <v>0</v>
      </c>
      <c r="V57" s="266">
        <f>IF(AND(V$10&gt;=EOMONTH('Torrance Inputs'!$H$35,'Torrance Inputs'!$L$29),V$10&lt;=EOMONTH('Torrance Inputs'!$H$35,'Torrance Inputs'!$M$29)),'Torrance Inputs'!$Q$16/('Torrance Inputs'!$M$29-'Torrance Inputs'!$L$29),0)</f>
        <v>0</v>
      </c>
      <c r="W57" s="266">
        <f>IF(AND(W$10&gt;=EOMONTH('Torrance Inputs'!$H$35,'Torrance Inputs'!$L$29),W$10&lt;=EOMONTH('Torrance Inputs'!$H$35,'Torrance Inputs'!$M$29)),'Torrance Inputs'!$Q$16/('Torrance Inputs'!$M$29-'Torrance Inputs'!$L$29),0)</f>
        <v>0</v>
      </c>
      <c r="X57" s="266">
        <f>IF(AND(X$10&gt;=EOMONTH('Torrance Inputs'!$H$35,'Torrance Inputs'!$L$29),X$10&lt;=EOMONTH('Torrance Inputs'!$H$35,'Torrance Inputs'!$M$29)),'Torrance Inputs'!$Q$16/('Torrance Inputs'!$M$29-'Torrance Inputs'!$L$29),0)</f>
        <v>0</v>
      </c>
      <c r="Y57" s="266">
        <f>IF(AND(Y$10&gt;=EOMONTH('Torrance Inputs'!$H$35,'Torrance Inputs'!$L$29),Y$10&lt;=EOMONTH('Torrance Inputs'!$H$35,'Torrance Inputs'!$M$29)),'Torrance Inputs'!$Q$16/('Torrance Inputs'!$M$29-'Torrance Inputs'!$L$29),0)</f>
        <v>0</v>
      </c>
      <c r="Z57" s="266">
        <f>IF(AND(Z$10&gt;=EOMONTH('Torrance Inputs'!$H$35,'Torrance Inputs'!$L$29),Z$10&lt;=EOMONTH('Torrance Inputs'!$H$35,'Torrance Inputs'!$M$29)),'Torrance Inputs'!$Q$16/('Torrance Inputs'!$M$29-'Torrance Inputs'!$L$29),0)</f>
        <v>0</v>
      </c>
      <c r="AA57" s="266">
        <f>IF(AND(AA$10&gt;=EOMONTH('Torrance Inputs'!$H$35,'Torrance Inputs'!$L$29),AA$10&lt;=EOMONTH('Torrance Inputs'!$H$35,'Torrance Inputs'!$M$29)),'Torrance Inputs'!$Q$16/('Torrance Inputs'!$M$29-'Torrance Inputs'!$L$29),0)</f>
        <v>0</v>
      </c>
      <c r="AB57" s="266">
        <f>IF(AND(AB$10&gt;=EOMONTH('Torrance Inputs'!$H$35,'Torrance Inputs'!$L$29),AB$10&lt;=EOMONTH('Torrance Inputs'!$H$35,'Torrance Inputs'!$M$29)),'Torrance Inputs'!$Q$16/('Torrance Inputs'!$M$29-'Torrance Inputs'!$L$29),0)</f>
        <v>0</v>
      </c>
      <c r="AC57" s="266">
        <f>IF(AND(AC$10&gt;=EOMONTH('Torrance Inputs'!$H$35,'Torrance Inputs'!$L$29),AC$10&lt;=EOMONTH('Torrance Inputs'!$H$35,'Torrance Inputs'!$M$29)),'Torrance Inputs'!$Q$16/('Torrance Inputs'!$M$29-'Torrance Inputs'!$L$29),0)</f>
        <v>0</v>
      </c>
      <c r="AD57" s="266">
        <f>IF(AND(AD$10&gt;=EOMONTH('Torrance Inputs'!$H$35,'Torrance Inputs'!$L$29),AD$10&lt;=EOMONTH('Torrance Inputs'!$H$35,'Torrance Inputs'!$M$29)),'Torrance Inputs'!$Q$16/('Torrance Inputs'!$M$29-'Torrance Inputs'!$L$29),0)</f>
        <v>0</v>
      </c>
      <c r="AE57" s="266">
        <f>IF(AND(AE$10&gt;=EOMONTH('Torrance Inputs'!$H$35,'Torrance Inputs'!$L$29),AE$10&lt;=EOMONTH('Torrance Inputs'!$H$35,'Torrance Inputs'!$M$29)),'Torrance Inputs'!$Q$16/('Torrance Inputs'!$M$29-'Torrance Inputs'!$L$29),0)</f>
        <v>0</v>
      </c>
      <c r="AF57" s="266">
        <f>IF(AND(AF$10&gt;=EOMONTH('Torrance Inputs'!$H$35,'Torrance Inputs'!$L$29),AF$10&lt;=EOMONTH('Torrance Inputs'!$H$35,'Torrance Inputs'!$M$29)),'Torrance Inputs'!$Q$16/('Torrance Inputs'!$M$29-'Torrance Inputs'!$L$29),0)</f>
        <v>0</v>
      </c>
      <c r="AG57" s="266">
        <f>IF(AND(AG$10&gt;=EOMONTH('Torrance Inputs'!$H$35,'Torrance Inputs'!$L$29),AG$10&lt;=EOMONTH('Torrance Inputs'!$H$35,'Torrance Inputs'!$M$29)),'Torrance Inputs'!$Q$16/('Torrance Inputs'!$M$29-'Torrance Inputs'!$L$29),0)</f>
        <v>0</v>
      </c>
      <c r="AH57" s="266">
        <f>IF(AND(AH$10&gt;=EOMONTH('Torrance Inputs'!$H$35,'Torrance Inputs'!$L$29),AH$10&lt;=EOMONTH('Torrance Inputs'!$H$35,'Torrance Inputs'!$M$29)),'Torrance Inputs'!$Q$16/('Torrance Inputs'!$M$29-'Torrance Inputs'!$L$29),0)</f>
        <v>0</v>
      </c>
      <c r="AI57" s="266">
        <f>IF(AND(AI$10&gt;=EOMONTH('Torrance Inputs'!$H$35,'Torrance Inputs'!$L$29),AI$10&lt;=EOMONTH('Torrance Inputs'!$H$35,'Torrance Inputs'!$M$29)),'Torrance Inputs'!$Q$16/('Torrance Inputs'!$M$29-'Torrance Inputs'!$L$29),0)</f>
        <v>0</v>
      </c>
      <c r="AJ57" s="266">
        <f>IF(AND(AJ$10&gt;=EOMONTH('Torrance Inputs'!$H$35,'Torrance Inputs'!$L$29),AJ$10&lt;=EOMONTH('Torrance Inputs'!$H$35,'Torrance Inputs'!$M$29)),'Torrance Inputs'!$Q$16/('Torrance Inputs'!$M$29-'Torrance Inputs'!$L$29),0)</f>
        <v>0</v>
      </c>
      <c r="AK57" s="266">
        <f>IF(AND(AK$10&gt;=EOMONTH('Torrance Inputs'!$H$35,'Torrance Inputs'!$L$29),AK$10&lt;=EOMONTH('Torrance Inputs'!$H$35,'Torrance Inputs'!$M$29)),'Torrance Inputs'!$Q$16/('Torrance Inputs'!$M$29-'Torrance Inputs'!$L$29),0)</f>
        <v>0</v>
      </c>
      <c r="AL57" s="266">
        <f>IF(AND(AL$10&gt;=EOMONTH('Torrance Inputs'!$H$35,'Torrance Inputs'!$L$29),AL$10&lt;=EOMONTH('Torrance Inputs'!$H$35,'Torrance Inputs'!$M$29)),'Torrance Inputs'!$Q$16/('Torrance Inputs'!$M$29-'Torrance Inputs'!$L$29),0)</f>
        <v>0</v>
      </c>
      <c r="AM57" s="266">
        <f>IF(AND(AM$10&gt;=EOMONTH('Torrance Inputs'!$H$35,'Torrance Inputs'!$L$29),AM$10&lt;=EOMONTH('Torrance Inputs'!$H$35,'Torrance Inputs'!$M$29)),'Torrance Inputs'!$Q$16/('Torrance Inputs'!$M$29-'Torrance Inputs'!$L$29),0)</f>
        <v>0</v>
      </c>
      <c r="AN57" s="266">
        <f>IF(AND(AN$10&gt;=EOMONTH('Torrance Inputs'!$H$35,'Torrance Inputs'!$L$29),AN$10&lt;=EOMONTH('Torrance Inputs'!$H$35,'Torrance Inputs'!$M$29)),'Torrance Inputs'!$Q$16/('Torrance Inputs'!$M$29-'Torrance Inputs'!$L$29),0)</f>
        <v>0</v>
      </c>
      <c r="AO57" s="266">
        <f>IF(AND(AO$10&gt;=EOMONTH('Torrance Inputs'!$H$35,'Torrance Inputs'!$L$29),AO$10&lt;=EOMONTH('Torrance Inputs'!$H$35,'Torrance Inputs'!$M$29)),'Torrance Inputs'!$Q$16/('Torrance Inputs'!$M$29-'Torrance Inputs'!$L$29),0)</f>
        <v>0</v>
      </c>
      <c r="AP57" s="266">
        <f>IF(AND(AP$10&gt;=EOMONTH('Torrance Inputs'!$H$35,'Torrance Inputs'!$L$29),AP$10&lt;=EOMONTH('Torrance Inputs'!$H$35,'Torrance Inputs'!$M$29)),'Torrance Inputs'!$Q$16/('Torrance Inputs'!$M$29-'Torrance Inputs'!$L$29),0)</f>
        <v>0</v>
      </c>
      <c r="AQ57" s="266">
        <f>IF(AND(AQ$10&gt;=EOMONTH('Torrance Inputs'!$H$35,'Torrance Inputs'!$L$29),AQ$10&lt;=EOMONTH('Torrance Inputs'!$H$35,'Torrance Inputs'!$M$29)),'Torrance Inputs'!$Q$16/('Torrance Inputs'!$M$29-'Torrance Inputs'!$L$29),0)</f>
        <v>0</v>
      </c>
      <c r="AR57" s="266">
        <f>IF(AND(AR$10&gt;=EOMONTH('Torrance Inputs'!$H$35,'Torrance Inputs'!$L$29),AR$10&lt;=EOMONTH('Torrance Inputs'!$H$35,'Torrance Inputs'!$M$29)),'Torrance Inputs'!$Q$16/('Torrance Inputs'!$M$29-'Torrance Inputs'!$L$29),0)</f>
        <v>0</v>
      </c>
      <c r="AS57" s="266">
        <f>IF(AND(AS$10&gt;=EOMONTH('Torrance Inputs'!$H$35,'Torrance Inputs'!$L$29),AS$10&lt;=EOMONTH('Torrance Inputs'!$H$35,'Torrance Inputs'!$M$29)),'Torrance Inputs'!$Q$16/('Torrance Inputs'!$M$29-'Torrance Inputs'!$L$29),0)</f>
        <v>0</v>
      </c>
      <c r="AT57" s="266">
        <f>IF(AND(AT$10&gt;=EOMONTH('Torrance Inputs'!$H$35,'Torrance Inputs'!$L$29),AT$10&lt;=EOMONTH('Torrance Inputs'!$H$35,'Torrance Inputs'!$M$29)),'Torrance Inputs'!$Q$16/('Torrance Inputs'!$M$29-'Torrance Inputs'!$L$29),0)</f>
        <v>0</v>
      </c>
      <c r="AU57" s="266">
        <f>IF(AND(AU$10&gt;=EOMONTH('Torrance Inputs'!$H$35,'Torrance Inputs'!$L$29),AU$10&lt;=EOMONTH('Torrance Inputs'!$H$35,'Torrance Inputs'!$M$29)),'Torrance Inputs'!$Q$16/('Torrance Inputs'!$M$29-'Torrance Inputs'!$L$29),0)</f>
        <v>0</v>
      </c>
      <c r="AV57" s="266">
        <f>IF(AND(AV$10&gt;=EOMONTH('Torrance Inputs'!$H$35,'Torrance Inputs'!$L$29),AV$10&lt;=EOMONTH('Torrance Inputs'!$H$35,'Torrance Inputs'!$M$29)),'Torrance Inputs'!$Q$16/('Torrance Inputs'!$M$29-'Torrance Inputs'!$L$29),0)</f>
        <v>0</v>
      </c>
      <c r="AW57" s="266">
        <f>IF(AND(AW$10&gt;=EOMONTH('Torrance Inputs'!$H$35,'Torrance Inputs'!$L$29),AW$10&lt;=EOMONTH('Torrance Inputs'!$H$35,'Torrance Inputs'!$M$29)),'Torrance Inputs'!$Q$16/('Torrance Inputs'!$M$29-'Torrance Inputs'!$L$29),0)</f>
        <v>0</v>
      </c>
      <c r="AX57" s="266">
        <f>IF(AND(AX$10&gt;=EOMONTH('Torrance Inputs'!$H$35,'Torrance Inputs'!$L$29),AX$10&lt;=EOMONTH('Torrance Inputs'!$H$35,'Torrance Inputs'!$M$29)),'Torrance Inputs'!$Q$16/('Torrance Inputs'!$M$29-'Torrance Inputs'!$L$29),0)</f>
        <v>0</v>
      </c>
      <c r="AY57" s="266">
        <f>IF(AND(AY$10&gt;=EOMONTH('Torrance Inputs'!$H$35,'Torrance Inputs'!$L$29),AY$10&lt;=EOMONTH('Torrance Inputs'!$H$35,'Torrance Inputs'!$M$29)),'Torrance Inputs'!$Q$16/('Torrance Inputs'!$M$29-'Torrance Inputs'!$L$29),0)</f>
        <v>0</v>
      </c>
      <c r="AZ57" s="266">
        <f>IF(AND(AZ$10&gt;=EOMONTH('Torrance Inputs'!$H$35,'Torrance Inputs'!$L$29),AZ$10&lt;=EOMONTH('Torrance Inputs'!$H$35,'Torrance Inputs'!$M$29)),'Torrance Inputs'!$Q$16/('Torrance Inputs'!$M$29-'Torrance Inputs'!$L$29),0)</f>
        <v>0</v>
      </c>
      <c r="BA57" s="266">
        <f>IF(AND(BA$10&gt;=EOMONTH('Torrance Inputs'!$H$35,'Torrance Inputs'!$L$29),BA$10&lt;=EOMONTH('Torrance Inputs'!$H$35,'Torrance Inputs'!$M$29)),'Torrance Inputs'!$Q$16/('Torrance Inputs'!$M$29-'Torrance Inputs'!$L$29),0)</f>
        <v>0</v>
      </c>
      <c r="BB57" s="266">
        <f>IF(AND(BB$10&gt;=EOMONTH('Torrance Inputs'!$H$35,'Torrance Inputs'!$L$29),BB$10&lt;=EOMONTH('Torrance Inputs'!$H$35,'Torrance Inputs'!$M$29)),'Torrance Inputs'!$Q$16/('Torrance Inputs'!$M$29-'Torrance Inputs'!$L$29),0)</f>
        <v>0</v>
      </c>
      <c r="BC57" s="266">
        <f>IF(AND(BC$10&gt;=EOMONTH('Torrance Inputs'!$H$35,'Torrance Inputs'!$L$29),BC$10&lt;=EOMONTH('Torrance Inputs'!$H$35,'Torrance Inputs'!$M$29)),'Torrance Inputs'!$Q$16/('Torrance Inputs'!$M$29-'Torrance Inputs'!$L$29),0)</f>
        <v>0</v>
      </c>
      <c r="BD57" s="266">
        <f>IF(AND(BD$10&gt;=EOMONTH('Torrance Inputs'!$H$35,'Torrance Inputs'!$L$29),BD$10&lt;=EOMONTH('Torrance Inputs'!$H$35,'Torrance Inputs'!$M$29)),'Torrance Inputs'!$Q$16/('Torrance Inputs'!$M$29-'Torrance Inputs'!$L$29),0)</f>
        <v>0</v>
      </c>
      <c r="BE57" s="266">
        <f>IF(AND(BE$10&gt;=EOMONTH('Torrance Inputs'!$H$35,'Torrance Inputs'!$L$29),BE$10&lt;=EOMONTH('Torrance Inputs'!$H$35,'Torrance Inputs'!$M$29)),'Torrance Inputs'!$Q$16/('Torrance Inputs'!$M$29-'Torrance Inputs'!$L$29),0)</f>
        <v>0</v>
      </c>
      <c r="BF57" s="266">
        <f>IF(AND(BF$10&gt;=EOMONTH('Torrance Inputs'!$H$35,'Torrance Inputs'!$L$29),BF$10&lt;=EOMONTH('Torrance Inputs'!$H$35,'Torrance Inputs'!$M$29)),'Torrance Inputs'!$Q$16/('Torrance Inputs'!$M$29-'Torrance Inputs'!$L$29),0)</f>
        <v>0</v>
      </c>
      <c r="BG57" s="266">
        <f>IF(AND(BG$10&gt;=EOMONTH('Torrance Inputs'!$H$35,'Torrance Inputs'!$L$29),BG$10&lt;=EOMONTH('Torrance Inputs'!$H$35,'Torrance Inputs'!$M$29)),'Torrance Inputs'!$Q$16/('Torrance Inputs'!$M$29-'Torrance Inputs'!$L$29),0)</f>
        <v>0</v>
      </c>
      <c r="BH57" s="266">
        <f>IF(AND(BH$10&gt;=EOMONTH('Torrance Inputs'!$H$35,'Torrance Inputs'!$L$29),BH$10&lt;=EOMONTH('Torrance Inputs'!$H$35,'Torrance Inputs'!$M$29)),'Torrance Inputs'!$Q$16/('Torrance Inputs'!$M$29-'Torrance Inputs'!$L$29),0)</f>
        <v>0</v>
      </c>
      <c r="BI57" s="266">
        <f>IF(AND(BI$10&gt;=EOMONTH('Torrance Inputs'!$H$35,'Torrance Inputs'!$L$29),BI$10&lt;=EOMONTH('Torrance Inputs'!$H$35,'Torrance Inputs'!$M$29)),'Torrance Inputs'!$Q$16/('Torrance Inputs'!$M$29-'Torrance Inputs'!$L$29),0)</f>
        <v>0</v>
      </c>
      <c r="BJ57" s="266">
        <f>IF(AND(BJ$10&gt;=EOMONTH('Torrance Inputs'!$H$35,'Torrance Inputs'!$L$29),BJ$10&lt;=EOMONTH('Torrance Inputs'!$H$35,'Torrance Inputs'!$M$29)),'Torrance Inputs'!$Q$16/('Torrance Inputs'!$M$29-'Torrance Inputs'!$L$29),0)</f>
        <v>317625</v>
      </c>
      <c r="BK57" s="266">
        <f>IF(AND(BK$10&gt;=EOMONTH('Torrance Inputs'!$H$35,'Torrance Inputs'!$L$29),BK$10&lt;=EOMONTH('Torrance Inputs'!$H$35,'Torrance Inputs'!$M$29)),'Torrance Inputs'!$Q$16/('Torrance Inputs'!$M$29-'Torrance Inputs'!$L$29),0)</f>
        <v>317625</v>
      </c>
      <c r="BL57" s="266">
        <f>IF(AND(BL$10&gt;=EOMONTH('Torrance Inputs'!$H$35,'Torrance Inputs'!$L$29),BL$10&lt;=EOMONTH('Torrance Inputs'!$H$35,'Torrance Inputs'!$M$29)),'Torrance Inputs'!$Q$16/('Torrance Inputs'!$M$29-'Torrance Inputs'!$L$29),0)</f>
        <v>317625</v>
      </c>
      <c r="BM57" s="266">
        <f>IF(AND(BM$10&gt;=EOMONTH('Torrance Inputs'!$H$35,'Torrance Inputs'!$L$29),BM$10&lt;=EOMONTH('Torrance Inputs'!$H$35,'Torrance Inputs'!$M$29)),'Torrance Inputs'!$Q$16/('Torrance Inputs'!$M$29-'Torrance Inputs'!$L$29),0)</f>
        <v>0</v>
      </c>
      <c r="BN57" s="266">
        <f>IF(AND(BN$10&gt;=EOMONTH('Torrance Inputs'!$H$35,'Torrance Inputs'!$L$29),BN$10&lt;=EOMONTH('Torrance Inputs'!$H$35,'Torrance Inputs'!$M$29)),'Torrance Inputs'!$Q$16/('Torrance Inputs'!$M$29-'Torrance Inputs'!$L$29),0)</f>
        <v>0</v>
      </c>
      <c r="BO57" s="266">
        <f>IF(AND(BO$10&gt;=EOMONTH('Torrance Inputs'!$H$35,'Torrance Inputs'!$L$29),BO$10&lt;=EOMONTH('Torrance Inputs'!$H$35,'Torrance Inputs'!$M$29)),'Torrance Inputs'!$Q$16/('Torrance Inputs'!$M$29-'Torrance Inputs'!$L$29),0)</f>
        <v>0</v>
      </c>
      <c r="BP57" s="266">
        <f>IF(AND(BP$10&gt;=EOMONTH('Torrance Inputs'!$H$35,'Torrance Inputs'!$L$29),BP$10&lt;=EOMONTH('Torrance Inputs'!$H$35,'Torrance Inputs'!$M$29)),'Torrance Inputs'!$Q$16/('Torrance Inputs'!$M$29-'Torrance Inputs'!$L$29),0)</f>
        <v>0</v>
      </c>
      <c r="BQ57" s="266">
        <f>IF(AND(BQ$10&gt;=EOMONTH('Torrance Inputs'!$H$35,'Torrance Inputs'!$L$29),BQ$10&lt;=EOMONTH('Torrance Inputs'!$H$35,'Torrance Inputs'!$M$29)),'Torrance Inputs'!$Q$16/('Torrance Inputs'!$M$29-'Torrance Inputs'!$L$29),0)</f>
        <v>0</v>
      </c>
      <c r="BR57" s="266">
        <f>IF(AND(BR$10&gt;=EOMONTH('Torrance Inputs'!$H$35,'Torrance Inputs'!$L$29),BR$10&lt;=EOMONTH('Torrance Inputs'!$H$35,'Torrance Inputs'!$M$29)),'Torrance Inputs'!$Q$16/('Torrance Inputs'!$M$29-'Torrance Inputs'!$L$29),0)</f>
        <v>0</v>
      </c>
      <c r="BS57" s="266">
        <f>IF(AND(BS$10&gt;=EOMONTH('Torrance Inputs'!$H$35,'Torrance Inputs'!$L$29),BS$10&lt;=EOMONTH('Torrance Inputs'!$H$35,'Torrance Inputs'!$M$29)),'Torrance Inputs'!$Q$16/('Torrance Inputs'!$M$29-'Torrance Inputs'!$L$29),0)</f>
        <v>0</v>
      </c>
      <c r="BT57" s="266">
        <f>IF(AND(BT$10&gt;=EOMONTH('Torrance Inputs'!$H$35,'Torrance Inputs'!$L$29),BT$10&lt;=EOMONTH('Torrance Inputs'!$H$35,'Torrance Inputs'!$M$29)),'Torrance Inputs'!$Q$16/('Torrance Inputs'!$M$29-'Torrance Inputs'!$L$29),0)</f>
        <v>0</v>
      </c>
      <c r="BU57" s="266">
        <f>IF(AND(BU$10&gt;=EOMONTH('Torrance Inputs'!$H$35,'Torrance Inputs'!$L$29),BU$10&lt;=EOMONTH('Torrance Inputs'!$H$35,'Torrance Inputs'!$M$29)),'Torrance Inputs'!$Q$16/('Torrance Inputs'!$M$29-'Torrance Inputs'!$L$29),0)</f>
        <v>0</v>
      </c>
      <c r="BV57" s="266">
        <f>IF(AND(BV$10&gt;=EOMONTH('Torrance Inputs'!$H$35,'Torrance Inputs'!$L$29),BV$10&lt;=EOMONTH('Torrance Inputs'!$H$35,'Torrance Inputs'!$M$29)),'Torrance Inputs'!$Q$16/('Torrance Inputs'!$M$29-'Torrance Inputs'!$L$29),0)</f>
        <v>0</v>
      </c>
      <c r="BW57" s="266">
        <f>IF(AND(BW$10&gt;=EOMONTH('Torrance Inputs'!$H$35,'Torrance Inputs'!$L$29),BW$10&lt;=EOMONTH('Torrance Inputs'!$H$35,'Torrance Inputs'!$M$29)),'Torrance Inputs'!$Q$16/('Torrance Inputs'!$M$29-'Torrance Inputs'!$L$29),0)</f>
        <v>0</v>
      </c>
      <c r="BX57" s="266">
        <f>IF(AND(BX$10&gt;=EOMONTH('Torrance Inputs'!$H$35,'Torrance Inputs'!$L$29),BX$10&lt;=EOMONTH('Torrance Inputs'!$H$35,'Torrance Inputs'!$M$29)),'Torrance Inputs'!$Q$16/('Torrance Inputs'!$M$29-'Torrance Inputs'!$L$29),0)</f>
        <v>0</v>
      </c>
      <c r="BY57" s="266">
        <f>IF(AND(BY$10&gt;=EOMONTH('Torrance Inputs'!$H$35,'Torrance Inputs'!$L$29),BY$10&lt;=EOMONTH('Torrance Inputs'!$H$35,'Torrance Inputs'!$M$29)),'Torrance Inputs'!$Q$16/('Torrance Inputs'!$M$29-'Torrance Inputs'!$L$29),0)</f>
        <v>0</v>
      </c>
      <c r="BZ57" s="266">
        <f>IF(AND(BZ$10&gt;=EOMONTH('Torrance Inputs'!$H$35,'Torrance Inputs'!$L$29),BZ$10&lt;=EOMONTH('Torrance Inputs'!$H$35,'Torrance Inputs'!$M$29)),'Torrance Inputs'!$Q$16/('Torrance Inputs'!$M$29-'Torrance Inputs'!$L$29),0)</f>
        <v>0</v>
      </c>
      <c r="CA57" s="266">
        <f>IF(AND(CA$10&gt;=EOMONTH('Torrance Inputs'!$H$35,'Torrance Inputs'!$L$29),CA$10&lt;=EOMONTH('Torrance Inputs'!$H$35,'Torrance Inputs'!$M$29)),'Torrance Inputs'!$Q$16/('Torrance Inputs'!$M$29-'Torrance Inputs'!$L$29),0)</f>
        <v>0</v>
      </c>
      <c r="CB57" s="266">
        <f>IF(AND(CB$10&gt;=EOMONTH('Torrance Inputs'!$H$35,'Torrance Inputs'!$L$29),CB$10&lt;=EOMONTH('Torrance Inputs'!$H$35,'Torrance Inputs'!$M$29)),'Torrance Inputs'!$Q$16/('Torrance Inputs'!$M$29-'Torrance Inputs'!$L$29),0)</f>
        <v>0</v>
      </c>
      <c r="CC57" s="266">
        <f>IF(AND(CC$10&gt;=EOMONTH('Torrance Inputs'!$H$35,'Torrance Inputs'!$L$29),CC$10&lt;=EOMONTH('Torrance Inputs'!$H$35,'Torrance Inputs'!$M$29)),'Torrance Inputs'!$Q$16/('Torrance Inputs'!$M$29-'Torrance Inputs'!$L$29),0)</f>
        <v>0</v>
      </c>
      <c r="CD57" s="266">
        <f>IF(AND(CD$10&gt;=EOMONTH('Torrance Inputs'!$H$35,'Torrance Inputs'!$L$29),CD$10&lt;=EOMONTH('Torrance Inputs'!$H$35,'Torrance Inputs'!$M$29)),'Torrance Inputs'!$Q$16/('Torrance Inputs'!$M$29-'Torrance Inputs'!$L$29),0)</f>
        <v>0</v>
      </c>
      <c r="CE57" s="266">
        <f>IF(AND(CE$10&gt;=EOMONTH('Torrance Inputs'!$H$35,'Torrance Inputs'!$L$29),CE$10&lt;=EOMONTH('Torrance Inputs'!$H$35,'Torrance Inputs'!$M$29)),'Torrance Inputs'!$Q$16/('Torrance Inputs'!$M$29-'Torrance Inputs'!$L$29),0)</f>
        <v>0</v>
      </c>
      <c r="CF57" s="266">
        <f>IF(AND(CF$10&gt;=EOMONTH('Torrance Inputs'!$H$35,'Torrance Inputs'!$L$29),CF$10&lt;=EOMONTH('Torrance Inputs'!$H$35,'Torrance Inputs'!$M$29)),'Torrance Inputs'!$Q$16/('Torrance Inputs'!$M$29-'Torrance Inputs'!$L$29),0)</f>
        <v>0</v>
      </c>
      <c r="CG57" s="266">
        <f>IF(AND(CG$10&gt;=EOMONTH('Torrance Inputs'!$H$35,'Torrance Inputs'!$L$29),CG$10&lt;=EOMONTH('Torrance Inputs'!$H$35,'Torrance Inputs'!$M$29)),'Torrance Inputs'!$Q$16/('Torrance Inputs'!$M$29-'Torrance Inputs'!$L$29),0)</f>
        <v>0</v>
      </c>
      <c r="CH57" s="266">
        <f>IF(AND(CH$10&gt;=EOMONTH('Torrance Inputs'!$H$35,'Torrance Inputs'!$L$29),CH$10&lt;=EOMONTH('Torrance Inputs'!$H$35,'Torrance Inputs'!$M$29)),'Torrance Inputs'!$Q$16/('Torrance Inputs'!$M$29-'Torrance Inputs'!$L$29),0)</f>
        <v>0</v>
      </c>
      <c r="CI57" s="266">
        <f>IF(AND(CI$10&gt;=EOMONTH('Torrance Inputs'!$H$35,'Torrance Inputs'!$L$29),CI$10&lt;=EOMONTH('Torrance Inputs'!$H$35,'Torrance Inputs'!$M$29)),'Torrance Inputs'!$Q$16/('Torrance Inputs'!$M$29-'Torrance Inputs'!$L$29),0)</f>
        <v>0</v>
      </c>
      <c r="CJ57" s="266">
        <f>IF(AND(CJ$10&gt;=EOMONTH('Torrance Inputs'!$H$35,'Torrance Inputs'!$L$29),CJ$10&lt;=EOMONTH('Torrance Inputs'!$H$35,'Torrance Inputs'!$M$29)),'Torrance Inputs'!$Q$16/('Torrance Inputs'!$M$29-'Torrance Inputs'!$L$29),0)</f>
        <v>0</v>
      </c>
      <c r="CK57" s="266">
        <f>IF(AND(CK$10&gt;=EOMONTH('Torrance Inputs'!$H$35,'Torrance Inputs'!$L$29),CK$10&lt;=EOMONTH('Torrance Inputs'!$H$35,'Torrance Inputs'!$M$29)),'Torrance Inputs'!$Q$16/('Torrance Inputs'!$M$29-'Torrance Inputs'!$L$29),0)</f>
        <v>0</v>
      </c>
      <c r="CL57" s="266">
        <f>IF(AND(CL$10&gt;=EOMONTH('Torrance Inputs'!$H$35,'Torrance Inputs'!$L$29),CL$10&lt;=EOMONTH('Torrance Inputs'!$H$35,'Torrance Inputs'!$M$29)),'Torrance Inputs'!$Q$16/('Torrance Inputs'!$M$29-'Torrance Inputs'!$L$29),0)</f>
        <v>0</v>
      </c>
      <c r="CM57" s="266">
        <f>IF(AND(CM$10&gt;=EOMONTH('Torrance Inputs'!$H$35,'Torrance Inputs'!$L$29),CM$10&lt;=EOMONTH('Torrance Inputs'!$H$35,'Torrance Inputs'!$M$29)),'Torrance Inputs'!$Q$16/('Torrance Inputs'!$M$29-'Torrance Inputs'!$L$29),0)</f>
        <v>0</v>
      </c>
      <c r="CN57" s="266">
        <f>IF(AND(CN$10&gt;=EOMONTH('Torrance Inputs'!$H$35,'Torrance Inputs'!$L$29),CN$10&lt;=EOMONTH('Torrance Inputs'!$H$35,'Torrance Inputs'!$M$29)),'Torrance Inputs'!$Q$16/('Torrance Inputs'!$M$29-'Torrance Inputs'!$L$29),0)</f>
        <v>0</v>
      </c>
      <c r="CO57" s="266">
        <f>IF(AND(CO$10&gt;=EOMONTH('Torrance Inputs'!$H$35,'Torrance Inputs'!$L$29),CO$10&lt;=EOMONTH('Torrance Inputs'!$H$35,'Torrance Inputs'!$M$29)),'Torrance Inputs'!$Q$16/('Torrance Inputs'!$M$29-'Torrance Inputs'!$L$29),0)</f>
        <v>0</v>
      </c>
      <c r="CP57" s="266">
        <f>IF(AND(CP$10&gt;=EOMONTH('Torrance Inputs'!$H$35,'Torrance Inputs'!$L$29),CP$10&lt;=EOMONTH('Torrance Inputs'!$H$35,'Torrance Inputs'!$M$29)),'Torrance Inputs'!$Q$16/('Torrance Inputs'!$M$29-'Torrance Inputs'!$L$29),0)</f>
        <v>0</v>
      </c>
      <c r="CQ57" s="266">
        <f>IF(AND(CQ$10&gt;=EOMONTH('Torrance Inputs'!$H$35,'Torrance Inputs'!$L$29),CQ$10&lt;=EOMONTH('Torrance Inputs'!$H$35,'Torrance Inputs'!$M$29)),'Torrance Inputs'!$Q$16/('Torrance Inputs'!$M$29-'Torrance Inputs'!$L$29),0)</f>
        <v>0</v>
      </c>
      <c r="CR57" s="266">
        <f>IF(AND(CR$10&gt;=EOMONTH('Torrance Inputs'!$H$35,'Torrance Inputs'!$L$29),CR$10&lt;=EOMONTH('Torrance Inputs'!$H$35,'Torrance Inputs'!$M$29)),'Torrance Inputs'!$Q$16/('Torrance Inputs'!$M$29-'Torrance Inputs'!$L$29),0)</f>
        <v>0</v>
      </c>
      <c r="CS57" s="266">
        <f>IF(AND(CS$10&gt;=EOMONTH('Torrance Inputs'!$H$35,'Torrance Inputs'!$L$29),CS$10&lt;=EOMONTH('Torrance Inputs'!$H$35,'Torrance Inputs'!$M$29)),'Torrance Inputs'!$Q$16/('Torrance Inputs'!$M$29-'Torrance Inputs'!$L$29),0)</f>
        <v>0</v>
      </c>
      <c r="CT57" s="266">
        <f>IF(AND(CT$10&gt;=EOMONTH('Torrance Inputs'!$H$35,'Torrance Inputs'!$L$29),CT$10&lt;=EOMONTH('Torrance Inputs'!$H$35,'Torrance Inputs'!$M$29)),'Torrance Inputs'!$Q$16/('Torrance Inputs'!$M$29-'Torrance Inputs'!$L$29),0)</f>
        <v>0</v>
      </c>
      <c r="CU57" s="266">
        <f>IF(AND(CU$10&gt;=EOMONTH('Torrance Inputs'!$H$35,'Torrance Inputs'!$L$29),CU$10&lt;=EOMONTH('Torrance Inputs'!$H$35,'Torrance Inputs'!$M$29)),'Torrance Inputs'!$Q$16/('Torrance Inputs'!$M$29-'Torrance Inputs'!$L$29),0)</f>
        <v>0</v>
      </c>
      <c r="CV57" s="266">
        <f>IF(AND(CV$10&gt;=EOMONTH('Torrance Inputs'!$H$35,'Torrance Inputs'!$L$29),CV$10&lt;=EOMONTH('Torrance Inputs'!$H$35,'Torrance Inputs'!$M$29)),'Torrance Inputs'!$Q$16/('Torrance Inputs'!$M$29-'Torrance Inputs'!$L$29),0)</f>
        <v>0</v>
      </c>
      <c r="CW57" s="266">
        <f>IF(AND(CW$10&gt;=EOMONTH('Torrance Inputs'!$H$35,'Torrance Inputs'!$L$29),CW$10&lt;=EOMONTH('Torrance Inputs'!$H$35,'Torrance Inputs'!$M$29)),'Torrance Inputs'!$Q$16/('Torrance Inputs'!$M$29-'Torrance Inputs'!$L$29),0)</f>
        <v>0</v>
      </c>
      <c r="CX57" s="266">
        <f>IF(AND(CX$10&gt;=EOMONTH('Torrance Inputs'!$H$35,'Torrance Inputs'!$L$29),CX$10&lt;=EOMONTH('Torrance Inputs'!$H$35,'Torrance Inputs'!$M$29)),'Torrance Inputs'!$Q$16/('Torrance Inputs'!$M$29-'Torrance Inputs'!$L$29),0)</f>
        <v>0</v>
      </c>
      <c r="CY57" s="266">
        <f>IF(AND(CY$10&gt;=EOMONTH('Torrance Inputs'!$H$35,'Torrance Inputs'!$L$29),CY$10&lt;=EOMONTH('Torrance Inputs'!$H$35,'Torrance Inputs'!$M$29)),'Torrance Inputs'!$Q$16/('Torrance Inputs'!$M$29-'Torrance Inputs'!$L$29),0)</f>
        <v>0</v>
      </c>
      <c r="CZ57" s="266">
        <f>IF(AND(CZ$10&gt;=EOMONTH('Torrance Inputs'!$H$35,'Torrance Inputs'!$L$29),CZ$10&lt;=EOMONTH('Torrance Inputs'!$H$35,'Torrance Inputs'!$M$29)),'Torrance Inputs'!$Q$16/('Torrance Inputs'!$M$29-'Torrance Inputs'!$L$29),0)</f>
        <v>0</v>
      </c>
      <c r="DA57" s="266">
        <f>IF(AND(DA$10&gt;=EOMONTH('Torrance Inputs'!$H$35,'Torrance Inputs'!$L$29),DA$10&lt;=EOMONTH('Torrance Inputs'!$H$35,'Torrance Inputs'!$M$29)),'Torrance Inputs'!$Q$16/('Torrance Inputs'!$M$29-'Torrance Inputs'!$L$29),0)</f>
        <v>0</v>
      </c>
      <c r="DB57" s="266">
        <f>IF(AND(DB$10&gt;=EOMONTH('Torrance Inputs'!$H$35,'Torrance Inputs'!$L$29),DB$10&lt;=EOMONTH('Torrance Inputs'!$H$35,'Torrance Inputs'!$M$29)),'Torrance Inputs'!$Q$16/('Torrance Inputs'!$M$29-'Torrance Inputs'!$L$29),0)</f>
        <v>0</v>
      </c>
      <c r="DC57" s="266">
        <f>IF(AND(DC$10&gt;=EOMONTH('Torrance Inputs'!$H$35,'Torrance Inputs'!$L$29),DC$10&lt;=EOMONTH('Torrance Inputs'!$H$35,'Torrance Inputs'!$M$29)),'Torrance Inputs'!$Q$16/('Torrance Inputs'!$M$29-'Torrance Inputs'!$L$29),0)</f>
        <v>0</v>
      </c>
      <c r="DD57" s="266">
        <f>IF(AND(DD$10&gt;=EOMONTH('Torrance Inputs'!$H$35,'Torrance Inputs'!$L$29),DD$10&lt;=EOMONTH('Torrance Inputs'!$H$35,'Torrance Inputs'!$M$29)),'Torrance Inputs'!$Q$16/('Torrance Inputs'!$M$29-'Torrance Inputs'!$L$29),0)</f>
        <v>0</v>
      </c>
      <c r="DE57" s="266">
        <f>IF(AND(DE$10&gt;=EOMONTH('Torrance Inputs'!$H$35,'Torrance Inputs'!$L$29),DE$10&lt;=EOMONTH('Torrance Inputs'!$H$35,'Torrance Inputs'!$M$29)),'Torrance Inputs'!$Q$16/('Torrance Inputs'!$M$29-'Torrance Inputs'!$L$29),0)</f>
        <v>0</v>
      </c>
      <c r="DF57" s="266">
        <f>IF(AND(DF$10&gt;=EOMONTH('Torrance Inputs'!$H$35,'Torrance Inputs'!$L$29),DF$10&lt;=EOMONTH('Torrance Inputs'!$H$35,'Torrance Inputs'!$M$29)),'Torrance Inputs'!$Q$16/('Torrance Inputs'!$M$29-'Torrance Inputs'!$L$29),0)</f>
        <v>0</v>
      </c>
      <c r="DG57" s="266">
        <f>IF(AND(DG$10&gt;=EOMONTH('Torrance Inputs'!$H$35,'Torrance Inputs'!$L$29),DG$10&lt;=EOMONTH('Torrance Inputs'!$H$35,'Torrance Inputs'!$M$29)),'Torrance Inputs'!$Q$16/('Torrance Inputs'!$M$29-'Torrance Inputs'!$L$29),0)</f>
        <v>0</v>
      </c>
      <c r="DH57" s="266">
        <f>IF(AND(DH$10&gt;=EOMONTH('Torrance Inputs'!$H$35,'Torrance Inputs'!$L$29),DH$10&lt;=EOMONTH('Torrance Inputs'!$H$35,'Torrance Inputs'!$M$29)),'Torrance Inputs'!$Q$16/('Torrance Inputs'!$M$29-'Torrance Inputs'!$L$29),0)</f>
        <v>0</v>
      </c>
      <c r="DI57" s="266">
        <f>IF(AND(DI$10&gt;=EOMONTH('Torrance Inputs'!$H$35,'Torrance Inputs'!$L$29),DI$10&lt;=EOMONTH('Torrance Inputs'!$H$35,'Torrance Inputs'!$M$29)),'Torrance Inputs'!$Q$16/('Torrance Inputs'!$M$29-'Torrance Inputs'!$L$29),0)</f>
        <v>0</v>
      </c>
      <c r="DJ57" s="266">
        <f>IF(AND(DJ$10&gt;=EOMONTH('Torrance Inputs'!$H$35,'Torrance Inputs'!$L$29),DJ$10&lt;=EOMONTH('Torrance Inputs'!$H$35,'Torrance Inputs'!$M$29)),'Torrance Inputs'!$Q$16/('Torrance Inputs'!$M$29-'Torrance Inputs'!$L$29),0)</f>
        <v>0</v>
      </c>
      <c r="DK57" s="266">
        <f>IF(AND(DK$10&gt;=EOMONTH('Torrance Inputs'!$H$35,'Torrance Inputs'!$L$29),DK$10&lt;=EOMONTH('Torrance Inputs'!$H$35,'Torrance Inputs'!$M$29)),'Torrance Inputs'!$Q$16/('Torrance Inputs'!$M$29-'Torrance Inputs'!$L$29),0)</f>
        <v>0</v>
      </c>
      <c r="DL57" s="266">
        <f>IF(AND(DL$10&gt;=EOMONTH('Torrance Inputs'!$H$35,'Torrance Inputs'!$L$29),DL$10&lt;=EOMONTH('Torrance Inputs'!$H$35,'Torrance Inputs'!$M$29)),'Torrance Inputs'!$Q$16/('Torrance Inputs'!$M$29-'Torrance Inputs'!$L$29),0)</f>
        <v>0</v>
      </c>
      <c r="DM57" s="266">
        <f>IF(AND(DM$10&gt;=EOMONTH('Torrance Inputs'!$H$35,'Torrance Inputs'!$L$29),DM$10&lt;=EOMONTH('Torrance Inputs'!$H$35,'Torrance Inputs'!$M$29)),'Torrance Inputs'!$Q$16/('Torrance Inputs'!$M$29-'Torrance Inputs'!$L$29),0)</f>
        <v>0</v>
      </c>
      <c r="DN57" s="266">
        <f>IF(AND(DN$10&gt;=EOMONTH('Torrance Inputs'!$H$35,'Torrance Inputs'!$L$29),DN$10&lt;=EOMONTH('Torrance Inputs'!$H$35,'Torrance Inputs'!$M$29)),'Torrance Inputs'!$Q$16/('Torrance Inputs'!$M$29-'Torrance Inputs'!$L$29),0)</f>
        <v>0</v>
      </c>
      <c r="DO57" s="266">
        <f>IF(AND(DO$10&gt;=EOMONTH('Torrance Inputs'!$H$35,'Torrance Inputs'!$L$29),DO$10&lt;=EOMONTH('Torrance Inputs'!$H$35,'Torrance Inputs'!$M$29)),'Torrance Inputs'!$Q$16/('Torrance Inputs'!$M$29-'Torrance Inputs'!$L$29),0)</f>
        <v>0</v>
      </c>
      <c r="DP57" s="266">
        <f>IF(AND(DP$10&gt;=EOMONTH('Torrance Inputs'!$H$35,'Torrance Inputs'!$L$29),DP$10&lt;=EOMONTH('Torrance Inputs'!$H$35,'Torrance Inputs'!$M$29)),'Torrance Inputs'!$Q$16/('Torrance Inputs'!$M$29-'Torrance Inputs'!$L$29),0)</f>
        <v>0</v>
      </c>
      <c r="DQ57" s="266">
        <f>IF(AND(DQ$10&gt;=EOMONTH('Torrance Inputs'!$H$35,'Torrance Inputs'!$L$29),DQ$10&lt;=EOMONTH('Torrance Inputs'!$H$35,'Torrance Inputs'!$M$29)),'Torrance Inputs'!$Q$16/('Torrance Inputs'!$M$29-'Torrance Inputs'!$L$29),0)</f>
        <v>0</v>
      </c>
      <c r="DR57" s="266">
        <f>IF(AND(DR$10&gt;=EOMONTH('Torrance Inputs'!$H$35,'Torrance Inputs'!$L$29),DR$10&lt;=EOMONTH('Torrance Inputs'!$H$35,'Torrance Inputs'!$M$29)),'Torrance Inputs'!$Q$16/('Torrance Inputs'!$M$29-'Torrance Inputs'!$L$29),0)</f>
        <v>0</v>
      </c>
      <c r="DS57" s="266">
        <f>IF(AND(DS$10&gt;=EOMONTH('Torrance Inputs'!$H$35,'Torrance Inputs'!$L$29),DS$10&lt;=EOMONTH('Torrance Inputs'!$H$35,'Torrance Inputs'!$M$29)),'Torrance Inputs'!$Q$16/('Torrance Inputs'!$M$29-'Torrance Inputs'!$L$29),0)</f>
        <v>0</v>
      </c>
      <c r="DT57" s="266">
        <f>IF(AND(DT$10&gt;=EOMONTH('Torrance Inputs'!$H$35,'Torrance Inputs'!$L$29),DT$10&lt;=EOMONTH('Torrance Inputs'!$H$35,'Torrance Inputs'!$M$29)),'Torrance Inputs'!$Q$16/('Torrance Inputs'!$M$29-'Torrance Inputs'!$L$29),0)</f>
        <v>0</v>
      </c>
      <c r="DU57" s="266">
        <f>IF(AND(DU$10&gt;=EOMONTH('Torrance Inputs'!$H$35,'Torrance Inputs'!$L$29),DU$10&lt;=EOMONTH('Torrance Inputs'!$H$35,'Torrance Inputs'!$M$29)),'Torrance Inputs'!$Q$16/('Torrance Inputs'!$M$29-'Torrance Inputs'!$L$29),0)</f>
        <v>0</v>
      </c>
      <c r="DV57" s="266">
        <f>IF(AND(DV$10&gt;=EOMONTH('Torrance Inputs'!$H$35,'Torrance Inputs'!$L$29),DV$10&lt;=EOMONTH('Torrance Inputs'!$H$35,'Torrance Inputs'!$M$29)),'Torrance Inputs'!$Q$16/('Torrance Inputs'!$M$29-'Torrance Inputs'!$L$29),0)</f>
        <v>0</v>
      </c>
      <c r="DW57" s="266">
        <f>IF(AND(DW$10&gt;=EOMONTH('Torrance Inputs'!$H$35,'Torrance Inputs'!$L$29),DW$10&lt;=EOMONTH('Torrance Inputs'!$H$35,'Torrance Inputs'!$M$29)),'Torrance Inputs'!$Q$16/('Torrance Inputs'!$M$29-'Torrance Inputs'!$L$29),0)</f>
        <v>0</v>
      </c>
      <c r="DX57" s="266">
        <f>IF(AND(DX$10&gt;=EOMONTH('Torrance Inputs'!$H$35,'Torrance Inputs'!$L$29),DX$10&lt;=EOMONTH('Torrance Inputs'!$H$35,'Torrance Inputs'!$M$29)),'Torrance Inputs'!$Q$16/('Torrance Inputs'!$M$29-'Torrance Inputs'!$L$29),0)</f>
        <v>0</v>
      </c>
      <c r="DY57" s="266">
        <f>IF(AND(DY$10&gt;=EOMONTH('Torrance Inputs'!$H$35,'Torrance Inputs'!$L$29),DY$10&lt;=EOMONTH('Torrance Inputs'!$H$35,'Torrance Inputs'!$M$29)),'Torrance Inputs'!$Q$16/('Torrance Inputs'!$M$29-'Torrance Inputs'!$L$29),0)</f>
        <v>0</v>
      </c>
      <c r="DZ57" s="266">
        <f>IF(AND(DZ$10&gt;=EOMONTH('Torrance Inputs'!$H$35,'Torrance Inputs'!$L$29),DZ$10&lt;=EOMONTH('Torrance Inputs'!$H$35,'Torrance Inputs'!$M$29)),'Torrance Inputs'!$Q$16/('Torrance Inputs'!$M$29-'Torrance Inputs'!$L$29),0)</f>
        <v>0</v>
      </c>
      <c r="EA57" s="266">
        <f>IF(AND(EA$10&gt;=EOMONTH('Torrance Inputs'!$H$35,'Torrance Inputs'!$L$29),EA$10&lt;=EOMONTH('Torrance Inputs'!$H$35,'Torrance Inputs'!$M$29)),'Torrance Inputs'!$Q$16/('Torrance Inputs'!$M$29-'Torrance Inputs'!$L$29),0)</f>
        <v>0</v>
      </c>
      <c r="EB57" s="266">
        <f>IF(AND(EB$10&gt;=EOMONTH('Torrance Inputs'!$H$35,'Torrance Inputs'!$L$29),EB$10&lt;=EOMONTH('Torrance Inputs'!$H$35,'Torrance Inputs'!$M$29)),'Torrance Inputs'!$Q$16/('Torrance Inputs'!$M$29-'Torrance Inputs'!$L$29),0)</f>
        <v>0</v>
      </c>
      <c r="EC57" s="266">
        <f>IF(AND(EC$10&gt;=EOMONTH('Torrance Inputs'!$H$35,'Torrance Inputs'!$L$29),EC$10&lt;=EOMONTH('Torrance Inputs'!$H$35,'Torrance Inputs'!$M$29)),'Torrance Inputs'!$Q$16/('Torrance Inputs'!$M$29-'Torrance Inputs'!$L$29),0)</f>
        <v>0</v>
      </c>
      <c r="ED57" s="266">
        <f>IF(AND(ED$10&gt;=EOMONTH('Torrance Inputs'!$H$35,'Torrance Inputs'!$L$29),ED$10&lt;=EOMONTH('Torrance Inputs'!$H$35,'Torrance Inputs'!$M$29)),'Torrance Inputs'!$Q$16/('Torrance Inputs'!$M$29-'Torrance Inputs'!$L$29),0)</f>
        <v>0</v>
      </c>
    </row>
    <row r="58" spans="1:134" ht="19.149999999999999" customHeight="1" x14ac:dyDescent="0.4">
      <c r="A58" s="264" t="s">
        <v>190</v>
      </c>
      <c r="B58" s="264"/>
      <c r="C58" s="263">
        <f t="shared" ref="C58:AH58" si="64">SUM(C56:C57)</f>
        <v>0</v>
      </c>
      <c r="D58" s="263">
        <f t="shared" si="64"/>
        <v>0</v>
      </c>
      <c r="E58" s="263">
        <f t="shared" si="64"/>
        <v>0</v>
      </c>
      <c r="F58" s="263">
        <f t="shared" si="64"/>
        <v>0</v>
      </c>
      <c r="G58" s="263">
        <f t="shared" si="64"/>
        <v>0</v>
      </c>
      <c r="H58" s="263">
        <f t="shared" si="64"/>
        <v>0</v>
      </c>
      <c r="I58" s="263">
        <f t="shared" si="64"/>
        <v>0</v>
      </c>
      <c r="J58" s="263">
        <f t="shared" si="64"/>
        <v>0</v>
      </c>
      <c r="K58" s="263">
        <f t="shared" si="64"/>
        <v>0</v>
      </c>
      <c r="L58" s="263">
        <f t="shared" si="64"/>
        <v>0</v>
      </c>
      <c r="M58" s="263">
        <f t="shared" si="64"/>
        <v>0</v>
      </c>
      <c r="N58" s="263">
        <f t="shared" si="64"/>
        <v>0</v>
      </c>
      <c r="O58" s="263">
        <f t="shared" si="64"/>
        <v>0</v>
      </c>
      <c r="P58" s="263">
        <f t="shared" si="64"/>
        <v>0</v>
      </c>
      <c r="Q58" s="263">
        <f t="shared" si="64"/>
        <v>0</v>
      </c>
      <c r="R58" s="263">
        <f t="shared" si="64"/>
        <v>0</v>
      </c>
      <c r="S58" s="263">
        <f t="shared" si="64"/>
        <v>0</v>
      </c>
      <c r="T58" s="263">
        <f t="shared" si="64"/>
        <v>0</v>
      </c>
      <c r="U58" s="263">
        <f t="shared" si="64"/>
        <v>0</v>
      </c>
      <c r="V58" s="263">
        <f t="shared" si="64"/>
        <v>0</v>
      </c>
      <c r="W58" s="263">
        <f t="shared" si="64"/>
        <v>0</v>
      </c>
      <c r="X58" s="263">
        <f t="shared" si="64"/>
        <v>0</v>
      </c>
      <c r="Y58" s="263">
        <f t="shared" si="64"/>
        <v>0</v>
      </c>
      <c r="Z58" s="263">
        <f t="shared" si="64"/>
        <v>0</v>
      </c>
      <c r="AA58" s="263">
        <f t="shared" si="64"/>
        <v>0</v>
      </c>
      <c r="AB58" s="263">
        <f t="shared" si="64"/>
        <v>0</v>
      </c>
      <c r="AC58" s="263">
        <f t="shared" si="64"/>
        <v>0</v>
      </c>
      <c r="AD58" s="263">
        <f t="shared" si="64"/>
        <v>0</v>
      </c>
      <c r="AE58" s="263">
        <f t="shared" si="64"/>
        <v>0</v>
      </c>
      <c r="AF58" s="263">
        <f t="shared" si="64"/>
        <v>0</v>
      </c>
      <c r="AG58" s="263">
        <f t="shared" si="64"/>
        <v>0</v>
      </c>
      <c r="AH58" s="263">
        <f t="shared" si="64"/>
        <v>0</v>
      </c>
      <c r="AI58" s="263">
        <f t="shared" ref="AI58:BN58" si="65">SUM(AI56:AI57)</f>
        <v>0</v>
      </c>
      <c r="AJ58" s="263">
        <f t="shared" si="65"/>
        <v>0</v>
      </c>
      <c r="AK58" s="263">
        <f t="shared" si="65"/>
        <v>0</v>
      </c>
      <c r="AL58" s="263">
        <f t="shared" si="65"/>
        <v>0</v>
      </c>
      <c r="AM58" s="263">
        <f t="shared" si="65"/>
        <v>0</v>
      </c>
      <c r="AN58" s="263">
        <f t="shared" si="65"/>
        <v>0</v>
      </c>
      <c r="AO58" s="263">
        <f t="shared" si="65"/>
        <v>0</v>
      </c>
      <c r="AP58" s="263">
        <f t="shared" si="65"/>
        <v>0</v>
      </c>
      <c r="AQ58" s="263">
        <f t="shared" si="65"/>
        <v>0</v>
      </c>
      <c r="AR58" s="263">
        <f t="shared" si="65"/>
        <v>0</v>
      </c>
      <c r="AS58" s="263">
        <f t="shared" si="65"/>
        <v>0</v>
      </c>
      <c r="AT58" s="263">
        <f t="shared" si="65"/>
        <v>0</v>
      </c>
      <c r="AU58" s="263">
        <f t="shared" si="65"/>
        <v>0</v>
      </c>
      <c r="AV58" s="263">
        <f t="shared" si="65"/>
        <v>0</v>
      </c>
      <c r="AW58" s="263">
        <f t="shared" si="65"/>
        <v>0</v>
      </c>
      <c r="AX58" s="263">
        <f t="shared" si="65"/>
        <v>0</v>
      </c>
      <c r="AY58" s="263">
        <f t="shared" si="65"/>
        <v>0</v>
      </c>
      <c r="AZ58" s="263">
        <f t="shared" si="65"/>
        <v>0</v>
      </c>
      <c r="BA58" s="263">
        <f t="shared" si="65"/>
        <v>0</v>
      </c>
      <c r="BB58" s="263">
        <f t="shared" si="65"/>
        <v>0</v>
      </c>
      <c r="BC58" s="263">
        <f t="shared" si="65"/>
        <v>0</v>
      </c>
      <c r="BD58" s="263">
        <f t="shared" si="65"/>
        <v>0</v>
      </c>
      <c r="BE58" s="263">
        <f t="shared" si="65"/>
        <v>0</v>
      </c>
      <c r="BF58" s="263">
        <f t="shared" si="65"/>
        <v>0</v>
      </c>
      <c r="BG58" s="263">
        <f t="shared" si="65"/>
        <v>0</v>
      </c>
      <c r="BH58" s="263">
        <f t="shared" si="65"/>
        <v>0</v>
      </c>
      <c r="BI58" s="263">
        <f t="shared" si="65"/>
        <v>0</v>
      </c>
      <c r="BJ58" s="263">
        <f t="shared" si="65"/>
        <v>317625</v>
      </c>
      <c r="BK58" s="263">
        <f t="shared" si="65"/>
        <v>500958.33333333337</v>
      </c>
      <c r="BL58" s="263">
        <f t="shared" si="65"/>
        <v>500958.33333333337</v>
      </c>
      <c r="BM58" s="263">
        <f t="shared" si="65"/>
        <v>183333.33333333334</v>
      </c>
      <c r="BN58" s="263">
        <f t="shared" si="65"/>
        <v>0</v>
      </c>
      <c r="BO58" s="263">
        <f t="shared" ref="BO58:CT58" si="66">SUM(BO56:BO57)</f>
        <v>0</v>
      </c>
      <c r="BP58" s="263">
        <f t="shared" si="66"/>
        <v>0</v>
      </c>
      <c r="BQ58" s="263">
        <f t="shared" si="66"/>
        <v>0</v>
      </c>
      <c r="BR58" s="263">
        <f t="shared" si="66"/>
        <v>0</v>
      </c>
      <c r="BS58" s="263">
        <f t="shared" si="66"/>
        <v>0</v>
      </c>
      <c r="BT58" s="263">
        <f t="shared" si="66"/>
        <v>0</v>
      </c>
      <c r="BU58" s="263">
        <f t="shared" si="66"/>
        <v>0</v>
      </c>
      <c r="BV58" s="263">
        <f t="shared" si="66"/>
        <v>0</v>
      </c>
      <c r="BW58" s="263">
        <f t="shared" si="66"/>
        <v>0</v>
      </c>
      <c r="BX58" s="263">
        <f t="shared" si="66"/>
        <v>0</v>
      </c>
      <c r="BY58" s="263">
        <f t="shared" si="66"/>
        <v>0</v>
      </c>
      <c r="BZ58" s="263">
        <f t="shared" si="66"/>
        <v>0</v>
      </c>
      <c r="CA58" s="263">
        <f t="shared" si="66"/>
        <v>0</v>
      </c>
      <c r="CB58" s="263">
        <f t="shared" si="66"/>
        <v>0</v>
      </c>
      <c r="CC58" s="263">
        <f t="shared" si="66"/>
        <v>0</v>
      </c>
      <c r="CD58" s="263">
        <f t="shared" si="66"/>
        <v>0</v>
      </c>
      <c r="CE58" s="263">
        <f t="shared" si="66"/>
        <v>0</v>
      </c>
      <c r="CF58" s="263">
        <f t="shared" si="66"/>
        <v>0</v>
      </c>
      <c r="CG58" s="263">
        <f t="shared" si="66"/>
        <v>0</v>
      </c>
      <c r="CH58" s="263">
        <f t="shared" si="66"/>
        <v>0</v>
      </c>
      <c r="CI58" s="263">
        <f t="shared" si="66"/>
        <v>0</v>
      </c>
      <c r="CJ58" s="263">
        <f t="shared" si="66"/>
        <v>0</v>
      </c>
      <c r="CK58" s="263">
        <f t="shared" si="66"/>
        <v>0</v>
      </c>
      <c r="CL58" s="263">
        <f t="shared" si="66"/>
        <v>0</v>
      </c>
      <c r="CM58" s="263">
        <f t="shared" si="66"/>
        <v>0</v>
      </c>
      <c r="CN58" s="263">
        <f t="shared" si="66"/>
        <v>0</v>
      </c>
      <c r="CO58" s="263">
        <f t="shared" si="66"/>
        <v>0</v>
      </c>
      <c r="CP58" s="263">
        <f t="shared" si="66"/>
        <v>0</v>
      </c>
      <c r="CQ58" s="263">
        <f t="shared" si="66"/>
        <v>0</v>
      </c>
      <c r="CR58" s="263">
        <f t="shared" si="66"/>
        <v>0</v>
      </c>
      <c r="CS58" s="263">
        <f t="shared" si="66"/>
        <v>0</v>
      </c>
      <c r="CT58" s="263">
        <f t="shared" si="66"/>
        <v>0</v>
      </c>
      <c r="CU58" s="263">
        <f t="shared" ref="CU58:DZ58" si="67">SUM(CU56:CU57)</f>
        <v>0</v>
      </c>
      <c r="CV58" s="263">
        <f t="shared" si="67"/>
        <v>0</v>
      </c>
      <c r="CW58" s="263">
        <f t="shared" si="67"/>
        <v>0</v>
      </c>
      <c r="CX58" s="263">
        <f t="shared" si="67"/>
        <v>0</v>
      </c>
      <c r="CY58" s="263">
        <f t="shared" si="67"/>
        <v>0</v>
      </c>
      <c r="CZ58" s="263">
        <f t="shared" si="67"/>
        <v>0</v>
      </c>
      <c r="DA58" s="263">
        <f t="shared" si="67"/>
        <v>0</v>
      </c>
      <c r="DB58" s="263">
        <f t="shared" si="67"/>
        <v>0</v>
      </c>
      <c r="DC58" s="263">
        <f t="shared" si="67"/>
        <v>0</v>
      </c>
      <c r="DD58" s="263">
        <f t="shared" si="67"/>
        <v>0</v>
      </c>
      <c r="DE58" s="263">
        <f t="shared" si="67"/>
        <v>0</v>
      </c>
      <c r="DF58" s="263">
        <f t="shared" si="67"/>
        <v>0</v>
      </c>
      <c r="DG58" s="263">
        <f t="shared" si="67"/>
        <v>0</v>
      </c>
      <c r="DH58" s="263">
        <f t="shared" si="67"/>
        <v>0</v>
      </c>
      <c r="DI58" s="263">
        <f t="shared" si="67"/>
        <v>0</v>
      </c>
      <c r="DJ58" s="263">
        <f t="shared" si="67"/>
        <v>0</v>
      </c>
      <c r="DK58" s="263">
        <f t="shared" si="67"/>
        <v>0</v>
      </c>
      <c r="DL58" s="263">
        <f t="shared" si="67"/>
        <v>0</v>
      </c>
      <c r="DM58" s="263">
        <f t="shared" si="67"/>
        <v>0</v>
      </c>
      <c r="DN58" s="263">
        <f t="shared" si="67"/>
        <v>0</v>
      </c>
      <c r="DO58" s="263">
        <f t="shared" si="67"/>
        <v>0</v>
      </c>
      <c r="DP58" s="263">
        <f t="shared" si="67"/>
        <v>0</v>
      </c>
      <c r="DQ58" s="263">
        <f t="shared" si="67"/>
        <v>0</v>
      </c>
      <c r="DR58" s="263">
        <f t="shared" si="67"/>
        <v>0</v>
      </c>
      <c r="DS58" s="263">
        <f t="shared" si="67"/>
        <v>0</v>
      </c>
      <c r="DT58" s="263">
        <f t="shared" si="67"/>
        <v>0</v>
      </c>
      <c r="DU58" s="263">
        <f t="shared" si="67"/>
        <v>0</v>
      </c>
      <c r="DV58" s="263">
        <f t="shared" si="67"/>
        <v>0</v>
      </c>
      <c r="DW58" s="263">
        <f t="shared" si="67"/>
        <v>0</v>
      </c>
      <c r="DX58" s="263">
        <f t="shared" si="67"/>
        <v>0</v>
      </c>
      <c r="DY58" s="263">
        <f t="shared" si="67"/>
        <v>0</v>
      </c>
      <c r="DZ58" s="263">
        <f t="shared" si="67"/>
        <v>0</v>
      </c>
      <c r="EA58" s="263">
        <f t="shared" ref="EA58:ED58" si="68">SUM(EA56:EA57)</f>
        <v>0</v>
      </c>
      <c r="EB58" s="263">
        <f t="shared" si="68"/>
        <v>0</v>
      </c>
      <c r="EC58" s="263">
        <f t="shared" si="68"/>
        <v>0</v>
      </c>
      <c r="ED58" s="263">
        <f t="shared" si="68"/>
        <v>0</v>
      </c>
    </row>
    <row r="59" spans="1:134" ht="19.149999999999999" customHeight="1" x14ac:dyDescent="0.4">
      <c r="A59" s="259" t="s">
        <v>182</v>
      </c>
      <c r="C59" s="267">
        <f t="shared" ref="C59:AH59" si="69">C58</f>
        <v>0</v>
      </c>
      <c r="D59" s="267">
        <f t="shared" si="69"/>
        <v>0</v>
      </c>
      <c r="E59" s="267">
        <f t="shared" si="69"/>
        <v>0</v>
      </c>
      <c r="F59" s="267">
        <f t="shared" si="69"/>
        <v>0</v>
      </c>
      <c r="G59" s="267">
        <f t="shared" si="69"/>
        <v>0</v>
      </c>
      <c r="H59" s="267">
        <f t="shared" si="69"/>
        <v>0</v>
      </c>
      <c r="I59" s="267">
        <f t="shared" si="69"/>
        <v>0</v>
      </c>
      <c r="J59" s="267">
        <f t="shared" si="69"/>
        <v>0</v>
      </c>
      <c r="K59" s="267">
        <f t="shared" si="69"/>
        <v>0</v>
      </c>
      <c r="L59" s="267">
        <f t="shared" si="69"/>
        <v>0</v>
      </c>
      <c r="M59" s="267">
        <f t="shared" si="69"/>
        <v>0</v>
      </c>
      <c r="N59" s="267">
        <f t="shared" si="69"/>
        <v>0</v>
      </c>
      <c r="O59" s="267">
        <f t="shared" si="69"/>
        <v>0</v>
      </c>
      <c r="P59" s="267">
        <f t="shared" si="69"/>
        <v>0</v>
      </c>
      <c r="Q59" s="267">
        <f t="shared" si="69"/>
        <v>0</v>
      </c>
      <c r="R59" s="267">
        <f t="shared" si="69"/>
        <v>0</v>
      </c>
      <c r="S59" s="267">
        <f t="shared" si="69"/>
        <v>0</v>
      </c>
      <c r="T59" s="267">
        <f t="shared" si="69"/>
        <v>0</v>
      </c>
      <c r="U59" s="267">
        <f t="shared" si="69"/>
        <v>0</v>
      </c>
      <c r="V59" s="267">
        <f t="shared" si="69"/>
        <v>0</v>
      </c>
      <c r="W59" s="267">
        <f t="shared" si="69"/>
        <v>0</v>
      </c>
      <c r="X59" s="267">
        <f t="shared" si="69"/>
        <v>0</v>
      </c>
      <c r="Y59" s="267">
        <f t="shared" si="69"/>
        <v>0</v>
      </c>
      <c r="Z59" s="267">
        <f t="shared" si="69"/>
        <v>0</v>
      </c>
      <c r="AA59" s="267">
        <f t="shared" si="69"/>
        <v>0</v>
      </c>
      <c r="AB59" s="267">
        <f t="shared" si="69"/>
        <v>0</v>
      </c>
      <c r="AC59" s="267">
        <f t="shared" si="69"/>
        <v>0</v>
      </c>
      <c r="AD59" s="267">
        <f t="shared" si="69"/>
        <v>0</v>
      </c>
      <c r="AE59" s="267">
        <f t="shared" si="69"/>
        <v>0</v>
      </c>
      <c r="AF59" s="267">
        <f t="shared" si="69"/>
        <v>0</v>
      </c>
      <c r="AG59" s="267">
        <f t="shared" si="69"/>
        <v>0</v>
      </c>
      <c r="AH59" s="267">
        <f t="shared" si="69"/>
        <v>0</v>
      </c>
      <c r="AI59" s="267">
        <f t="shared" ref="AI59:BN59" si="70">AI58</f>
        <v>0</v>
      </c>
      <c r="AJ59" s="267">
        <f t="shared" si="70"/>
        <v>0</v>
      </c>
      <c r="AK59" s="267">
        <f t="shared" si="70"/>
        <v>0</v>
      </c>
      <c r="AL59" s="267">
        <f t="shared" si="70"/>
        <v>0</v>
      </c>
      <c r="AM59" s="267">
        <f t="shared" si="70"/>
        <v>0</v>
      </c>
      <c r="AN59" s="267">
        <f t="shared" si="70"/>
        <v>0</v>
      </c>
      <c r="AO59" s="267">
        <f t="shared" si="70"/>
        <v>0</v>
      </c>
      <c r="AP59" s="267">
        <f t="shared" si="70"/>
        <v>0</v>
      </c>
      <c r="AQ59" s="267">
        <f t="shared" si="70"/>
        <v>0</v>
      </c>
      <c r="AR59" s="267">
        <f t="shared" si="70"/>
        <v>0</v>
      </c>
      <c r="AS59" s="267">
        <f t="shared" si="70"/>
        <v>0</v>
      </c>
      <c r="AT59" s="267">
        <f t="shared" si="70"/>
        <v>0</v>
      </c>
      <c r="AU59" s="267">
        <f t="shared" si="70"/>
        <v>0</v>
      </c>
      <c r="AV59" s="267">
        <f t="shared" si="70"/>
        <v>0</v>
      </c>
      <c r="AW59" s="267">
        <f t="shared" si="70"/>
        <v>0</v>
      </c>
      <c r="AX59" s="267">
        <f t="shared" si="70"/>
        <v>0</v>
      </c>
      <c r="AY59" s="267">
        <f t="shared" si="70"/>
        <v>0</v>
      </c>
      <c r="AZ59" s="267">
        <f t="shared" si="70"/>
        <v>0</v>
      </c>
      <c r="BA59" s="267">
        <f t="shared" si="70"/>
        <v>0</v>
      </c>
      <c r="BB59" s="267">
        <f t="shared" si="70"/>
        <v>0</v>
      </c>
      <c r="BC59" s="267">
        <f t="shared" si="70"/>
        <v>0</v>
      </c>
      <c r="BD59" s="267">
        <f t="shared" si="70"/>
        <v>0</v>
      </c>
      <c r="BE59" s="267">
        <f t="shared" si="70"/>
        <v>0</v>
      </c>
      <c r="BF59" s="267">
        <f t="shared" si="70"/>
        <v>0</v>
      </c>
      <c r="BG59" s="267">
        <f t="shared" si="70"/>
        <v>0</v>
      </c>
      <c r="BH59" s="267">
        <f t="shared" si="70"/>
        <v>0</v>
      </c>
      <c r="BI59" s="267">
        <f t="shared" si="70"/>
        <v>0</v>
      </c>
      <c r="BJ59" s="267">
        <f t="shared" si="70"/>
        <v>317625</v>
      </c>
      <c r="BK59" s="267">
        <f t="shared" si="70"/>
        <v>500958.33333333337</v>
      </c>
      <c r="BL59" s="267">
        <f t="shared" si="70"/>
        <v>500958.33333333337</v>
      </c>
      <c r="BM59" s="267">
        <f t="shared" si="70"/>
        <v>183333.33333333334</v>
      </c>
      <c r="BN59" s="267">
        <f t="shared" si="70"/>
        <v>0</v>
      </c>
      <c r="BO59" s="267">
        <f t="shared" ref="BO59:CT59" si="71">BO58</f>
        <v>0</v>
      </c>
      <c r="BP59" s="267">
        <f t="shared" si="71"/>
        <v>0</v>
      </c>
      <c r="BQ59" s="267">
        <f t="shared" si="71"/>
        <v>0</v>
      </c>
      <c r="BR59" s="267">
        <f t="shared" si="71"/>
        <v>0</v>
      </c>
      <c r="BS59" s="267">
        <f t="shared" si="71"/>
        <v>0</v>
      </c>
      <c r="BT59" s="267">
        <f t="shared" si="71"/>
        <v>0</v>
      </c>
      <c r="BU59" s="267">
        <f t="shared" si="71"/>
        <v>0</v>
      </c>
      <c r="BV59" s="267">
        <f t="shared" si="71"/>
        <v>0</v>
      </c>
      <c r="BW59" s="267">
        <f t="shared" si="71"/>
        <v>0</v>
      </c>
      <c r="BX59" s="267">
        <f t="shared" si="71"/>
        <v>0</v>
      </c>
      <c r="BY59" s="267">
        <f t="shared" si="71"/>
        <v>0</v>
      </c>
      <c r="BZ59" s="267">
        <f t="shared" si="71"/>
        <v>0</v>
      </c>
      <c r="CA59" s="267">
        <f t="shared" si="71"/>
        <v>0</v>
      </c>
      <c r="CB59" s="267">
        <f t="shared" si="71"/>
        <v>0</v>
      </c>
      <c r="CC59" s="267">
        <f t="shared" si="71"/>
        <v>0</v>
      </c>
      <c r="CD59" s="267">
        <f t="shared" si="71"/>
        <v>0</v>
      </c>
      <c r="CE59" s="267">
        <f t="shared" si="71"/>
        <v>0</v>
      </c>
      <c r="CF59" s="267">
        <f t="shared" si="71"/>
        <v>0</v>
      </c>
      <c r="CG59" s="267">
        <f t="shared" si="71"/>
        <v>0</v>
      </c>
      <c r="CH59" s="267">
        <f t="shared" si="71"/>
        <v>0</v>
      </c>
      <c r="CI59" s="267">
        <f t="shared" si="71"/>
        <v>0</v>
      </c>
      <c r="CJ59" s="267">
        <f t="shared" si="71"/>
        <v>0</v>
      </c>
      <c r="CK59" s="267">
        <f t="shared" si="71"/>
        <v>0</v>
      </c>
      <c r="CL59" s="267">
        <f t="shared" si="71"/>
        <v>0</v>
      </c>
      <c r="CM59" s="267">
        <f t="shared" si="71"/>
        <v>0</v>
      </c>
      <c r="CN59" s="267">
        <f t="shared" si="71"/>
        <v>0</v>
      </c>
      <c r="CO59" s="267">
        <f t="shared" si="71"/>
        <v>0</v>
      </c>
      <c r="CP59" s="267">
        <f t="shared" si="71"/>
        <v>0</v>
      </c>
      <c r="CQ59" s="267">
        <f t="shared" si="71"/>
        <v>0</v>
      </c>
      <c r="CR59" s="267">
        <f t="shared" si="71"/>
        <v>0</v>
      </c>
      <c r="CS59" s="267">
        <f t="shared" si="71"/>
        <v>0</v>
      </c>
      <c r="CT59" s="267">
        <f t="shared" si="71"/>
        <v>0</v>
      </c>
      <c r="CU59" s="267">
        <f t="shared" ref="CU59:DZ59" si="72">CU58</f>
        <v>0</v>
      </c>
      <c r="CV59" s="267">
        <f t="shared" si="72"/>
        <v>0</v>
      </c>
      <c r="CW59" s="267">
        <f t="shared" si="72"/>
        <v>0</v>
      </c>
      <c r="CX59" s="267">
        <f t="shared" si="72"/>
        <v>0</v>
      </c>
      <c r="CY59" s="267">
        <f t="shared" si="72"/>
        <v>0</v>
      </c>
      <c r="CZ59" s="267">
        <f t="shared" si="72"/>
        <v>0</v>
      </c>
      <c r="DA59" s="267">
        <f t="shared" si="72"/>
        <v>0</v>
      </c>
      <c r="DB59" s="267">
        <f t="shared" si="72"/>
        <v>0</v>
      </c>
      <c r="DC59" s="267">
        <f t="shared" si="72"/>
        <v>0</v>
      </c>
      <c r="DD59" s="267">
        <f t="shared" si="72"/>
        <v>0</v>
      </c>
      <c r="DE59" s="267">
        <f t="shared" si="72"/>
        <v>0</v>
      </c>
      <c r="DF59" s="267">
        <f t="shared" si="72"/>
        <v>0</v>
      </c>
      <c r="DG59" s="267">
        <f t="shared" si="72"/>
        <v>0</v>
      </c>
      <c r="DH59" s="267">
        <f t="shared" si="72"/>
        <v>0</v>
      </c>
      <c r="DI59" s="267">
        <f t="shared" si="72"/>
        <v>0</v>
      </c>
      <c r="DJ59" s="267">
        <f t="shared" si="72"/>
        <v>0</v>
      </c>
      <c r="DK59" s="267">
        <f t="shared" si="72"/>
        <v>0</v>
      </c>
      <c r="DL59" s="267">
        <f t="shared" si="72"/>
        <v>0</v>
      </c>
      <c r="DM59" s="267">
        <f t="shared" si="72"/>
        <v>0</v>
      </c>
      <c r="DN59" s="267">
        <f t="shared" si="72"/>
        <v>0</v>
      </c>
      <c r="DO59" s="267">
        <f t="shared" si="72"/>
        <v>0</v>
      </c>
      <c r="DP59" s="267">
        <f t="shared" si="72"/>
        <v>0</v>
      </c>
      <c r="DQ59" s="267">
        <f t="shared" si="72"/>
        <v>0</v>
      </c>
      <c r="DR59" s="267">
        <f t="shared" si="72"/>
        <v>0</v>
      </c>
      <c r="DS59" s="267">
        <f t="shared" si="72"/>
        <v>0</v>
      </c>
      <c r="DT59" s="267">
        <f t="shared" si="72"/>
        <v>0</v>
      </c>
      <c r="DU59" s="267">
        <f t="shared" si="72"/>
        <v>0</v>
      </c>
      <c r="DV59" s="267">
        <f t="shared" si="72"/>
        <v>0</v>
      </c>
      <c r="DW59" s="267">
        <f t="shared" si="72"/>
        <v>0</v>
      </c>
      <c r="DX59" s="267">
        <f t="shared" si="72"/>
        <v>0</v>
      </c>
      <c r="DY59" s="267">
        <f t="shared" si="72"/>
        <v>0</v>
      </c>
      <c r="DZ59" s="267">
        <f t="shared" si="72"/>
        <v>0</v>
      </c>
      <c r="EA59" s="267">
        <f t="shared" ref="EA59:ED59" si="73">EA58</f>
        <v>0</v>
      </c>
      <c r="EB59" s="267">
        <f t="shared" si="73"/>
        <v>0</v>
      </c>
      <c r="EC59" s="267">
        <f t="shared" si="73"/>
        <v>0</v>
      </c>
      <c r="ED59" s="267">
        <f t="shared" si="73"/>
        <v>0</v>
      </c>
    </row>
    <row r="60" spans="1:134" ht="19.149999999999999" customHeight="1" x14ac:dyDescent="0.4">
      <c r="A60" s="268" t="s">
        <v>189</v>
      </c>
      <c r="B60" s="268"/>
      <c r="C60" s="267"/>
      <c r="D60" s="267"/>
      <c r="E60" s="267"/>
      <c r="F60" s="267"/>
      <c r="G60" s="267"/>
      <c r="H60" s="267"/>
      <c r="I60" s="267"/>
      <c r="J60" s="267"/>
      <c r="K60" s="267"/>
      <c r="L60" s="267"/>
      <c r="M60" s="267"/>
      <c r="N60" s="267"/>
      <c r="O60" s="267"/>
      <c r="P60" s="267"/>
      <c r="Q60" s="267"/>
      <c r="R60" s="267"/>
      <c r="S60" s="267"/>
      <c r="T60" s="267"/>
      <c r="U60" s="267"/>
      <c r="V60" s="267"/>
      <c r="W60" s="267"/>
      <c r="X60" s="267"/>
      <c r="Y60" s="267"/>
      <c r="Z60" s="267"/>
      <c r="AA60" s="267"/>
      <c r="AB60" s="267"/>
      <c r="AC60" s="267"/>
      <c r="AD60" s="267"/>
      <c r="AE60" s="267"/>
      <c r="AF60" s="267"/>
      <c r="AG60" s="267"/>
      <c r="AH60" s="267"/>
      <c r="AI60" s="267"/>
      <c r="AJ60" s="267"/>
      <c r="AK60" s="267"/>
      <c r="AL60" s="267"/>
      <c r="AM60" s="267"/>
      <c r="AN60" s="267"/>
      <c r="AO60" s="267"/>
      <c r="AP60" s="267"/>
      <c r="AQ60" s="267"/>
      <c r="AR60" s="267"/>
      <c r="AS60" s="267"/>
      <c r="AT60" s="267"/>
      <c r="AU60" s="267"/>
      <c r="AV60" s="267"/>
      <c r="AW60" s="267"/>
      <c r="AX60" s="267"/>
      <c r="AY60" s="267"/>
      <c r="AZ60" s="267"/>
      <c r="BA60" s="267"/>
      <c r="BB60" s="267"/>
      <c r="BC60" s="267"/>
      <c r="BD60" s="267"/>
      <c r="BE60" s="267"/>
      <c r="BF60" s="267"/>
      <c r="BG60" s="267"/>
      <c r="BH60" s="267"/>
      <c r="BI60" s="267"/>
      <c r="BJ60" s="267"/>
      <c r="BK60" s="267"/>
      <c r="BL60" s="267"/>
      <c r="BM60" s="267"/>
      <c r="BN60" s="267"/>
      <c r="BO60" s="267"/>
      <c r="BP60" s="267"/>
      <c r="BQ60" s="267"/>
      <c r="BR60" s="267"/>
      <c r="BS60" s="267"/>
      <c r="BT60" s="267"/>
      <c r="BU60" s="267"/>
      <c r="BV60" s="267"/>
      <c r="BW60" s="267"/>
      <c r="BX60" s="267"/>
      <c r="BY60" s="267"/>
      <c r="BZ60" s="267"/>
      <c r="CA60" s="267"/>
      <c r="CB60" s="267"/>
      <c r="CC60" s="267"/>
      <c r="CD60" s="267"/>
      <c r="CE60" s="267"/>
      <c r="CF60" s="267"/>
      <c r="CG60" s="267"/>
      <c r="CH60" s="267"/>
      <c r="CI60" s="267"/>
      <c r="CJ60" s="267"/>
      <c r="CK60" s="267"/>
      <c r="CL60" s="267"/>
      <c r="CM60" s="267"/>
      <c r="CN60" s="267"/>
      <c r="CO60" s="267"/>
      <c r="CP60" s="267"/>
      <c r="CQ60" s="267"/>
      <c r="CR60" s="267"/>
      <c r="CS60" s="267"/>
      <c r="CT60" s="267"/>
      <c r="CU60" s="267"/>
      <c r="CV60" s="267"/>
      <c r="CW60" s="267"/>
      <c r="CX60" s="267"/>
      <c r="CY60" s="267"/>
      <c r="CZ60" s="267"/>
      <c r="DA60" s="267"/>
      <c r="DB60" s="267"/>
      <c r="DC60" s="267"/>
      <c r="DD60" s="267"/>
      <c r="DE60" s="267"/>
      <c r="DF60" s="267"/>
      <c r="DG60" s="267"/>
      <c r="DH60" s="267"/>
      <c r="DI60" s="267"/>
      <c r="DJ60" s="267"/>
      <c r="DK60" s="267"/>
      <c r="DL60" s="267"/>
      <c r="DM60" s="267"/>
      <c r="DN60" s="267"/>
      <c r="DO60" s="267"/>
      <c r="DP60" s="267"/>
      <c r="DQ60" s="267"/>
      <c r="DR60" s="267"/>
      <c r="DS60" s="267"/>
      <c r="DT60" s="267"/>
      <c r="DU60" s="267"/>
      <c r="DV60" s="267"/>
      <c r="DW60" s="267"/>
      <c r="DX60" s="267"/>
      <c r="DY60" s="267"/>
      <c r="DZ60" s="267"/>
      <c r="EA60" s="267"/>
      <c r="EB60" s="267"/>
      <c r="EC60" s="267"/>
      <c r="ED60" s="267"/>
    </row>
    <row r="61" spans="1:134" ht="19.149999999999999" customHeight="1" x14ac:dyDescent="0.4">
      <c r="A61" s="270" t="s">
        <v>146</v>
      </c>
      <c r="B61" s="270"/>
      <c r="C61" s="266">
        <f>'Torrance Inputs'!$I$10*(1+'Torrance Inputs'!$N$10)^(C$8-1)</f>
        <v>11458.333333333334</v>
      </c>
      <c r="D61" s="266">
        <f>'Torrance Inputs'!$I$10*(1+'Torrance Inputs'!$N$10)^(D$8-1)</f>
        <v>11458.333333333334</v>
      </c>
      <c r="E61" s="266">
        <f>'Torrance Inputs'!$I$10*(1+'Torrance Inputs'!$N$10)^(E$8-1)</f>
        <v>11458.333333333334</v>
      </c>
      <c r="F61" s="266">
        <f>'Torrance Inputs'!$I$10*(1+'Torrance Inputs'!$N$10)^(F$8-1)</f>
        <v>11458.333333333334</v>
      </c>
      <c r="G61" s="266">
        <f>'Torrance Inputs'!$I$10*(1+'Torrance Inputs'!$N$10)^(G$8-1)</f>
        <v>11458.333333333334</v>
      </c>
      <c r="H61" s="266">
        <f>'Torrance Inputs'!$I$10*(1+'Torrance Inputs'!$N$10)^(H$8-1)</f>
        <v>11458.333333333334</v>
      </c>
      <c r="I61" s="266">
        <f>'Torrance Inputs'!$I$10*(1+'Torrance Inputs'!$N$10)^(I$8-1)</f>
        <v>11458.333333333334</v>
      </c>
      <c r="J61" s="266">
        <f>'Torrance Inputs'!$I$10*(1+'Torrance Inputs'!$N$10)^(J$8-1)</f>
        <v>11458.333333333334</v>
      </c>
      <c r="K61" s="266">
        <f>'Torrance Inputs'!$I$10*(1+'Torrance Inputs'!$N$10)^(K$8-1)</f>
        <v>11458.333333333334</v>
      </c>
      <c r="L61" s="266">
        <f>'Torrance Inputs'!$I$10*(1+'Torrance Inputs'!$N$10)^(L$8-1)</f>
        <v>11458.333333333334</v>
      </c>
      <c r="M61" s="266">
        <f>'Torrance Inputs'!$I$10*(1+'Torrance Inputs'!$N$10)^(M$8-1)</f>
        <v>11458.333333333334</v>
      </c>
      <c r="N61" s="266">
        <f>'Torrance Inputs'!$I$10*(1+'Torrance Inputs'!$N$10)^(N$8-1)</f>
        <v>11458.333333333334</v>
      </c>
      <c r="O61" s="266">
        <f>'Torrance Inputs'!$I$10*(1+'Torrance Inputs'!$N$10)^(O$8-1)</f>
        <v>11687.5</v>
      </c>
      <c r="P61" s="266">
        <f>'Torrance Inputs'!$I$10*(1+'Torrance Inputs'!$N$10)^(P$8-1)</f>
        <v>11687.5</v>
      </c>
      <c r="Q61" s="266">
        <f>'Torrance Inputs'!$I$10*(1+'Torrance Inputs'!$N$10)^(Q$8-1)</f>
        <v>11687.5</v>
      </c>
      <c r="R61" s="266">
        <f>'Torrance Inputs'!$I$10*(1+'Torrance Inputs'!$N$10)^(R$8-1)</f>
        <v>11687.5</v>
      </c>
      <c r="S61" s="266">
        <f>'Torrance Inputs'!$I$10*(1+'Torrance Inputs'!$N$10)^(S$8-1)</f>
        <v>11687.5</v>
      </c>
      <c r="T61" s="266">
        <f>'Torrance Inputs'!$I$10*(1+'Torrance Inputs'!$N$10)^(T$8-1)</f>
        <v>11687.5</v>
      </c>
      <c r="U61" s="266">
        <f>'Torrance Inputs'!$I$10*(1+'Torrance Inputs'!$N$10)^(U$8-1)</f>
        <v>11687.5</v>
      </c>
      <c r="V61" s="266">
        <f>'Torrance Inputs'!$I$10*(1+'Torrance Inputs'!$N$10)^(V$8-1)</f>
        <v>11687.5</v>
      </c>
      <c r="W61" s="266">
        <f>'Torrance Inputs'!$I$10*(1+'Torrance Inputs'!$N$10)^(W$8-1)</f>
        <v>11687.5</v>
      </c>
      <c r="X61" s="266">
        <f>'Torrance Inputs'!$I$10*(1+'Torrance Inputs'!$N$10)^(X$8-1)</f>
        <v>11687.5</v>
      </c>
      <c r="Y61" s="266">
        <f>'Torrance Inputs'!$I$10*(1+'Torrance Inputs'!$N$10)^(Y$8-1)</f>
        <v>11687.5</v>
      </c>
      <c r="Z61" s="266">
        <f>'Torrance Inputs'!$I$10*(1+'Torrance Inputs'!$N$10)^(Z$8-1)</f>
        <v>11687.5</v>
      </c>
      <c r="AA61" s="266">
        <f>'Torrance Inputs'!$I$10*(1+'Torrance Inputs'!$N$10)^(AA$8-1)</f>
        <v>11921.25</v>
      </c>
      <c r="AB61" s="266">
        <f>'Torrance Inputs'!$I$10*(1+'Torrance Inputs'!$N$10)^(AB$8-1)</f>
        <v>11921.25</v>
      </c>
      <c r="AC61" s="266">
        <f>'Torrance Inputs'!$I$10*(1+'Torrance Inputs'!$N$10)^(AC$8-1)</f>
        <v>11921.25</v>
      </c>
      <c r="AD61" s="266">
        <f>'Torrance Inputs'!$I$10*(1+'Torrance Inputs'!$N$10)^(AD$8-1)</f>
        <v>11921.25</v>
      </c>
      <c r="AE61" s="266">
        <f>'Torrance Inputs'!$I$10*(1+'Torrance Inputs'!$N$10)^(AE$8-1)</f>
        <v>11921.25</v>
      </c>
      <c r="AF61" s="266">
        <f>'Torrance Inputs'!$I$10*(1+'Torrance Inputs'!$N$10)^(AF$8-1)</f>
        <v>11921.25</v>
      </c>
      <c r="AG61" s="266">
        <f>'Torrance Inputs'!$I$10*(1+'Torrance Inputs'!$N$10)^(AG$8-1)</f>
        <v>11921.25</v>
      </c>
      <c r="AH61" s="266">
        <f>'Torrance Inputs'!$I$10*(1+'Torrance Inputs'!$N$10)^(AH$8-1)</f>
        <v>11921.25</v>
      </c>
      <c r="AI61" s="266">
        <f>'Torrance Inputs'!$I$10*(1+'Torrance Inputs'!$N$10)^(AI$8-1)</f>
        <v>11921.25</v>
      </c>
      <c r="AJ61" s="266">
        <f>'Torrance Inputs'!$I$10*(1+'Torrance Inputs'!$N$10)^(AJ$8-1)</f>
        <v>11921.25</v>
      </c>
      <c r="AK61" s="266">
        <f>'Torrance Inputs'!$I$10*(1+'Torrance Inputs'!$N$10)^(AK$8-1)</f>
        <v>11921.25</v>
      </c>
      <c r="AL61" s="266">
        <f>'Torrance Inputs'!$I$10*(1+'Torrance Inputs'!$N$10)^(AL$8-1)</f>
        <v>11921.25</v>
      </c>
      <c r="AM61" s="266">
        <f>'Torrance Inputs'!$I$10*(1+'Torrance Inputs'!$N$10)^(AM$8-1)</f>
        <v>12159.674999999999</v>
      </c>
      <c r="AN61" s="266">
        <f>'Torrance Inputs'!$I$10*(1+'Torrance Inputs'!$N$10)^(AN$8-1)</f>
        <v>12159.674999999999</v>
      </c>
      <c r="AO61" s="266">
        <f>'Torrance Inputs'!$I$10*(1+'Torrance Inputs'!$N$10)^(AO$8-1)</f>
        <v>12159.674999999999</v>
      </c>
      <c r="AP61" s="266">
        <f>'Torrance Inputs'!$I$10*(1+'Torrance Inputs'!$N$10)^(AP$8-1)</f>
        <v>12159.674999999999</v>
      </c>
      <c r="AQ61" s="266">
        <f>'Torrance Inputs'!$I$10*(1+'Torrance Inputs'!$N$10)^(AQ$8-1)</f>
        <v>12159.674999999999</v>
      </c>
      <c r="AR61" s="266">
        <f>'Torrance Inputs'!$I$10*(1+'Torrance Inputs'!$N$10)^(AR$8-1)</f>
        <v>12159.674999999999</v>
      </c>
      <c r="AS61" s="266">
        <f>'Torrance Inputs'!$I$10*(1+'Torrance Inputs'!$N$10)^(AS$8-1)</f>
        <v>12159.674999999999</v>
      </c>
      <c r="AT61" s="266">
        <f>'Torrance Inputs'!$I$10*(1+'Torrance Inputs'!$N$10)^(AT$8-1)</f>
        <v>12159.674999999999</v>
      </c>
      <c r="AU61" s="266">
        <f>'Torrance Inputs'!$I$10*(1+'Torrance Inputs'!$N$10)^(AU$8-1)</f>
        <v>12159.674999999999</v>
      </c>
      <c r="AV61" s="266">
        <f>'Torrance Inputs'!$I$10*(1+'Torrance Inputs'!$N$10)^(AV$8-1)</f>
        <v>12159.674999999999</v>
      </c>
      <c r="AW61" s="266">
        <f>'Torrance Inputs'!$I$10*(1+'Torrance Inputs'!$N$10)^(AW$8-1)</f>
        <v>12159.674999999999</v>
      </c>
      <c r="AX61" s="266">
        <f>'Torrance Inputs'!$I$10*(1+'Torrance Inputs'!$N$10)^(AX$8-1)</f>
        <v>12159.674999999999</v>
      </c>
      <c r="AY61" s="266">
        <f>'Torrance Inputs'!$I$10*(1+'Torrance Inputs'!$N$10)^(AY$8-1)</f>
        <v>12402.8685</v>
      </c>
      <c r="AZ61" s="266">
        <f>'Torrance Inputs'!$I$10*(1+'Torrance Inputs'!$N$10)^(AZ$8-1)</f>
        <v>12402.8685</v>
      </c>
      <c r="BA61" s="266">
        <f>'Torrance Inputs'!$I$10*(1+'Torrance Inputs'!$N$10)^(BA$8-1)</f>
        <v>12402.8685</v>
      </c>
      <c r="BB61" s="266">
        <f>'Torrance Inputs'!$I$10*(1+'Torrance Inputs'!$N$10)^(BB$8-1)</f>
        <v>12402.8685</v>
      </c>
      <c r="BC61" s="266">
        <f>'Torrance Inputs'!$I$10*(1+'Torrance Inputs'!$N$10)^(BC$8-1)</f>
        <v>12402.8685</v>
      </c>
      <c r="BD61" s="266">
        <f>'Torrance Inputs'!$I$10*(1+'Torrance Inputs'!$N$10)^(BD$8-1)</f>
        <v>12402.8685</v>
      </c>
      <c r="BE61" s="266">
        <f>'Torrance Inputs'!$I$10*(1+'Torrance Inputs'!$N$10)^(BE$8-1)</f>
        <v>12402.8685</v>
      </c>
      <c r="BF61" s="266">
        <f>'Torrance Inputs'!$I$10*(1+'Torrance Inputs'!$N$10)^(BF$8-1)</f>
        <v>12402.8685</v>
      </c>
      <c r="BG61" s="266">
        <f>'Torrance Inputs'!$I$10*(1+'Torrance Inputs'!$N$10)^(BG$8-1)</f>
        <v>12402.8685</v>
      </c>
      <c r="BH61" s="266">
        <f>'Torrance Inputs'!$I$10*(1+'Torrance Inputs'!$N$10)^(BH$8-1)</f>
        <v>12402.8685</v>
      </c>
      <c r="BI61" s="266">
        <f>'Torrance Inputs'!$I$10*(1+'Torrance Inputs'!$N$10)^(BI$8-1)</f>
        <v>12402.8685</v>
      </c>
      <c r="BJ61" s="266">
        <f>'Torrance Inputs'!$I$10*(1+'Torrance Inputs'!$N$10)^(BJ$8-1)</f>
        <v>12402.8685</v>
      </c>
      <c r="BK61" s="266">
        <f>'Torrance Inputs'!$I$10*(1+'Torrance Inputs'!$N$10)^(BK$8-1)</f>
        <v>12650.925870000001</v>
      </c>
      <c r="BL61" s="266">
        <f>'Torrance Inputs'!$I$10*(1+'Torrance Inputs'!$N$10)^(BL$8-1)</f>
        <v>12650.925870000001</v>
      </c>
      <c r="BM61" s="266">
        <f>'Torrance Inputs'!$I$10*(1+'Torrance Inputs'!$N$10)^(BM$8-1)</f>
        <v>12650.925870000001</v>
      </c>
      <c r="BN61" s="266">
        <f>'Torrance Inputs'!$I$10*(1+'Torrance Inputs'!$N$10)^(BN$8-1)</f>
        <v>12650.925870000001</v>
      </c>
      <c r="BO61" s="266">
        <f>'Torrance Inputs'!$I$10*(1+'Torrance Inputs'!$N$10)^(BO$8-1)</f>
        <v>12650.925870000001</v>
      </c>
      <c r="BP61" s="266">
        <f>'Torrance Inputs'!$I$10*(1+'Torrance Inputs'!$N$10)^(BP$8-1)</f>
        <v>12650.925870000001</v>
      </c>
      <c r="BQ61" s="266">
        <f>'Torrance Inputs'!$I$10*(1+'Torrance Inputs'!$N$10)^(BQ$8-1)</f>
        <v>12650.925870000001</v>
      </c>
      <c r="BR61" s="266">
        <f>'Torrance Inputs'!$I$10*(1+'Torrance Inputs'!$N$10)^(BR$8-1)</f>
        <v>12650.925870000001</v>
      </c>
      <c r="BS61" s="266">
        <f>'Torrance Inputs'!$I$10*(1+'Torrance Inputs'!$N$10)^(BS$8-1)</f>
        <v>12650.925870000001</v>
      </c>
      <c r="BT61" s="266">
        <f>'Torrance Inputs'!$I$10*(1+'Torrance Inputs'!$N$10)^(BT$8-1)</f>
        <v>12650.925870000001</v>
      </c>
      <c r="BU61" s="266">
        <f>'Torrance Inputs'!$I$10*(1+'Torrance Inputs'!$N$10)^(BU$8-1)</f>
        <v>12650.925870000001</v>
      </c>
      <c r="BV61" s="266">
        <f>'Torrance Inputs'!$I$10*(1+'Torrance Inputs'!$N$10)^(BV$8-1)</f>
        <v>12650.925870000001</v>
      </c>
      <c r="BW61" s="266">
        <f>'Torrance Inputs'!$I$10*(1+'Torrance Inputs'!$N$10)^(BW$8-1)</f>
        <v>12903.944387400001</v>
      </c>
      <c r="BX61" s="266">
        <f>'Torrance Inputs'!$I$10*(1+'Torrance Inputs'!$N$10)^(BX$8-1)</f>
        <v>12903.944387400001</v>
      </c>
      <c r="BY61" s="266">
        <f>'Torrance Inputs'!$I$10*(1+'Torrance Inputs'!$N$10)^(BY$8-1)</f>
        <v>12903.944387400001</v>
      </c>
      <c r="BZ61" s="266">
        <f>'Torrance Inputs'!$I$10*(1+'Torrance Inputs'!$N$10)^(BZ$8-1)</f>
        <v>12903.944387400001</v>
      </c>
      <c r="CA61" s="266">
        <f>'Torrance Inputs'!$I$10*(1+'Torrance Inputs'!$N$10)^(CA$8-1)</f>
        <v>12903.944387400001</v>
      </c>
      <c r="CB61" s="266">
        <f>'Torrance Inputs'!$I$10*(1+'Torrance Inputs'!$N$10)^(CB$8-1)</f>
        <v>12903.944387400001</v>
      </c>
      <c r="CC61" s="266">
        <f>'Torrance Inputs'!$I$10*(1+'Torrance Inputs'!$N$10)^(CC$8-1)</f>
        <v>12903.944387400001</v>
      </c>
      <c r="CD61" s="266">
        <f>'Torrance Inputs'!$I$10*(1+'Torrance Inputs'!$N$10)^(CD$8-1)</f>
        <v>12903.944387400001</v>
      </c>
      <c r="CE61" s="266">
        <f>'Torrance Inputs'!$I$10*(1+'Torrance Inputs'!$N$10)^(CE$8-1)</f>
        <v>12903.944387400001</v>
      </c>
      <c r="CF61" s="266">
        <f>'Torrance Inputs'!$I$10*(1+'Torrance Inputs'!$N$10)^(CF$8-1)</f>
        <v>12903.944387400001</v>
      </c>
      <c r="CG61" s="266">
        <f>'Torrance Inputs'!$I$10*(1+'Torrance Inputs'!$N$10)^(CG$8-1)</f>
        <v>12903.944387400001</v>
      </c>
      <c r="CH61" s="266">
        <f>'Torrance Inputs'!$I$10*(1+'Torrance Inputs'!$N$10)^(CH$8-1)</f>
        <v>12903.944387400001</v>
      </c>
      <c r="CI61" s="266">
        <f>'Torrance Inputs'!$I$10*(1+'Torrance Inputs'!$N$10)^(CI$8-1)</f>
        <v>13162.023275147998</v>
      </c>
      <c r="CJ61" s="266">
        <f>'Torrance Inputs'!$I$10*(1+'Torrance Inputs'!$N$10)^(CJ$8-1)</f>
        <v>13162.023275147998</v>
      </c>
      <c r="CK61" s="266">
        <f>'Torrance Inputs'!$I$10*(1+'Torrance Inputs'!$N$10)^(CK$8-1)</f>
        <v>13162.023275147998</v>
      </c>
      <c r="CL61" s="266">
        <f>'Torrance Inputs'!$I$10*(1+'Torrance Inputs'!$N$10)^(CL$8-1)</f>
        <v>13162.023275147998</v>
      </c>
      <c r="CM61" s="266">
        <f>'Torrance Inputs'!$I$10*(1+'Torrance Inputs'!$N$10)^(CM$8-1)</f>
        <v>13162.023275147998</v>
      </c>
      <c r="CN61" s="266">
        <f>'Torrance Inputs'!$I$10*(1+'Torrance Inputs'!$N$10)^(CN$8-1)</f>
        <v>13162.023275147998</v>
      </c>
      <c r="CO61" s="266">
        <f>'Torrance Inputs'!$I$10*(1+'Torrance Inputs'!$N$10)^(CO$8-1)</f>
        <v>13162.023275147998</v>
      </c>
      <c r="CP61" s="266">
        <f>'Torrance Inputs'!$I$10*(1+'Torrance Inputs'!$N$10)^(CP$8-1)</f>
        <v>13162.023275147998</v>
      </c>
      <c r="CQ61" s="266">
        <f>'Torrance Inputs'!$I$10*(1+'Torrance Inputs'!$N$10)^(CQ$8-1)</f>
        <v>13162.023275147998</v>
      </c>
      <c r="CR61" s="266">
        <f>'Torrance Inputs'!$I$10*(1+'Torrance Inputs'!$N$10)^(CR$8-1)</f>
        <v>13162.023275147998</v>
      </c>
      <c r="CS61" s="266">
        <f>'Torrance Inputs'!$I$10*(1+'Torrance Inputs'!$N$10)^(CS$8-1)</f>
        <v>13162.023275147998</v>
      </c>
      <c r="CT61" s="266">
        <f>'Torrance Inputs'!$I$10*(1+'Torrance Inputs'!$N$10)^(CT$8-1)</f>
        <v>13162.023275147998</v>
      </c>
      <c r="CU61" s="266">
        <f>'Torrance Inputs'!$I$10*(1+'Torrance Inputs'!$N$10)^(CU$8-1)</f>
        <v>13425.26374065096</v>
      </c>
      <c r="CV61" s="266">
        <f>'Torrance Inputs'!$I$10*(1+'Torrance Inputs'!$N$10)^(CV$8-1)</f>
        <v>13425.26374065096</v>
      </c>
      <c r="CW61" s="266">
        <f>'Torrance Inputs'!$I$10*(1+'Torrance Inputs'!$N$10)^(CW$8-1)</f>
        <v>13425.26374065096</v>
      </c>
      <c r="CX61" s="266">
        <f>'Torrance Inputs'!$I$10*(1+'Torrance Inputs'!$N$10)^(CX$8-1)</f>
        <v>13425.26374065096</v>
      </c>
      <c r="CY61" s="266">
        <f>'Torrance Inputs'!$I$10*(1+'Torrance Inputs'!$N$10)^(CY$8-1)</f>
        <v>13425.26374065096</v>
      </c>
      <c r="CZ61" s="266">
        <f>'Torrance Inputs'!$I$10*(1+'Torrance Inputs'!$N$10)^(CZ$8-1)</f>
        <v>13425.26374065096</v>
      </c>
      <c r="DA61" s="266">
        <f>'Torrance Inputs'!$I$10*(1+'Torrance Inputs'!$N$10)^(DA$8-1)</f>
        <v>13425.26374065096</v>
      </c>
      <c r="DB61" s="266">
        <f>'Torrance Inputs'!$I$10*(1+'Torrance Inputs'!$N$10)^(DB$8-1)</f>
        <v>13425.26374065096</v>
      </c>
      <c r="DC61" s="266">
        <f>'Torrance Inputs'!$I$10*(1+'Torrance Inputs'!$N$10)^(DC$8-1)</f>
        <v>13425.26374065096</v>
      </c>
      <c r="DD61" s="266">
        <f>'Torrance Inputs'!$I$10*(1+'Torrance Inputs'!$N$10)^(DD$8-1)</f>
        <v>13425.26374065096</v>
      </c>
      <c r="DE61" s="266">
        <f>'Torrance Inputs'!$I$10*(1+'Torrance Inputs'!$N$10)^(DE$8-1)</f>
        <v>13425.26374065096</v>
      </c>
      <c r="DF61" s="266">
        <f>'Torrance Inputs'!$I$10*(1+'Torrance Inputs'!$N$10)^(DF$8-1)</f>
        <v>13425.26374065096</v>
      </c>
      <c r="DG61" s="266">
        <f>'Torrance Inputs'!$I$10*(1+'Torrance Inputs'!$N$10)^(DG$8-1)</f>
        <v>13693.769015463979</v>
      </c>
      <c r="DH61" s="266">
        <f>'Torrance Inputs'!$I$10*(1+'Torrance Inputs'!$N$10)^(DH$8-1)</f>
        <v>13693.769015463979</v>
      </c>
      <c r="DI61" s="266">
        <f>'Torrance Inputs'!$I$10*(1+'Torrance Inputs'!$N$10)^(DI$8-1)</f>
        <v>13693.769015463979</v>
      </c>
      <c r="DJ61" s="266">
        <f>'Torrance Inputs'!$I$10*(1+'Torrance Inputs'!$N$10)^(DJ$8-1)</f>
        <v>13693.769015463979</v>
      </c>
      <c r="DK61" s="266">
        <f>'Torrance Inputs'!$I$10*(1+'Torrance Inputs'!$N$10)^(DK$8-1)</f>
        <v>13693.769015463979</v>
      </c>
      <c r="DL61" s="266">
        <f>'Torrance Inputs'!$I$10*(1+'Torrance Inputs'!$N$10)^(DL$8-1)</f>
        <v>13693.769015463979</v>
      </c>
      <c r="DM61" s="266">
        <f>'Torrance Inputs'!$I$10*(1+'Torrance Inputs'!$N$10)^(DM$8-1)</f>
        <v>13693.769015463979</v>
      </c>
      <c r="DN61" s="266">
        <f>'Torrance Inputs'!$I$10*(1+'Torrance Inputs'!$N$10)^(DN$8-1)</f>
        <v>13693.769015463979</v>
      </c>
      <c r="DO61" s="266">
        <f>'Torrance Inputs'!$I$10*(1+'Torrance Inputs'!$N$10)^(DO$8-1)</f>
        <v>13693.769015463979</v>
      </c>
      <c r="DP61" s="266">
        <f>'Torrance Inputs'!$I$10*(1+'Torrance Inputs'!$N$10)^(DP$8-1)</f>
        <v>13693.769015463979</v>
      </c>
      <c r="DQ61" s="266">
        <f>'Torrance Inputs'!$I$10*(1+'Torrance Inputs'!$N$10)^(DQ$8-1)</f>
        <v>13693.769015463979</v>
      </c>
      <c r="DR61" s="266">
        <f>'Torrance Inputs'!$I$10*(1+'Torrance Inputs'!$N$10)^(DR$8-1)</f>
        <v>13693.769015463979</v>
      </c>
      <c r="DS61" s="266">
        <f>'Torrance Inputs'!$I$10*(1+'Torrance Inputs'!$N$10)^(DS$8-1)</f>
        <v>13967.644395773259</v>
      </c>
      <c r="DT61" s="266">
        <f>'Torrance Inputs'!$I$10*(1+'Torrance Inputs'!$N$10)^(DT$8-1)</f>
        <v>13967.644395773259</v>
      </c>
      <c r="DU61" s="266">
        <f>'Torrance Inputs'!$I$10*(1+'Torrance Inputs'!$N$10)^(DU$8-1)</f>
        <v>13967.644395773259</v>
      </c>
      <c r="DV61" s="266">
        <f>'Torrance Inputs'!$I$10*(1+'Torrance Inputs'!$N$10)^(DV$8-1)</f>
        <v>13967.644395773259</v>
      </c>
      <c r="DW61" s="266">
        <f>'Torrance Inputs'!$I$10*(1+'Torrance Inputs'!$N$10)^(DW$8-1)</f>
        <v>13967.644395773259</v>
      </c>
      <c r="DX61" s="266">
        <f>'Torrance Inputs'!$I$10*(1+'Torrance Inputs'!$N$10)^(DX$8-1)</f>
        <v>13967.644395773259</v>
      </c>
      <c r="DY61" s="266">
        <f>'Torrance Inputs'!$I$10*(1+'Torrance Inputs'!$N$10)^(DY$8-1)</f>
        <v>13967.644395773259</v>
      </c>
      <c r="DZ61" s="266">
        <f>'Torrance Inputs'!$I$10*(1+'Torrance Inputs'!$N$10)^(DZ$8-1)</f>
        <v>13967.644395773259</v>
      </c>
      <c r="EA61" s="266">
        <f>'Torrance Inputs'!$I$10*(1+'Torrance Inputs'!$N$10)^(EA$8-1)</f>
        <v>13967.644395773259</v>
      </c>
      <c r="EB61" s="266">
        <f>'Torrance Inputs'!$I$10*(1+'Torrance Inputs'!$N$10)^(EB$8-1)</f>
        <v>13967.644395773259</v>
      </c>
      <c r="EC61" s="266">
        <f>'Torrance Inputs'!$I$10*(1+'Torrance Inputs'!$N$10)^(EC$8-1)</f>
        <v>13967.644395773259</v>
      </c>
      <c r="ED61" s="266">
        <f>'Torrance Inputs'!$I$10*(1+'Torrance Inputs'!$N$10)^(ED$8-1)</f>
        <v>13967.644395773259</v>
      </c>
    </row>
    <row r="62" spans="1:134" ht="19.149999999999999" customHeight="1" x14ac:dyDescent="0.4">
      <c r="A62" s="270" t="s">
        <v>188</v>
      </c>
      <c r="B62" s="270"/>
      <c r="C62" s="263">
        <f>IF(C$8='Torrance Inputs'!$M$40,'Torrance Inputs'!$S$40/12,0)</f>
        <v>0</v>
      </c>
      <c r="D62" s="263">
        <f>IF(D$8='Torrance Inputs'!$M$40,'Torrance Inputs'!$S$40/12,0)</f>
        <v>0</v>
      </c>
      <c r="E62" s="263">
        <f>IF(E$8='Torrance Inputs'!$M$40,'Torrance Inputs'!$S$40/12,0)</f>
        <v>0</v>
      </c>
      <c r="F62" s="263">
        <f>IF(F$8='Torrance Inputs'!$M$40,'Torrance Inputs'!$S$40/12,0)</f>
        <v>0</v>
      </c>
      <c r="G62" s="263">
        <f>IF(G$8='Torrance Inputs'!$M$40,'Torrance Inputs'!$S$40/12,0)</f>
        <v>0</v>
      </c>
      <c r="H62" s="263">
        <f>IF(H$8='Torrance Inputs'!$M$40,'Torrance Inputs'!$S$40/12,0)</f>
        <v>0</v>
      </c>
      <c r="I62" s="263">
        <f>IF(I$8='Torrance Inputs'!$M$40,'Torrance Inputs'!$S$40/12,0)</f>
        <v>0</v>
      </c>
      <c r="J62" s="263">
        <f>IF(J$8='Torrance Inputs'!$M$40,'Torrance Inputs'!$S$40/12,0)</f>
        <v>0</v>
      </c>
      <c r="K62" s="263">
        <f>IF(K$8='Torrance Inputs'!$M$40,'Torrance Inputs'!$S$40/12,0)</f>
        <v>0</v>
      </c>
      <c r="L62" s="263">
        <f>IF(L$8='Torrance Inputs'!$M$40,'Torrance Inputs'!$S$40/12,0)</f>
        <v>0</v>
      </c>
      <c r="M62" s="263">
        <f>IF(M$8='Torrance Inputs'!$M$40,'Torrance Inputs'!$S$40/12,0)</f>
        <v>0</v>
      </c>
      <c r="N62" s="263">
        <f>IF(N$8='Torrance Inputs'!$M$40,'Torrance Inputs'!$S$40/12,0)</f>
        <v>0</v>
      </c>
      <c r="O62" s="263">
        <f>IF(O$8='Torrance Inputs'!$M$40,'Torrance Inputs'!$S$40/12,0)</f>
        <v>0</v>
      </c>
      <c r="P62" s="263">
        <f>IF(P$8='Torrance Inputs'!$M$40,'Torrance Inputs'!$S$40/12,0)</f>
        <v>0</v>
      </c>
      <c r="Q62" s="263">
        <f>IF(Q$8='Torrance Inputs'!$M$40,'Torrance Inputs'!$S$40/12,0)</f>
        <v>0</v>
      </c>
      <c r="R62" s="263">
        <f>IF(R$8='Torrance Inputs'!$M$40,'Torrance Inputs'!$S$40/12,0)</f>
        <v>0</v>
      </c>
      <c r="S62" s="263">
        <f>IF(S$8='Torrance Inputs'!$M$40,'Torrance Inputs'!$S$40/12,0)</f>
        <v>0</v>
      </c>
      <c r="T62" s="263">
        <f>IF(T$8='Torrance Inputs'!$M$40,'Torrance Inputs'!$S$40/12,0)</f>
        <v>0</v>
      </c>
      <c r="U62" s="263">
        <f>IF(U$8='Torrance Inputs'!$M$40,'Torrance Inputs'!$S$40/12,0)</f>
        <v>0</v>
      </c>
      <c r="V62" s="263">
        <f>IF(V$8='Torrance Inputs'!$M$40,'Torrance Inputs'!$S$40/12,0)</f>
        <v>0</v>
      </c>
      <c r="W62" s="263">
        <f>IF(W$8='Torrance Inputs'!$M$40,'Torrance Inputs'!$S$40/12,0)</f>
        <v>0</v>
      </c>
      <c r="X62" s="263">
        <f>IF(X$8='Torrance Inputs'!$M$40,'Torrance Inputs'!$S$40/12,0)</f>
        <v>0</v>
      </c>
      <c r="Y62" s="263">
        <f>IF(Y$8='Torrance Inputs'!$M$40,'Torrance Inputs'!$S$40/12,0)</f>
        <v>0</v>
      </c>
      <c r="Z62" s="263">
        <f>IF(Z$8='Torrance Inputs'!$M$40,'Torrance Inputs'!$S$40/12,0)</f>
        <v>0</v>
      </c>
      <c r="AA62" s="263">
        <f>IF(AA$8='Torrance Inputs'!$M$40,'Torrance Inputs'!$S$40/12,0)</f>
        <v>0</v>
      </c>
      <c r="AB62" s="263">
        <f>IF(AB$8='Torrance Inputs'!$M$40,'Torrance Inputs'!$S$40/12,0)</f>
        <v>0</v>
      </c>
      <c r="AC62" s="263">
        <f>IF(AC$8='Torrance Inputs'!$M$40,'Torrance Inputs'!$S$40/12,0)</f>
        <v>0</v>
      </c>
      <c r="AD62" s="263">
        <f>IF(AD$8='Torrance Inputs'!$M$40,'Torrance Inputs'!$S$40/12,0)</f>
        <v>0</v>
      </c>
      <c r="AE62" s="263">
        <f>IF(AE$8='Torrance Inputs'!$M$40,'Torrance Inputs'!$S$40/12,0)</f>
        <v>0</v>
      </c>
      <c r="AF62" s="263">
        <f>IF(AF$8='Torrance Inputs'!$M$40,'Torrance Inputs'!$S$40/12,0)</f>
        <v>0</v>
      </c>
      <c r="AG62" s="263">
        <f>IF(AG$8='Torrance Inputs'!$M$40,'Torrance Inputs'!$S$40/12,0)</f>
        <v>0</v>
      </c>
      <c r="AH62" s="263">
        <f>IF(AH$8='Torrance Inputs'!$M$40,'Torrance Inputs'!$S$40/12,0)</f>
        <v>0</v>
      </c>
      <c r="AI62" s="263">
        <f>IF(AI$8='Torrance Inputs'!$M$40,'Torrance Inputs'!$S$40/12,0)</f>
        <v>0</v>
      </c>
      <c r="AJ62" s="263">
        <f>IF(AJ$8='Torrance Inputs'!$M$40,'Torrance Inputs'!$S$40/12,0)</f>
        <v>0</v>
      </c>
      <c r="AK62" s="263">
        <f>IF(AK$8='Torrance Inputs'!$M$40,'Torrance Inputs'!$S$40/12,0)</f>
        <v>0</v>
      </c>
      <c r="AL62" s="263">
        <f>IF(AL$8='Torrance Inputs'!$M$40,'Torrance Inputs'!$S$40/12,0)</f>
        <v>0</v>
      </c>
      <c r="AM62" s="263">
        <f>IF(AM$8='Torrance Inputs'!$M$40,'Torrance Inputs'!$S$40/12,0)</f>
        <v>128333.33333333333</v>
      </c>
      <c r="AN62" s="263">
        <f>IF(AN$8='Torrance Inputs'!$M$40,'Torrance Inputs'!$S$40/12,0)</f>
        <v>128333.33333333333</v>
      </c>
      <c r="AO62" s="263">
        <f>IF(AO$8='Torrance Inputs'!$M$40,'Torrance Inputs'!$S$40/12,0)</f>
        <v>128333.33333333333</v>
      </c>
      <c r="AP62" s="263">
        <f>IF(AP$8='Torrance Inputs'!$M$40,'Torrance Inputs'!$S$40/12,0)</f>
        <v>128333.33333333333</v>
      </c>
      <c r="AQ62" s="263">
        <f>IF(AQ$8='Torrance Inputs'!$M$40,'Torrance Inputs'!$S$40/12,0)</f>
        <v>128333.33333333333</v>
      </c>
      <c r="AR62" s="263">
        <f>IF(AR$8='Torrance Inputs'!$M$40,'Torrance Inputs'!$S$40/12,0)</f>
        <v>128333.33333333333</v>
      </c>
      <c r="AS62" s="263">
        <f>IF(AS$8='Torrance Inputs'!$M$40,'Torrance Inputs'!$S$40/12,0)</f>
        <v>128333.33333333333</v>
      </c>
      <c r="AT62" s="263">
        <f>IF(AT$8='Torrance Inputs'!$M$40,'Torrance Inputs'!$S$40/12,0)</f>
        <v>128333.33333333333</v>
      </c>
      <c r="AU62" s="263">
        <f>IF(AU$8='Torrance Inputs'!$M$40,'Torrance Inputs'!$S$40/12,0)</f>
        <v>128333.33333333333</v>
      </c>
      <c r="AV62" s="263">
        <f>IF(AV$8='Torrance Inputs'!$M$40,'Torrance Inputs'!$S$40/12,0)</f>
        <v>128333.33333333333</v>
      </c>
      <c r="AW62" s="263">
        <f>IF(AW$8='Torrance Inputs'!$M$40,'Torrance Inputs'!$S$40/12,0)</f>
        <v>128333.33333333333</v>
      </c>
      <c r="AX62" s="263">
        <f>IF(AX$8='Torrance Inputs'!$M$40,'Torrance Inputs'!$S$40/12,0)</f>
        <v>128333.33333333333</v>
      </c>
      <c r="AY62" s="263">
        <f>IF(AY$8='Torrance Inputs'!$M$40,'Torrance Inputs'!$S$40/12,0)</f>
        <v>0</v>
      </c>
      <c r="AZ62" s="263">
        <f>IF(AZ$8='Torrance Inputs'!$M$40,'Torrance Inputs'!$S$40/12,0)</f>
        <v>0</v>
      </c>
      <c r="BA62" s="263">
        <f>IF(BA$8='Torrance Inputs'!$M$40,'Torrance Inputs'!$S$40/12,0)</f>
        <v>0</v>
      </c>
      <c r="BB62" s="263">
        <f>IF(BB$8='Torrance Inputs'!$M$40,'Torrance Inputs'!$S$40/12,0)</f>
        <v>0</v>
      </c>
      <c r="BC62" s="263">
        <f>IF(BC$8='Torrance Inputs'!$M$40,'Torrance Inputs'!$S$40/12,0)</f>
        <v>0</v>
      </c>
      <c r="BD62" s="263">
        <f>IF(BD$8='Torrance Inputs'!$M$40,'Torrance Inputs'!$S$40/12,0)</f>
        <v>0</v>
      </c>
      <c r="BE62" s="263">
        <f>IF(BE$8='Torrance Inputs'!$M$40,'Torrance Inputs'!$S$40/12,0)</f>
        <v>0</v>
      </c>
      <c r="BF62" s="263">
        <f>IF(BF$8='Torrance Inputs'!$M$40,'Torrance Inputs'!$S$40/12,0)</f>
        <v>0</v>
      </c>
      <c r="BG62" s="263">
        <f>IF(BG$8='Torrance Inputs'!$M$40,'Torrance Inputs'!$S$40/12,0)</f>
        <v>0</v>
      </c>
      <c r="BH62" s="263">
        <f>IF(BH$8='Torrance Inputs'!$M$40,'Torrance Inputs'!$S$40/12,0)</f>
        <v>0</v>
      </c>
      <c r="BI62" s="263">
        <f>IF(BI$8='Torrance Inputs'!$M$40,'Torrance Inputs'!$S$40/12,0)</f>
        <v>0</v>
      </c>
      <c r="BJ62" s="263">
        <f>IF(BJ$8='Torrance Inputs'!$M$40,'Torrance Inputs'!$S$40/12,0)</f>
        <v>0</v>
      </c>
      <c r="BK62" s="263">
        <f>IF(BK$8='Torrance Inputs'!$M$40,'Torrance Inputs'!$S$40/12,0)</f>
        <v>0</v>
      </c>
      <c r="BL62" s="263">
        <f>IF(BL$8='Torrance Inputs'!$M$40,'Torrance Inputs'!$S$40/12,0)</f>
        <v>0</v>
      </c>
      <c r="BM62" s="263">
        <f>IF(BM$8='Torrance Inputs'!$M$40,'Torrance Inputs'!$S$40/12,0)</f>
        <v>0</v>
      </c>
      <c r="BN62" s="263">
        <f>IF(BN$8='Torrance Inputs'!$M$40,'Torrance Inputs'!$S$40/12,0)</f>
        <v>0</v>
      </c>
      <c r="BO62" s="263">
        <f>IF(BO$8='Torrance Inputs'!$M$40,'Torrance Inputs'!$S$40/12,0)</f>
        <v>0</v>
      </c>
      <c r="BP62" s="263">
        <f>IF(BP$8='Torrance Inputs'!$M$40,'Torrance Inputs'!$S$40/12,0)</f>
        <v>0</v>
      </c>
      <c r="BQ62" s="263">
        <f>IF(BQ$8='Torrance Inputs'!$M$40,'Torrance Inputs'!$S$40/12,0)</f>
        <v>0</v>
      </c>
      <c r="BR62" s="263">
        <f>IF(BR$8='Torrance Inputs'!$M$40,'Torrance Inputs'!$S$40/12,0)</f>
        <v>0</v>
      </c>
      <c r="BS62" s="263">
        <f>IF(BS$8='Torrance Inputs'!$M$40,'Torrance Inputs'!$S$40/12,0)</f>
        <v>0</v>
      </c>
      <c r="BT62" s="263">
        <f>IF(BT$8='Torrance Inputs'!$M$40,'Torrance Inputs'!$S$40/12,0)</f>
        <v>0</v>
      </c>
      <c r="BU62" s="263">
        <f>IF(BU$8='Torrance Inputs'!$M$40,'Torrance Inputs'!$S$40/12,0)</f>
        <v>0</v>
      </c>
      <c r="BV62" s="263">
        <f>IF(BV$8='Torrance Inputs'!$M$40,'Torrance Inputs'!$S$40/12,0)</f>
        <v>0</v>
      </c>
      <c r="BW62" s="263">
        <f>IF(BW$8='Torrance Inputs'!$M$40,'Torrance Inputs'!$S$40/12,0)</f>
        <v>0</v>
      </c>
      <c r="BX62" s="263">
        <f>IF(BX$8='Torrance Inputs'!$M$40,'Torrance Inputs'!$S$40/12,0)</f>
        <v>0</v>
      </c>
      <c r="BY62" s="263">
        <f>IF(BY$8='Torrance Inputs'!$M$40,'Torrance Inputs'!$S$40/12,0)</f>
        <v>0</v>
      </c>
      <c r="BZ62" s="263">
        <f>IF(BZ$8='Torrance Inputs'!$M$40,'Torrance Inputs'!$S$40/12,0)</f>
        <v>0</v>
      </c>
      <c r="CA62" s="263">
        <f>IF(CA$8='Torrance Inputs'!$M$40,'Torrance Inputs'!$S$40/12,0)</f>
        <v>0</v>
      </c>
      <c r="CB62" s="263">
        <f>IF(CB$8='Torrance Inputs'!$M$40,'Torrance Inputs'!$S$40/12,0)</f>
        <v>0</v>
      </c>
      <c r="CC62" s="263">
        <f>IF(CC$8='Torrance Inputs'!$M$40,'Torrance Inputs'!$S$40/12,0)</f>
        <v>0</v>
      </c>
      <c r="CD62" s="263">
        <f>IF(CD$8='Torrance Inputs'!$M$40,'Torrance Inputs'!$S$40/12,0)</f>
        <v>0</v>
      </c>
      <c r="CE62" s="263">
        <f>IF(CE$8='Torrance Inputs'!$M$40,'Torrance Inputs'!$S$40/12,0)</f>
        <v>0</v>
      </c>
      <c r="CF62" s="263">
        <f>IF(CF$8='Torrance Inputs'!$M$40,'Torrance Inputs'!$S$40/12,0)</f>
        <v>0</v>
      </c>
      <c r="CG62" s="263">
        <f>IF(CG$8='Torrance Inputs'!$M$40,'Torrance Inputs'!$S$40/12,0)</f>
        <v>0</v>
      </c>
      <c r="CH62" s="263">
        <f>IF(CH$8='Torrance Inputs'!$M$40,'Torrance Inputs'!$S$40/12,0)</f>
        <v>0</v>
      </c>
      <c r="CI62" s="263">
        <f>IF(CI$8='Torrance Inputs'!$M$40,'Torrance Inputs'!$S$40/12,0)</f>
        <v>0</v>
      </c>
      <c r="CJ62" s="263">
        <f>IF(CJ$8='Torrance Inputs'!$M$40,'Torrance Inputs'!$S$40/12,0)</f>
        <v>0</v>
      </c>
      <c r="CK62" s="263">
        <f>IF(CK$8='Torrance Inputs'!$M$40,'Torrance Inputs'!$S$40/12,0)</f>
        <v>0</v>
      </c>
      <c r="CL62" s="263">
        <f>IF(CL$8='Torrance Inputs'!$M$40,'Torrance Inputs'!$S$40/12,0)</f>
        <v>0</v>
      </c>
      <c r="CM62" s="263">
        <f>IF(CM$8='Torrance Inputs'!$M$40,'Torrance Inputs'!$S$40/12,0)</f>
        <v>0</v>
      </c>
      <c r="CN62" s="263">
        <f>IF(CN$8='Torrance Inputs'!$M$40,'Torrance Inputs'!$S$40/12,0)</f>
        <v>0</v>
      </c>
      <c r="CO62" s="263">
        <f>IF(CO$8='Torrance Inputs'!$M$40,'Torrance Inputs'!$S$40/12,0)</f>
        <v>0</v>
      </c>
      <c r="CP62" s="263">
        <f>IF(CP$8='Torrance Inputs'!$M$40,'Torrance Inputs'!$S$40/12,0)</f>
        <v>0</v>
      </c>
      <c r="CQ62" s="263">
        <f>IF(CQ$8='Torrance Inputs'!$M$40,'Torrance Inputs'!$S$40/12,0)</f>
        <v>0</v>
      </c>
      <c r="CR62" s="263">
        <f>IF(CR$8='Torrance Inputs'!$M$40,'Torrance Inputs'!$S$40/12,0)</f>
        <v>0</v>
      </c>
      <c r="CS62" s="263">
        <f>IF(CS$8='Torrance Inputs'!$M$40,'Torrance Inputs'!$S$40/12,0)</f>
        <v>0</v>
      </c>
      <c r="CT62" s="263">
        <f>IF(CT$8='Torrance Inputs'!$M$40,'Torrance Inputs'!$S$40/12,0)</f>
        <v>0</v>
      </c>
      <c r="CU62" s="263">
        <f>IF(CU$8='Torrance Inputs'!$M$40,'Torrance Inputs'!$S$40/12,0)</f>
        <v>0</v>
      </c>
      <c r="CV62" s="263">
        <f>IF(CV$8='Torrance Inputs'!$M$40,'Torrance Inputs'!$S$40/12,0)</f>
        <v>0</v>
      </c>
      <c r="CW62" s="263">
        <f>IF(CW$8='Torrance Inputs'!$M$40,'Torrance Inputs'!$S$40/12,0)</f>
        <v>0</v>
      </c>
      <c r="CX62" s="263">
        <f>IF(CX$8='Torrance Inputs'!$M$40,'Torrance Inputs'!$S$40/12,0)</f>
        <v>0</v>
      </c>
      <c r="CY62" s="263">
        <f>IF(CY$8='Torrance Inputs'!$M$40,'Torrance Inputs'!$S$40/12,0)</f>
        <v>0</v>
      </c>
      <c r="CZ62" s="263">
        <f>IF(CZ$8='Torrance Inputs'!$M$40,'Torrance Inputs'!$S$40/12,0)</f>
        <v>0</v>
      </c>
      <c r="DA62" s="263">
        <f>IF(DA$8='Torrance Inputs'!$M$40,'Torrance Inputs'!$S$40/12,0)</f>
        <v>0</v>
      </c>
      <c r="DB62" s="263">
        <f>IF(DB$8='Torrance Inputs'!$M$40,'Torrance Inputs'!$S$40/12,0)</f>
        <v>0</v>
      </c>
      <c r="DC62" s="263">
        <f>IF(DC$8='Torrance Inputs'!$M$40,'Torrance Inputs'!$S$40/12,0)</f>
        <v>0</v>
      </c>
      <c r="DD62" s="263">
        <f>IF(DD$8='Torrance Inputs'!$M$40,'Torrance Inputs'!$S$40/12,0)</f>
        <v>0</v>
      </c>
      <c r="DE62" s="263">
        <f>IF(DE$8='Torrance Inputs'!$M$40,'Torrance Inputs'!$S$40/12,0)</f>
        <v>0</v>
      </c>
      <c r="DF62" s="263">
        <f>IF(DF$8='Torrance Inputs'!$M$40,'Torrance Inputs'!$S$40/12,0)</f>
        <v>0</v>
      </c>
      <c r="DG62" s="263">
        <f>IF(DG$8='Torrance Inputs'!$M$40,'Torrance Inputs'!$S$40/12,0)</f>
        <v>0</v>
      </c>
      <c r="DH62" s="263">
        <f>IF(DH$8='Torrance Inputs'!$M$40,'Torrance Inputs'!$S$40/12,0)</f>
        <v>0</v>
      </c>
      <c r="DI62" s="263">
        <f>IF(DI$8='Torrance Inputs'!$M$40,'Torrance Inputs'!$S$40/12,0)</f>
        <v>0</v>
      </c>
      <c r="DJ62" s="263">
        <f>IF(DJ$8='Torrance Inputs'!$M$40,'Torrance Inputs'!$S$40/12,0)</f>
        <v>0</v>
      </c>
      <c r="DK62" s="263">
        <f>IF(DK$8='Torrance Inputs'!$M$40,'Torrance Inputs'!$S$40/12,0)</f>
        <v>0</v>
      </c>
      <c r="DL62" s="263">
        <f>IF(DL$8='Torrance Inputs'!$M$40,'Torrance Inputs'!$S$40/12,0)</f>
        <v>0</v>
      </c>
      <c r="DM62" s="263">
        <f>IF(DM$8='Torrance Inputs'!$M$40,'Torrance Inputs'!$S$40/12,0)</f>
        <v>0</v>
      </c>
      <c r="DN62" s="263">
        <f>IF(DN$8='Torrance Inputs'!$M$40,'Torrance Inputs'!$S$40/12,0)</f>
        <v>0</v>
      </c>
      <c r="DO62" s="263">
        <f>IF(DO$8='Torrance Inputs'!$M$40,'Torrance Inputs'!$S$40/12,0)</f>
        <v>0</v>
      </c>
      <c r="DP62" s="263">
        <f>IF(DP$8='Torrance Inputs'!$M$40,'Torrance Inputs'!$S$40/12,0)</f>
        <v>0</v>
      </c>
      <c r="DQ62" s="263">
        <f>IF(DQ$8='Torrance Inputs'!$M$40,'Torrance Inputs'!$S$40/12,0)</f>
        <v>0</v>
      </c>
      <c r="DR62" s="263">
        <f>IF(DR$8='Torrance Inputs'!$M$40,'Torrance Inputs'!$S$40/12,0)</f>
        <v>0</v>
      </c>
      <c r="DS62" s="263">
        <f>IF(DS$8='Torrance Inputs'!$M$40,'Torrance Inputs'!$S$40/12,0)</f>
        <v>0</v>
      </c>
      <c r="DT62" s="263">
        <f>IF(DT$8='Torrance Inputs'!$M$40,'Torrance Inputs'!$S$40/12,0)</f>
        <v>0</v>
      </c>
      <c r="DU62" s="263">
        <f>IF(DU$8='Torrance Inputs'!$M$40,'Torrance Inputs'!$S$40/12,0)</f>
        <v>0</v>
      </c>
      <c r="DV62" s="263">
        <f>IF(DV$8='Torrance Inputs'!$M$40,'Torrance Inputs'!$S$40/12,0)</f>
        <v>0</v>
      </c>
      <c r="DW62" s="263">
        <f>IF(DW$8='Torrance Inputs'!$M$40,'Torrance Inputs'!$S$40/12,0)</f>
        <v>0</v>
      </c>
      <c r="DX62" s="263">
        <f>IF(DX$8='Torrance Inputs'!$M$40,'Torrance Inputs'!$S$40/12,0)</f>
        <v>0</v>
      </c>
      <c r="DY62" s="263">
        <f>IF(DY$8='Torrance Inputs'!$M$40,'Torrance Inputs'!$S$40/12,0)</f>
        <v>0</v>
      </c>
      <c r="DZ62" s="263">
        <f>IF(DZ$8='Torrance Inputs'!$M$40,'Torrance Inputs'!$S$40/12,0)</f>
        <v>0</v>
      </c>
      <c r="EA62" s="263">
        <f>IF(EA$8='Torrance Inputs'!$M$40,'Torrance Inputs'!$S$40/12,0)</f>
        <v>0</v>
      </c>
      <c r="EB62" s="263">
        <f>IF(EB$8='Torrance Inputs'!$M$40,'Torrance Inputs'!$S$40/12,0)</f>
        <v>0</v>
      </c>
      <c r="EC62" s="263">
        <f>IF(EC$8='Torrance Inputs'!$M$40,'Torrance Inputs'!$S$40/12,0)</f>
        <v>0</v>
      </c>
      <c r="ED62" s="263">
        <f>IF(ED$8='Torrance Inputs'!$M$40,'Torrance Inputs'!$S$40/12,0)</f>
        <v>0</v>
      </c>
    </row>
    <row r="63" spans="1:134" ht="19.149999999999999" customHeight="1" x14ac:dyDescent="0.4">
      <c r="A63" s="264" t="s">
        <v>187</v>
      </c>
      <c r="B63" s="264"/>
      <c r="C63" s="263">
        <f t="shared" ref="C63:AH63" si="74">SUM(C61:C62)</f>
        <v>11458.333333333334</v>
      </c>
      <c r="D63" s="263">
        <f t="shared" si="74"/>
        <v>11458.333333333334</v>
      </c>
      <c r="E63" s="263">
        <f t="shared" si="74"/>
        <v>11458.333333333334</v>
      </c>
      <c r="F63" s="263">
        <f t="shared" si="74"/>
        <v>11458.333333333334</v>
      </c>
      <c r="G63" s="263">
        <f t="shared" si="74"/>
        <v>11458.333333333334</v>
      </c>
      <c r="H63" s="263">
        <f t="shared" si="74"/>
        <v>11458.333333333334</v>
      </c>
      <c r="I63" s="263">
        <f t="shared" si="74"/>
        <v>11458.333333333334</v>
      </c>
      <c r="J63" s="263">
        <f t="shared" si="74"/>
        <v>11458.333333333334</v>
      </c>
      <c r="K63" s="263">
        <f t="shared" si="74"/>
        <v>11458.333333333334</v>
      </c>
      <c r="L63" s="263">
        <f t="shared" si="74"/>
        <v>11458.333333333334</v>
      </c>
      <c r="M63" s="263">
        <f t="shared" si="74"/>
        <v>11458.333333333334</v>
      </c>
      <c r="N63" s="263">
        <f t="shared" si="74"/>
        <v>11458.333333333334</v>
      </c>
      <c r="O63" s="263">
        <f t="shared" si="74"/>
        <v>11687.5</v>
      </c>
      <c r="P63" s="263">
        <f t="shared" si="74"/>
        <v>11687.5</v>
      </c>
      <c r="Q63" s="263">
        <f t="shared" si="74"/>
        <v>11687.5</v>
      </c>
      <c r="R63" s="263">
        <f t="shared" si="74"/>
        <v>11687.5</v>
      </c>
      <c r="S63" s="263">
        <f t="shared" si="74"/>
        <v>11687.5</v>
      </c>
      <c r="T63" s="263">
        <f t="shared" si="74"/>
        <v>11687.5</v>
      </c>
      <c r="U63" s="263">
        <f t="shared" si="74"/>
        <v>11687.5</v>
      </c>
      <c r="V63" s="263">
        <f t="shared" si="74"/>
        <v>11687.5</v>
      </c>
      <c r="W63" s="263">
        <f t="shared" si="74"/>
        <v>11687.5</v>
      </c>
      <c r="X63" s="263">
        <f t="shared" si="74"/>
        <v>11687.5</v>
      </c>
      <c r="Y63" s="263">
        <f t="shared" si="74"/>
        <v>11687.5</v>
      </c>
      <c r="Z63" s="263">
        <f t="shared" si="74"/>
        <v>11687.5</v>
      </c>
      <c r="AA63" s="263">
        <f t="shared" si="74"/>
        <v>11921.25</v>
      </c>
      <c r="AB63" s="263">
        <f t="shared" si="74"/>
        <v>11921.25</v>
      </c>
      <c r="AC63" s="263">
        <f t="shared" si="74"/>
        <v>11921.25</v>
      </c>
      <c r="AD63" s="263">
        <f t="shared" si="74"/>
        <v>11921.25</v>
      </c>
      <c r="AE63" s="263">
        <f t="shared" si="74"/>
        <v>11921.25</v>
      </c>
      <c r="AF63" s="263">
        <f t="shared" si="74"/>
        <v>11921.25</v>
      </c>
      <c r="AG63" s="263">
        <f t="shared" si="74"/>
        <v>11921.25</v>
      </c>
      <c r="AH63" s="263">
        <f t="shared" si="74"/>
        <v>11921.25</v>
      </c>
      <c r="AI63" s="263">
        <f t="shared" ref="AI63:BN63" si="75">SUM(AI61:AI62)</f>
        <v>11921.25</v>
      </c>
      <c r="AJ63" s="263">
        <f t="shared" si="75"/>
        <v>11921.25</v>
      </c>
      <c r="AK63" s="263">
        <f t="shared" si="75"/>
        <v>11921.25</v>
      </c>
      <c r="AL63" s="263">
        <f t="shared" si="75"/>
        <v>11921.25</v>
      </c>
      <c r="AM63" s="263">
        <f t="shared" si="75"/>
        <v>140493.00833333333</v>
      </c>
      <c r="AN63" s="263">
        <f t="shared" si="75"/>
        <v>140493.00833333333</v>
      </c>
      <c r="AO63" s="263">
        <f t="shared" si="75"/>
        <v>140493.00833333333</v>
      </c>
      <c r="AP63" s="263">
        <f t="shared" si="75"/>
        <v>140493.00833333333</v>
      </c>
      <c r="AQ63" s="263">
        <f t="shared" si="75"/>
        <v>140493.00833333333</v>
      </c>
      <c r="AR63" s="263">
        <f t="shared" si="75"/>
        <v>140493.00833333333</v>
      </c>
      <c r="AS63" s="263">
        <f t="shared" si="75"/>
        <v>140493.00833333333</v>
      </c>
      <c r="AT63" s="263">
        <f t="shared" si="75"/>
        <v>140493.00833333333</v>
      </c>
      <c r="AU63" s="263">
        <f t="shared" si="75"/>
        <v>140493.00833333333</v>
      </c>
      <c r="AV63" s="263">
        <f t="shared" si="75"/>
        <v>140493.00833333333</v>
      </c>
      <c r="AW63" s="263">
        <f t="shared" si="75"/>
        <v>140493.00833333333</v>
      </c>
      <c r="AX63" s="263">
        <f t="shared" si="75"/>
        <v>140493.00833333333</v>
      </c>
      <c r="AY63" s="263">
        <f t="shared" si="75"/>
        <v>12402.8685</v>
      </c>
      <c r="AZ63" s="263">
        <f t="shared" si="75"/>
        <v>12402.8685</v>
      </c>
      <c r="BA63" s="263">
        <f t="shared" si="75"/>
        <v>12402.8685</v>
      </c>
      <c r="BB63" s="263">
        <f t="shared" si="75"/>
        <v>12402.8685</v>
      </c>
      <c r="BC63" s="263">
        <f t="shared" si="75"/>
        <v>12402.8685</v>
      </c>
      <c r="BD63" s="263">
        <f t="shared" si="75"/>
        <v>12402.8685</v>
      </c>
      <c r="BE63" s="263">
        <f t="shared" si="75"/>
        <v>12402.8685</v>
      </c>
      <c r="BF63" s="263">
        <f t="shared" si="75"/>
        <v>12402.8685</v>
      </c>
      <c r="BG63" s="263">
        <f t="shared" si="75"/>
        <v>12402.8685</v>
      </c>
      <c r="BH63" s="263">
        <f t="shared" si="75"/>
        <v>12402.8685</v>
      </c>
      <c r="BI63" s="263">
        <f t="shared" si="75"/>
        <v>12402.8685</v>
      </c>
      <c r="BJ63" s="263">
        <f t="shared" si="75"/>
        <v>12402.8685</v>
      </c>
      <c r="BK63" s="263">
        <f t="shared" si="75"/>
        <v>12650.925870000001</v>
      </c>
      <c r="BL63" s="263">
        <f t="shared" si="75"/>
        <v>12650.925870000001</v>
      </c>
      <c r="BM63" s="263">
        <f t="shared" si="75"/>
        <v>12650.925870000001</v>
      </c>
      <c r="BN63" s="263">
        <f t="shared" si="75"/>
        <v>12650.925870000001</v>
      </c>
      <c r="BO63" s="263">
        <f t="shared" ref="BO63:CT63" si="76">SUM(BO61:BO62)</f>
        <v>12650.925870000001</v>
      </c>
      <c r="BP63" s="263">
        <f t="shared" si="76"/>
        <v>12650.925870000001</v>
      </c>
      <c r="BQ63" s="263">
        <f t="shared" si="76"/>
        <v>12650.925870000001</v>
      </c>
      <c r="BR63" s="263">
        <f t="shared" si="76"/>
        <v>12650.925870000001</v>
      </c>
      <c r="BS63" s="263">
        <f t="shared" si="76"/>
        <v>12650.925870000001</v>
      </c>
      <c r="BT63" s="263">
        <f t="shared" si="76"/>
        <v>12650.925870000001</v>
      </c>
      <c r="BU63" s="263">
        <f t="shared" si="76"/>
        <v>12650.925870000001</v>
      </c>
      <c r="BV63" s="263">
        <f t="shared" si="76"/>
        <v>12650.925870000001</v>
      </c>
      <c r="BW63" s="263">
        <f t="shared" si="76"/>
        <v>12903.944387400001</v>
      </c>
      <c r="BX63" s="263">
        <f t="shared" si="76"/>
        <v>12903.944387400001</v>
      </c>
      <c r="BY63" s="263">
        <f t="shared" si="76"/>
        <v>12903.944387400001</v>
      </c>
      <c r="BZ63" s="263">
        <f t="shared" si="76"/>
        <v>12903.944387400001</v>
      </c>
      <c r="CA63" s="263">
        <f t="shared" si="76"/>
        <v>12903.944387400001</v>
      </c>
      <c r="CB63" s="263">
        <f t="shared" si="76"/>
        <v>12903.944387400001</v>
      </c>
      <c r="CC63" s="263">
        <f t="shared" si="76"/>
        <v>12903.944387400001</v>
      </c>
      <c r="CD63" s="263">
        <f t="shared" si="76"/>
        <v>12903.944387400001</v>
      </c>
      <c r="CE63" s="263">
        <f t="shared" si="76"/>
        <v>12903.944387400001</v>
      </c>
      <c r="CF63" s="263">
        <f t="shared" si="76"/>
        <v>12903.944387400001</v>
      </c>
      <c r="CG63" s="263">
        <f t="shared" si="76"/>
        <v>12903.944387400001</v>
      </c>
      <c r="CH63" s="263">
        <f t="shared" si="76"/>
        <v>12903.944387400001</v>
      </c>
      <c r="CI63" s="263">
        <f t="shared" si="76"/>
        <v>13162.023275147998</v>
      </c>
      <c r="CJ63" s="263">
        <f t="shared" si="76"/>
        <v>13162.023275147998</v>
      </c>
      <c r="CK63" s="263">
        <f t="shared" si="76"/>
        <v>13162.023275147998</v>
      </c>
      <c r="CL63" s="263">
        <f t="shared" si="76"/>
        <v>13162.023275147998</v>
      </c>
      <c r="CM63" s="263">
        <f t="shared" si="76"/>
        <v>13162.023275147998</v>
      </c>
      <c r="CN63" s="263">
        <f t="shared" si="76"/>
        <v>13162.023275147998</v>
      </c>
      <c r="CO63" s="263">
        <f t="shared" si="76"/>
        <v>13162.023275147998</v>
      </c>
      <c r="CP63" s="263">
        <f t="shared" si="76"/>
        <v>13162.023275147998</v>
      </c>
      <c r="CQ63" s="263">
        <f t="shared" si="76"/>
        <v>13162.023275147998</v>
      </c>
      <c r="CR63" s="263">
        <f t="shared" si="76"/>
        <v>13162.023275147998</v>
      </c>
      <c r="CS63" s="263">
        <f t="shared" si="76"/>
        <v>13162.023275147998</v>
      </c>
      <c r="CT63" s="263">
        <f t="shared" si="76"/>
        <v>13162.023275147998</v>
      </c>
      <c r="CU63" s="263">
        <f t="shared" ref="CU63:DZ63" si="77">SUM(CU61:CU62)</f>
        <v>13425.26374065096</v>
      </c>
      <c r="CV63" s="263">
        <f t="shared" si="77"/>
        <v>13425.26374065096</v>
      </c>
      <c r="CW63" s="263">
        <f t="shared" si="77"/>
        <v>13425.26374065096</v>
      </c>
      <c r="CX63" s="263">
        <f t="shared" si="77"/>
        <v>13425.26374065096</v>
      </c>
      <c r="CY63" s="263">
        <f t="shared" si="77"/>
        <v>13425.26374065096</v>
      </c>
      <c r="CZ63" s="263">
        <f t="shared" si="77"/>
        <v>13425.26374065096</v>
      </c>
      <c r="DA63" s="263">
        <f t="shared" si="77"/>
        <v>13425.26374065096</v>
      </c>
      <c r="DB63" s="263">
        <f t="shared" si="77"/>
        <v>13425.26374065096</v>
      </c>
      <c r="DC63" s="263">
        <f t="shared" si="77"/>
        <v>13425.26374065096</v>
      </c>
      <c r="DD63" s="263">
        <f t="shared" si="77"/>
        <v>13425.26374065096</v>
      </c>
      <c r="DE63" s="263">
        <f t="shared" si="77"/>
        <v>13425.26374065096</v>
      </c>
      <c r="DF63" s="263">
        <f t="shared" si="77"/>
        <v>13425.26374065096</v>
      </c>
      <c r="DG63" s="263">
        <f t="shared" si="77"/>
        <v>13693.769015463979</v>
      </c>
      <c r="DH63" s="263">
        <f t="shared" si="77"/>
        <v>13693.769015463979</v>
      </c>
      <c r="DI63" s="263">
        <f t="shared" si="77"/>
        <v>13693.769015463979</v>
      </c>
      <c r="DJ63" s="263">
        <f t="shared" si="77"/>
        <v>13693.769015463979</v>
      </c>
      <c r="DK63" s="263">
        <f t="shared" si="77"/>
        <v>13693.769015463979</v>
      </c>
      <c r="DL63" s="263">
        <f t="shared" si="77"/>
        <v>13693.769015463979</v>
      </c>
      <c r="DM63" s="263">
        <f t="shared" si="77"/>
        <v>13693.769015463979</v>
      </c>
      <c r="DN63" s="263">
        <f t="shared" si="77"/>
        <v>13693.769015463979</v>
      </c>
      <c r="DO63" s="263">
        <f t="shared" si="77"/>
        <v>13693.769015463979</v>
      </c>
      <c r="DP63" s="263">
        <f t="shared" si="77"/>
        <v>13693.769015463979</v>
      </c>
      <c r="DQ63" s="263">
        <f t="shared" si="77"/>
        <v>13693.769015463979</v>
      </c>
      <c r="DR63" s="263">
        <f t="shared" si="77"/>
        <v>13693.769015463979</v>
      </c>
      <c r="DS63" s="263">
        <f t="shared" si="77"/>
        <v>13967.644395773259</v>
      </c>
      <c r="DT63" s="263">
        <f t="shared" si="77"/>
        <v>13967.644395773259</v>
      </c>
      <c r="DU63" s="263">
        <f t="shared" si="77"/>
        <v>13967.644395773259</v>
      </c>
      <c r="DV63" s="263">
        <f t="shared" si="77"/>
        <v>13967.644395773259</v>
      </c>
      <c r="DW63" s="263">
        <f t="shared" si="77"/>
        <v>13967.644395773259</v>
      </c>
      <c r="DX63" s="263">
        <f t="shared" si="77"/>
        <v>13967.644395773259</v>
      </c>
      <c r="DY63" s="263">
        <f t="shared" si="77"/>
        <v>13967.644395773259</v>
      </c>
      <c r="DZ63" s="263">
        <f t="shared" si="77"/>
        <v>13967.644395773259</v>
      </c>
      <c r="EA63" s="263">
        <f t="shared" ref="EA63:ED63" si="78">SUM(EA61:EA62)</f>
        <v>13967.644395773259</v>
      </c>
      <c r="EB63" s="263">
        <f t="shared" si="78"/>
        <v>13967.644395773259</v>
      </c>
      <c r="EC63" s="263">
        <f t="shared" si="78"/>
        <v>13967.644395773259</v>
      </c>
      <c r="ED63" s="263">
        <f t="shared" si="78"/>
        <v>13967.644395773259</v>
      </c>
    </row>
    <row r="64" spans="1:134" ht="19.149999999999999" customHeight="1" x14ac:dyDescent="0.4">
      <c r="A64" s="259" t="s">
        <v>182</v>
      </c>
      <c r="C64" s="267"/>
      <c r="D64" s="267"/>
      <c r="E64" s="267"/>
      <c r="F64" s="267"/>
      <c r="G64" s="267"/>
      <c r="H64" s="267"/>
      <c r="I64" s="267"/>
      <c r="J64" s="267"/>
      <c r="K64" s="267"/>
      <c r="L64" s="267"/>
      <c r="M64" s="267"/>
      <c r="N64" s="267"/>
      <c r="O64" s="267"/>
      <c r="P64" s="267"/>
      <c r="Q64" s="267"/>
      <c r="R64" s="267"/>
      <c r="S64" s="267"/>
      <c r="T64" s="267"/>
      <c r="U64" s="267"/>
      <c r="V64" s="267"/>
      <c r="W64" s="267"/>
      <c r="X64" s="267"/>
      <c r="Y64" s="267"/>
      <c r="Z64" s="267"/>
      <c r="AA64" s="267"/>
      <c r="AB64" s="267"/>
      <c r="AC64" s="267"/>
      <c r="AD64" s="267"/>
      <c r="AE64" s="267"/>
      <c r="AF64" s="267"/>
      <c r="AG64" s="267"/>
      <c r="AH64" s="267"/>
      <c r="AI64" s="267"/>
      <c r="AJ64" s="267"/>
      <c r="AK64" s="267"/>
      <c r="AL64" s="267"/>
      <c r="AM64" s="267"/>
      <c r="AN64" s="267"/>
      <c r="AO64" s="267"/>
      <c r="AP64" s="267"/>
      <c r="AQ64" s="267"/>
      <c r="AR64" s="267"/>
      <c r="AS64" s="267"/>
      <c r="AT64" s="267"/>
      <c r="AU64" s="267"/>
      <c r="AV64" s="267"/>
      <c r="AW64" s="267"/>
      <c r="AX64" s="267"/>
      <c r="AY64" s="267"/>
      <c r="AZ64" s="267"/>
      <c r="BA64" s="267"/>
      <c r="BB64" s="267"/>
      <c r="BC64" s="267"/>
      <c r="BD64" s="267"/>
      <c r="BE64" s="267"/>
      <c r="BF64" s="267"/>
      <c r="BG64" s="267"/>
      <c r="BH64" s="267"/>
      <c r="BI64" s="267"/>
      <c r="BJ64" s="267"/>
      <c r="BK64" s="267"/>
      <c r="BL64" s="267"/>
      <c r="BM64" s="267"/>
      <c r="BN64" s="267"/>
      <c r="BO64" s="267"/>
      <c r="BP64" s="267"/>
      <c r="BQ64" s="267"/>
      <c r="BR64" s="267"/>
      <c r="BS64" s="267"/>
      <c r="BT64" s="267"/>
      <c r="BU64" s="267"/>
      <c r="BV64" s="267"/>
      <c r="BW64" s="267"/>
      <c r="BX64" s="267"/>
      <c r="BY64" s="267"/>
      <c r="BZ64" s="267"/>
      <c r="CA64" s="267"/>
      <c r="CB64" s="267"/>
      <c r="CC64" s="267"/>
      <c r="CD64" s="267"/>
      <c r="CE64" s="267"/>
      <c r="CF64" s="267"/>
      <c r="CG64" s="267"/>
      <c r="CH64" s="267"/>
      <c r="CI64" s="267"/>
      <c r="CJ64" s="267"/>
      <c r="CK64" s="267"/>
      <c r="CL64" s="267"/>
      <c r="CM64" s="267"/>
      <c r="CN64" s="267"/>
      <c r="CO64" s="267"/>
      <c r="CP64" s="267"/>
      <c r="CQ64" s="267"/>
      <c r="CR64" s="267"/>
      <c r="CS64" s="267"/>
      <c r="CT64" s="267"/>
      <c r="CU64" s="267"/>
      <c r="CV64" s="267"/>
      <c r="CW64" s="267"/>
      <c r="CX64" s="267"/>
      <c r="CY64" s="267"/>
      <c r="CZ64" s="267"/>
      <c r="DA64" s="267"/>
      <c r="DB64" s="267"/>
      <c r="DC64" s="267"/>
      <c r="DD64" s="267"/>
      <c r="DE64" s="267"/>
      <c r="DF64" s="267"/>
      <c r="DG64" s="267"/>
      <c r="DH64" s="267"/>
      <c r="DI64" s="267"/>
      <c r="DJ64" s="267"/>
      <c r="DK64" s="267"/>
      <c r="DL64" s="267"/>
      <c r="DM64" s="267"/>
      <c r="DN64" s="267"/>
      <c r="DO64" s="267"/>
      <c r="DP64" s="267"/>
      <c r="DQ64" s="267"/>
      <c r="DR64" s="267"/>
      <c r="DS64" s="267"/>
      <c r="DT64" s="267"/>
      <c r="DU64" s="267"/>
      <c r="DV64" s="267"/>
      <c r="DW64" s="267"/>
      <c r="DX64" s="267"/>
      <c r="DY64" s="267"/>
      <c r="DZ64" s="267"/>
      <c r="EA64" s="267"/>
      <c r="EB64" s="267"/>
      <c r="EC64" s="267"/>
      <c r="ED64" s="267"/>
    </row>
    <row r="65" spans="1:134" ht="19.149999999999999" customHeight="1" x14ac:dyDescent="0.4">
      <c r="A65" s="264" t="s">
        <v>186</v>
      </c>
      <c r="B65" s="264"/>
      <c r="C65" s="263">
        <f t="shared" ref="C65:AH65" si="79">C63+C58</f>
        <v>11458.333333333334</v>
      </c>
      <c r="D65" s="263">
        <f t="shared" si="79"/>
        <v>11458.333333333334</v>
      </c>
      <c r="E65" s="263">
        <f t="shared" si="79"/>
        <v>11458.333333333334</v>
      </c>
      <c r="F65" s="263">
        <f t="shared" si="79"/>
        <v>11458.333333333334</v>
      </c>
      <c r="G65" s="263">
        <f t="shared" si="79"/>
        <v>11458.333333333334</v>
      </c>
      <c r="H65" s="263">
        <f t="shared" si="79"/>
        <v>11458.333333333334</v>
      </c>
      <c r="I65" s="263">
        <f t="shared" si="79"/>
        <v>11458.333333333334</v>
      </c>
      <c r="J65" s="263">
        <f t="shared" si="79"/>
        <v>11458.333333333334</v>
      </c>
      <c r="K65" s="263">
        <f t="shared" si="79"/>
        <v>11458.333333333334</v>
      </c>
      <c r="L65" s="263">
        <f t="shared" si="79"/>
        <v>11458.333333333334</v>
      </c>
      <c r="M65" s="263">
        <f t="shared" si="79"/>
        <v>11458.333333333334</v>
      </c>
      <c r="N65" s="263">
        <f t="shared" si="79"/>
        <v>11458.333333333334</v>
      </c>
      <c r="O65" s="263">
        <f t="shared" si="79"/>
        <v>11687.5</v>
      </c>
      <c r="P65" s="263">
        <f t="shared" si="79"/>
        <v>11687.5</v>
      </c>
      <c r="Q65" s="263">
        <f t="shared" si="79"/>
        <v>11687.5</v>
      </c>
      <c r="R65" s="263">
        <f t="shared" si="79"/>
        <v>11687.5</v>
      </c>
      <c r="S65" s="263">
        <f t="shared" si="79"/>
        <v>11687.5</v>
      </c>
      <c r="T65" s="263">
        <f t="shared" si="79"/>
        <v>11687.5</v>
      </c>
      <c r="U65" s="263">
        <f t="shared" si="79"/>
        <v>11687.5</v>
      </c>
      <c r="V65" s="263">
        <f t="shared" si="79"/>
        <v>11687.5</v>
      </c>
      <c r="W65" s="263">
        <f t="shared" si="79"/>
        <v>11687.5</v>
      </c>
      <c r="X65" s="263">
        <f t="shared" si="79"/>
        <v>11687.5</v>
      </c>
      <c r="Y65" s="263">
        <f t="shared" si="79"/>
        <v>11687.5</v>
      </c>
      <c r="Z65" s="263">
        <f t="shared" si="79"/>
        <v>11687.5</v>
      </c>
      <c r="AA65" s="263">
        <f t="shared" si="79"/>
        <v>11921.25</v>
      </c>
      <c r="AB65" s="263">
        <f t="shared" si="79"/>
        <v>11921.25</v>
      </c>
      <c r="AC65" s="263">
        <f t="shared" si="79"/>
        <v>11921.25</v>
      </c>
      <c r="AD65" s="263">
        <f t="shared" si="79"/>
        <v>11921.25</v>
      </c>
      <c r="AE65" s="263">
        <f t="shared" si="79"/>
        <v>11921.25</v>
      </c>
      <c r="AF65" s="263">
        <f t="shared" si="79"/>
        <v>11921.25</v>
      </c>
      <c r="AG65" s="263">
        <f t="shared" si="79"/>
        <v>11921.25</v>
      </c>
      <c r="AH65" s="263">
        <f t="shared" si="79"/>
        <v>11921.25</v>
      </c>
      <c r="AI65" s="263">
        <f t="shared" ref="AI65:BN65" si="80">AI63+AI58</f>
        <v>11921.25</v>
      </c>
      <c r="AJ65" s="263">
        <f t="shared" si="80"/>
        <v>11921.25</v>
      </c>
      <c r="AK65" s="263">
        <f t="shared" si="80"/>
        <v>11921.25</v>
      </c>
      <c r="AL65" s="263">
        <f t="shared" si="80"/>
        <v>11921.25</v>
      </c>
      <c r="AM65" s="263">
        <f t="shared" si="80"/>
        <v>140493.00833333333</v>
      </c>
      <c r="AN65" s="263">
        <f t="shared" si="80"/>
        <v>140493.00833333333</v>
      </c>
      <c r="AO65" s="263">
        <f t="shared" si="80"/>
        <v>140493.00833333333</v>
      </c>
      <c r="AP65" s="263">
        <f t="shared" si="80"/>
        <v>140493.00833333333</v>
      </c>
      <c r="AQ65" s="263">
        <f t="shared" si="80"/>
        <v>140493.00833333333</v>
      </c>
      <c r="AR65" s="263">
        <f t="shared" si="80"/>
        <v>140493.00833333333</v>
      </c>
      <c r="AS65" s="263">
        <f t="shared" si="80"/>
        <v>140493.00833333333</v>
      </c>
      <c r="AT65" s="263">
        <f t="shared" si="80"/>
        <v>140493.00833333333</v>
      </c>
      <c r="AU65" s="263">
        <f t="shared" si="80"/>
        <v>140493.00833333333</v>
      </c>
      <c r="AV65" s="263">
        <f t="shared" si="80"/>
        <v>140493.00833333333</v>
      </c>
      <c r="AW65" s="263">
        <f t="shared" si="80"/>
        <v>140493.00833333333</v>
      </c>
      <c r="AX65" s="263">
        <f t="shared" si="80"/>
        <v>140493.00833333333</v>
      </c>
      <c r="AY65" s="263">
        <f t="shared" si="80"/>
        <v>12402.8685</v>
      </c>
      <c r="AZ65" s="263">
        <f t="shared" si="80"/>
        <v>12402.8685</v>
      </c>
      <c r="BA65" s="263">
        <f t="shared" si="80"/>
        <v>12402.8685</v>
      </c>
      <c r="BB65" s="263">
        <f t="shared" si="80"/>
        <v>12402.8685</v>
      </c>
      <c r="BC65" s="263">
        <f t="shared" si="80"/>
        <v>12402.8685</v>
      </c>
      <c r="BD65" s="263">
        <f t="shared" si="80"/>
        <v>12402.8685</v>
      </c>
      <c r="BE65" s="263">
        <f t="shared" si="80"/>
        <v>12402.8685</v>
      </c>
      <c r="BF65" s="263">
        <f t="shared" si="80"/>
        <v>12402.8685</v>
      </c>
      <c r="BG65" s="263">
        <f t="shared" si="80"/>
        <v>12402.8685</v>
      </c>
      <c r="BH65" s="263">
        <f t="shared" si="80"/>
        <v>12402.8685</v>
      </c>
      <c r="BI65" s="263">
        <f t="shared" si="80"/>
        <v>12402.8685</v>
      </c>
      <c r="BJ65" s="263">
        <f t="shared" si="80"/>
        <v>330027.86849999998</v>
      </c>
      <c r="BK65" s="263">
        <f t="shared" si="80"/>
        <v>513609.25920333335</v>
      </c>
      <c r="BL65" s="263">
        <f t="shared" si="80"/>
        <v>513609.25920333335</v>
      </c>
      <c r="BM65" s="263">
        <f t="shared" si="80"/>
        <v>195984.25920333335</v>
      </c>
      <c r="BN65" s="263">
        <f t="shared" si="80"/>
        <v>12650.925870000001</v>
      </c>
      <c r="BO65" s="263">
        <f t="shared" ref="BO65:CT65" si="81">BO63+BO58</f>
        <v>12650.925870000001</v>
      </c>
      <c r="BP65" s="263">
        <f t="shared" si="81"/>
        <v>12650.925870000001</v>
      </c>
      <c r="BQ65" s="263">
        <f t="shared" si="81"/>
        <v>12650.925870000001</v>
      </c>
      <c r="BR65" s="263">
        <f t="shared" si="81"/>
        <v>12650.925870000001</v>
      </c>
      <c r="BS65" s="263">
        <f t="shared" si="81"/>
        <v>12650.925870000001</v>
      </c>
      <c r="BT65" s="263">
        <f t="shared" si="81"/>
        <v>12650.925870000001</v>
      </c>
      <c r="BU65" s="263">
        <f t="shared" si="81"/>
        <v>12650.925870000001</v>
      </c>
      <c r="BV65" s="263">
        <f t="shared" si="81"/>
        <v>12650.925870000001</v>
      </c>
      <c r="BW65" s="263">
        <f t="shared" si="81"/>
        <v>12903.944387400001</v>
      </c>
      <c r="BX65" s="263">
        <f t="shared" si="81"/>
        <v>12903.944387400001</v>
      </c>
      <c r="BY65" s="263">
        <f t="shared" si="81"/>
        <v>12903.944387400001</v>
      </c>
      <c r="BZ65" s="263">
        <f t="shared" si="81"/>
        <v>12903.944387400001</v>
      </c>
      <c r="CA65" s="263">
        <f t="shared" si="81"/>
        <v>12903.944387400001</v>
      </c>
      <c r="CB65" s="263">
        <f t="shared" si="81"/>
        <v>12903.944387400001</v>
      </c>
      <c r="CC65" s="263">
        <f t="shared" si="81"/>
        <v>12903.944387400001</v>
      </c>
      <c r="CD65" s="263">
        <f t="shared" si="81"/>
        <v>12903.944387400001</v>
      </c>
      <c r="CE65" s="263">
        <f t="shared" si="81"/>
        <v>12903.944387400001</v>
      </c>
      <c r="CF65" s="263">
        <f t="shared" si="81"/>
        <v>12903.944387400001</v>
      </c>
      <c r="CG65" s="263">
        <f t="shared" si="81"/>
        <v>12903.944387400001</v>
      </c>
      <c r="CH65" s="263">
        <f t="shared" si="81"/>
        <v>12903.944387400001</v>
      </c>
      <c r="CI65" s="263">
        <f t="shared" si="81"/>
        <v>13162.023275147998</v>
      </c>
      <c r="CJ65" s="263">
        <f t="shared" si="81"/>
        <v>13162.023275147998</v>
      </c>
      <c r="CK65" s="263">
        <f t="shared" si="81"/>
        <v>13162.023275147998</v>
      </c>
      <c r="CL65" s="263">
        <f t="shared" si="81"/>
        <v>13162.023275147998</v>
      </c>
      <c r="CM65" s="263">
        <f t="shared" si="81"/>
        <v>13162.023275147998</v>
      </c>
      <c r="CN65" s="263">
        <f t="shared" si="81"/>
        <v>13162.023275147998</v>
      </c>
      <c r="CO65" s="263">
        <f t="shared" si="81"/>
        <v>13162.023275147998</v>
      </c>
      <c r="CP65" s="263">
        <f t="shared" si="81"/>
        <v>13162.023275147998</v>
      </c>
      <c r="CQ65" s="263">
        <f t="shared" si="81"/>
        <v>13162.023275147998</v>
      </c>
      <c r="CR65" s="263">
        <f t="shared" si="81"/>
        <v>13162.023275147998</v>
      </c>
      <c r="CS65" s="263">
        <f t="shared" si="81"/>
        <v>13162.023275147998</v>
      </c>
      <c r="CT65" s="263">
        <f t="shared" si="81"/>
        <v>13162.023275147998</v>
      </c>
      <c r="CU65" s="263">
        <f t="shared" ref="CU65:ED65" si="82">CU63+CU58</f>
        <v>13425.26374065096</v>
      </c>
      <c r="CV65" s="263">
        <f t="shared" si="82"/>
        <v>13425.26374065096</v>
      </c>
      <c r="CW65" s="263">
        <f t="shared" si="82"/>
        <v>13425.26374065096</v>
      </c>
      <c r="CX65" s="263">
        <f t="shared" si="82"/>
        <v>13425.26374065096</v>
      </c>
      <c r="CY65" s="263">
        <f t="shared" si="82"/>
        <v>13425.26374065096</v>
      </c>
      <c r="CZ65" s="263">
        <f t="shared" si="82"/>
        <v>13425.26374065096</v>
      </c>
      <c r="DA65" s="263">
        <f t="shared" si="82"/>
        <v>13425.26374065096</v>
      </c>
      <c r="DB65" s="263">
        <f t="shared" si="82"/>
        <v>13425.26374065096</v>
      </c>
      <c r="DC65" s="263">
        <f t="shared" si="82"/>
        <v>13425.26374065096</v>
      </c>
      <c r="DD65" s="263">
        <f t="shared" si="82"/>
        <v>13425.26374065096</v>
      </c>
      <c r="DE65" s="263">
        <f t="shared" si="82"/>
        <v>13425.26374065096</v>
      </c>
      <c r="DF65" s="263">
        <f t="shared" si="82"/>
        <v>13425.26374065096</v>
      </c>
      <c r="DG65" s="263">
        <f t="shared" si="82"/>
        <v>13693.769015463979</v>
      </c>
      <c r="DH65" s="263">
        <f t="shared" si="82"/>
        <v>13693.769015463979</v>
      </c>
      <c r="DI65" s="263">
        <f t="shared" si="82"/>
        <v>13693.769015463979</v>
      </c>
      <c r="DJ65" s="263">
        <f t="shared" si="82"/>
        <v>13693.769015463979</v>
      </c>
      <c r="DK65" s="263">
        <f t="shared" si="82"/>
        <v>13693.769015463979</v>
      </c>
      <c r="DL65" s="263">
        <f t="shared" si="82"/>
        <v>13693.769015463979</v>
      </c>
      <c r="DM65" s="263">
        <f t="shared" si="82"/>
        <v>13693.769015463979</v>
      </c>
      <c r="DN65" s="263">
        <f t="shared" si="82"/>
        <v>13693.769015463979</v>
      </c>
      <c r="DO65" s="263">
        <f t="shared" si="82"/>
        <v>13693.769015463979</v>
      </c>
      <c r="DP65" s="263">
        <f t="shared" si="82"/>
        <v>13693.769015463979</v>
      </c>
      <c r="DQ65" s="263">
        <f t="shared" si="82"/>
        <v>13693.769015463979</v>
      </c>
      <c r="DR65" s="263">
        <f t="shared" si="82"/>
        <v>13693.769015463979</v>
      </c>
      <c r="DS65" s="263">
        <f t="shared" si="82"/>
        <v>13967.644395773259</v>
      </c>
      <c r="DT65" s="263">
        <f t="shared" si="82"/>
        <v>13967.644395773259</v>
      </c>
      <c r="DU65" s="263">
        <f t="shared" si="82"/>
        <v>13967.644395773259</v>
      </c>
      <c r="DV65" s="263">
        <f t="shared" si="82"/>
        <v>13967.644395773259</v>
      </c>
      <c r="DW65" s="263">
        <f t="shared" si="82"/>
        <v>13967.644395773259</v>
      </c>
      <c r="DX65" s="263">
        <f t="shared" si="82"/>
        <v>13967.644395773259</v>
      </c>
      <c r="DY65" s="263">
        <f t="shared" si="82"/>
        <v>13967.644395773259</v>
      </c>
      <c r="DZ65" s="263">
        <f t="shared" si="82"/>
        <v>13967.644395773259</v>
      </c>
      <c r="EA65" s="263">
        <f t="shared" si="82"/>
        <v>13967.644395773259</v>
      </c>
      <c r="EB65" s="263">
        <f t="shared" si="82"/>
        <v>13967.644395773259</v>
      </c>
      <c r="EC65" s="263">
        <f t="shared" si="82"/>
        <v>13967.644395773259</v>
      </c>
      <c r="ED65" s="263">
        <f t="shared" si="82"/>
        <v>13967.644395773259</v>
      </c>
    </row>
    <row r="66" spans="1:134" ht="19.149999999999999" customHeight="1" x14ac:dyDescent="0.4">
      <c r="A66" s="264"/>
      <c r="B66" s="264"/>
      <c r="C66" s="266"/>
      <c r="D66" s="266"/>
      <c r="E66" s="266"/>
      <c r="F66" s="266"/>
      <c r="G66" s="266"/>
      <c r="H66" s="266"/>
      <c r="I66" s="266"/>
      <c r="J66" s="266"/>
      <c r="K66" s="266"/>
      <c r="L66" s="266"/>
      <c r="M66" s="266"/>
      <c r="N66" s="266"/>
      <c r="O66" s="266"/>
      <c r="P66" s="266"/>
      <c r="Q66" s="266"/>
      <c r="R66" s="266"/>
      <c r="S66" s="266"/>
      <c r="T66" s="266"/>
      <c r="U66" s="266"/>
      <c r="V66" s="266"/>
      <c r="W66" s="266"/>
      <c r="X66" s="266"/>
      <c r="Y66" s="266"/>
      <c r="Z66" s="266"/>
      <c r="AA66" s="266"/>
      <c r="AB66" s="266"/>
      <c r="AC66" s="266"/>
      <c r="AD66" s="266"/>
      <c r="AE66" s="266"/>
      <c r="AF66" s="266"/>
      <c r="AG66" s="266"/>
      <c r="AH66" s="266"/>
      <c r="AI66" s="266"/>
      <c r="AJ66" s="266"/>
      <c r="AK66" s="266"/>
      <c r="AL66" s="266"/>
      <c r="AM66" s="266"/>
      <c r="AN66" s="266"/>
      <c r="AO66" s="266"/>
      <c r="AP66" s="266"/>
      <c r="AQ66" s="266"/>
      <c r="AR66" s="266"/>
      <c r="AS66" s="266"/>
      <c r="AT66" s="266"/>
      <c r="AU66" s="266"/>
      <c r="AV66" s="266"/>
      <c r="AW66" s="266"/>
      <c r="AX66" s="266"/>
      <c r="AY66" s="266"/>
      <c r="AZ66" s="266"/>
      <c r="BA66" s="266"/>
      <c r="BB66" s="266"/>
      <c r="BC66" s="266"/>
      <c r="BD66" s="266"/>
      <c r="BE66" s="266"/>
      <c r="BF66" s="266"/>
      <c r="BG66" s="266"/>
      <c r="BH66" s="266"/>
      <c r="BI66" s="266"/>
      <c r="BJ66" s="266"/>
      <c r="BK66" s="266"/>
      <c r="BL66" s="266"/>
      <c r="BM66" s="266"/>
      <c r="BN66" s="266"/>
      <c r="BO66" s="266"/>
      <c r="BP66" s="266"/>
      <c r="BQ66" s="266"/>
      <c r="BR66" s="266"/>
      <c r="BS66" s="266"/>
      <c r="BT66" s="266"/>
      <c r="BU66" s="266"/>
      <c r="BV66" s="266"/>
      <c r="BW66" s="266"/>
      <c r="BX66" s="266"/>
      <c r="BY66" s="266"/>
      <c r="BZ66" s="266"/>
      <c r="CA66" s="266"/>
      <c r="CB66" s="266"/>
      <c r="CC66" s="266"/>
      <c r="CD66" s="266"/>
      <c r="CE66" s="266"/>
      <c r="CF66" s="266"/>
      <c r="CG66" s="266"/>
      <c r="CH66" s="266"/>
      <c r="CI66" s="266"/>
      <c r="CJ66" s="266"/>
      <c r="CK66" s="266"/>
      <c r="CL66" s="266"/>
      <c r="CM66" s="266"/>
      <c r="CN66" s="266"/>
      <c r="CO66" s="266"/>
      <c r="CP66" s="266"/>
      <c r="CQ66" s="266"/>
      <c r="CR66" s="266"/>
      <c r="CS66" s="266"/>
      <c r="CT66" s="266"/>
      <c r="CU66" s="266"/>
      <c r="CV66" s="266"/>
      <c r="CW66" s="266"/>
      <c r="CX66" s="266"/>
      <c r="CY66" s="266"/>
      <c r="CZ66" s="266"/>
      <c r="DA66" s="266"/>
      <c r="DB66" s="266"/>
      <c r="DC66" s="266"/>
      <c r="DD66" s="266"/>
      <c r="DE66" s="266"/>
      <c r="DF66" s="266"/>
      <c r="DG66" s="266"/>
      <c r="DH66" s="266"/>
      <c r="DI66" s="266"/>
      <c r="DJ66" s="266"/>
      <c r="DK66" s="266"/>
      <c r="DL66" s="266"/>
      <c r="DM66" s="266"/>
      <c r="DN66" s="266"/>
      <c r="DO66" s="266"/>
      <c r="DP66" s="266"/>
      <c r="DQ66" s="266"/>
      <c r="DR66" s="266"/>
      <c r="DS66" s="266"/>
      <c r="DT66" s="266"/>
      <c r="DU66" s="266"/>
      <c r="DV66" s="266"/>
      <c r="DW66" s="266"/>
      <c r="DX66" s="266"/>
      <c r="DY66" s="266"/>
      <c r="DZ66" s="266"/>
      <c r="EA66" s="266"/>
      <c r="EB66" s="266"/>
      <c r="EC66" s="266"/>
      <c r="ED66" s="266"/>
    </row>
    <row r="67" spans="1:134" ht="19.149999999999999" customHeight="1" x14ac:dyDescent="0.4">
      <c r="A67" s="268" t="s">
        <v>185</v>
      </c>
      <c r="B67" s="264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6"/>
      <c r="Q67" s="266"/>
      <c r="R67" s="266"/>
      <c r="S67" s="266"/>
      <c r="T67" s="266"/>
      <c r="U67" s="266"/>
      <c r="V67" s="266"/>
      <c r="W67" s="266"/>
      <c r="X67" s="266"/>
      <c r="Y67" s="266"/>
      <c r="Z67" s="266"/>
      <c r="AA67" s="266"/>
      <c r="AB67" s="266"/>
      <c r="AC67" s="266"/>
      <c r="AD67" s="266"/>
      <c r="AE67" s="266"/>
      <c r="AF67" s="266"/>
      <c r="AG67" s="266"/>
      <c r="AH67" s="266"/>
      <c r="AI67" s="266"/>
      <c r="AJ67" s="266"/>
      <c r="AK67" s="266"/>
      <c r="AL67" s="266"/>
      <c r="AM67" s="266"/>
      <c r="AN67" s="266"/>
      <c r="AO67" s="266"/>
      <c r="AP67" s="266"/>
      <c r="AQ67" s="266"/>
      <c r="AR67" s="266"/>
      <c r="AS67" s="266"/>
      <c r="AT67" s="266"/>
      <c r="AU67" s="266"/>
      <c r="AV67" s="266"/>
      <c r="AW67" s="266"/>
      <c r="AX67" s="266"/>
      <c r="AY67" s="266"/>
      <c r="AZ67" s="266"/>
      <c r="BA67" s="266"/>
      <c r="BB67" s="266"/>
      <c r="BC67" s="266"/>
      <c r="BD67" s="266"/>
      <c r="BE67" s="266"/>
      <c r="BF67" s="266"/>
      <c r="BG67" s="266"/>
      <c r="BH67" s="266"/>
      <c r="BI67" s="266"/>
      <c r="BJ67" s="266"/>
      <c r="BK67" s="266"/>
      <c r="BL67" s="266"/>
      <c r="BM67" s="266"/>
      <c r="BN67" s="266"/>
      <c r="BO67" s="266"/>
      <c r="BP67" s="266"/>
      <c r="BQ67" s="266"/>
      <c r="BR67" s="266"/>
      <c r="BS67" s="266"/>
      <c r="BT67" s="266"/>
      <c r="BU67" s="266"/>
      <c r="BV67" s="266"/>
      <c r="BW67" s="266"/>
      <c r="BX67" s="266"/>
      <c r="BY67" s="266"/>
      <c r="BZ67" s="266"/>
      <c r="CA67" s="266"/>
      <c r="CB67" s="266"/>
      <c r="CC67" s="266"/>
      <c r="CD67" s="266"/>
      <c r="CE67" s="266"/>
      <c r="CF67" s="266"/>
      <c r="CG67" s="266"/>
      <c r="CH67" s="266"/>
      <c r="CI67" s="266"/>
      <c r="CJ67" s="266"/>
      <c r="CK67" s="266"/>
      <c r="CL67" s="266"/>
      <c r="CM67" s="266"/>
      <c r="CN67" s="266"/>
      <c r="CO67" s="266"/>
      <c r="CP67" s="266"/>
      <c r="CQ67" s="266"/>
      <c r="CR67" s="266"/>
      <c r="CS67" s="266"/>
      <c r="CT67" s="266"/>
      <c r="CU67" s="266"/>
      <c r="CV67" s="266"/>
      <c r="CW67" s="266"/>
      <c r="CX67" s="266"/>
      <c r="CY67" s="266"/>
      <c r="CZ67" s="266"/>
      <c r="DA67" s="266"/>
      <c r="DB67" s="266"/>
      <c r="DC67" s="266"/>
      <c r="DD67" s="266"/>
      <c r="DE67" s="266"/>
      <c r="DF67" s="266"/>
      <c r="DG67" s="266"/>
      <c r="DH67" s="266"/>
      <c r="DI67" s="266"/>
      <c r="DJ67" s="266"/>
      <c r="DK67" s="266"/>
      <c r="DL67" s="266"/>
      <c r="DM67" s="266"/>
      <c r="DN67" s="266"/>
      <c r="DO67" s="266"/>
      <c r="DP67" s="266"/>
      <c r="DQ67" s="266"/>
      <c r="DR67" s="266"/>
      <c r="DS67" s="266"/>
      <c r="DT67" s="266"/>
      <c r="DU67" s="266"/>
      <c r="DV67" s="266"/>
      <c r="DW67" s="266"/>
      <c r="DX67" s="266"/>
      <c r="DY67" s="266"/>
      <c r="DZ67" s="266"/>
      <c r="EA67" s="266"/>
      <c r="EB67" s="266"/>
      <c r="EC67" s="266"/>
      <c r="ED67" s="266"/>
    </row>
    <row r="68" spans="1:134" ht="19.149999999999999" customHeight="1" x14ac:dyDescent="0.4">
      <c r="A68" s="265" t="s">
        <v>63</v>
      </c>
      <c r="B68" s="264"/>
      <c r="C68" s="266">
        <f>IF(AND(C$10&gt;='Torrance Inputs'!$H44,C$10&lt;'Torrance Inputs'!$I44),'Torrance Inputs'!$I36/DATEDIF('Torrance Inputs'!$H44,'Torrance Inputs'!$I44,"m"),0)</f>
        <v>0</v>
      </c>
      <c r="D68" s="266">
        <f>IF(AND(D$10&gt;='Torrance Inputs'!$H44,D$10&lt;'Torrance Inputs'!$I44),'Torrance Inputs'!$I36/DATEDIF('Torrance Inputs'!$H44,'Torrance Inputs'!$I44,"m"),0)</f>
        <v>0</v>
      </c>
      <c r="E68" s="266">
        <f>IF(AND(E$10&gt;='Torrance Inputs'!$H44,E$10&lt;'Torrance Inputs'!$I44),'Torrance Inputs'!$I36/DATEDIF('Torrance Inputs'!$H44,'Torrance Inputs'!$I44,"m"),0)</f>
        <v>0</v>
      </c>
      <c r="F68" s="266">
        <f>IF(AND(F$10&gt;='Torrance Inputs'!$H44,F$10&lt;'Torrance Inputs'!$I44),'Torrance Inputs'!$I36/DATEDIF('Torrance Inputs'!$H44,'Torrance Inputs'!$I44,"m"),0)</f>
        <v>0</v>
      </c>
      <c r="G68" s="266">
        <f>IF(AND(G$10&gt;='Torrance Inputs'!$H44,G$10&lt;'Torrance Inputs'!$I44),'Torrance Inputs'!$I36/DATEDIF('Torrance Inputs'!$H44,'Torrance Inputs'!$I44,"m"),0)</f>
        <v>0</v>
      </c>
      <c r="H68" s="266">
        <f>IF(AND(H$10&gt;='Torrance Inputs'!$H44,H$10&lt;'Torrance Inputs'!$I44),'Torrance Inputs'!$I36/DATEDIF('Torrance Inputs'!$H44,'Torrance Inputs'!$I44,"m"),0)</f>
        <v>0</v>
      </c>
      <c r="I68" s="266">
        <f>IF(AND(I$10&gt;='Torrance Inputs'!$H44,I$10&lt;'Torrance Inputs'!$I44),'Torrance Inputs'!$I36/DATEDIF('Torrance Inputs'!$H44,'Torrance Inputs'!$I44,"m"),0)</f>
        <v>0</v>
      </c>
      <c r="J68" s="266">
        <f>IF(AND(J$10&gt;='Torrance Inputs'!$H44,J$10&lt;'Torrance Inputs'!$I44),'Torrance Inputs'!$I36/DATEDIF('Torrance Inputs'!$H44,'Torrance Inputs'!$I44,"m"),0)</f>
        <v>0</v>
      </c>
      <c r="K68" s="266">
        <f>IF(AND(K$10&gt;='Torrance Inputs'!$H44,K$10&lt;'Torrance Inputs'!$I44),'Torrance Inputs'!$I36/DATEDIF('Torrance Inputs'!$H44,'Torrance Inputs'!$I44,"m"),0)</f>
        <v>0</v>
      </c>
      <c r="L68" s="266">
        <f>IF(AND(L$10&gt;='Torrance Inputs'!$H44,L$10&lt;'Torrance Inputs'!$I44),'Torrance Inputs'!$I36/DATEDIF('Torrance Inputs'!$H44,'Torrance Inputs'!$I44,"m"),0)</f>
        <v>0</v>
      </c>
      <c r="M68" s="266">
        <f>IF(AND(M$10&gt;='Torrance Inputs'!$H44,M$10&lt;'Torrance Inputs'!$I44),'Torrance Inputs'!$I36/DATEDIF('Torrance Inputs'!$H44,'Torrance Inputs'!$I44,"m"),0)</f>
        <v>0</v>
      </c>
      <c r="N68" s="266">
        <f>IF(AND(N$10&gt;='Torrance Inputs'!$H44,N$10&lt;'Torrance Inputs'!$I44),'Torrance Inputs'!$I36/DATEDIF('Torrance Inputs'!$H44,'Torrance Inputs'!$I44,"m"),0)</f>
        <v>0</v>
      </c>
      <c r="O68" s="266">
        <f>IF(AND(O$10&gt;='Torrance Inputs'!$H44,O$10&lt;'Torrance Inputs'!$I44),'Torrance Inputs'!$I36/DATEDIF('Torrance Inputs'!$H44,'Torrance Inputs'!$I44,"m"),0)</f>
        <v>0</v>
      </c>
      <c r="P68" s="266">
        <f>IF(AND(P$10&gt;='Torrance Inputs'!$H44,P$10&lt;'Torrance Inputs'!$I44),'Torrance Inputs'!$I36/DATEDIF('Torrance Inputs'!$H44,'Torrance Inputs'!$I44,"m"),0)</f>
        <v>0</v>
      </c>
      <c r="Q68" s="266">
        <f>IF(AND(Q$10&gt;='Torrance Inputs'!$H44,Q$10&lt;'Torrance Inputs'!$I44),'Torrance Inputs'!$I36/DATEDIF('Torrance Inputs'!$H44,'Torrance Inputs'!$I44,"m"),0)</f>
        <v>0</v>
      </c>
      <c r="R68" s="266">
        <f>IF(AND(R$10&gt;='Torrance Inputs'!$H44,R$10&lt;'Torrance Inputs'!$I44),'Torrance Inputs'!$I36/DATEDIF('Torrance Inputs'!$H44,'Torrance Inputs'!$I44,"m"),0)</f>
        <v>0</v>
      </c>
      <c r="S68" s="266">
        <f>IF(AND(S$10&gt;='Torrance Inputs'!$H44,S$10&lt;'Torrance Inputs'!$I44),'Torrance Inputs'!$I36/DATEDIF('Torrance Inputs'!$H44,'Torrance Inputs'!$I44,"m"),0)</f>
        <v>0</v>
      </c>
      <c r="T68" s="266">
        <f>IF(AND(T$10&gt;='Torrance Inputs'!$H44,T$10&lt;'Torrance Inputs'!$I44),'Torrance Inputs'!$I36/DATEDIF('Torrance Inputs'!$H44,'Torrance Inputs'!$I44,"m"),0)</f>
        <v>0</v>
      </c>
      <c r="U68" s="266">
        <f>IF(AND(U$10&gt;='Torrance Inputs'!$H44,U$10&lt;'Torrance Inputs'!$I44),'Torrance Inputs'!$I36/DATEDIF('Torrance Inputs'!$H44,'Torrance Inputs'!$I44,"m"),0)</f>
        <v>0</v>
      </c>
      <c r="V68" s="266">
        <f>IF(AND(V$10&gt;='Torrance Inputs'!$H44,V$10&lt;'Torrance Inputs'!$I44),'Torrance Inputs'!$I36/DATEDIF('Torrance Inputs'!$H44,'Torrance Inputs'!$I44,"m"),0)</f>
        <v>0</v>
      </c>
      <c r="W68" s="266">
        <f>IF(AND(W$10&gt;='Torrance Inputs'!$H44,W$10&lt;'Torrance Inputs'!$I44),'Torrance Inputs'!$I36/DATEDIF('Torrance Inputs'!$H44,'Torrance Inputs'!$I44,"m"),0)</f>
        <v>0</v>
      </c>
      <c r="X68" s="266">
        <f>IF(AND(X$10&gt;='Torrance Inputs'!$H44,X$10&lt;'Torrance Inputs'!$I44),'Torrance Inputs'!$I36/DATEDIF('Torrance Inputs'!$H44,'Torrance Inputs'!$I44,"m"),0)</f>
        <v>0</v>
      </c>
      <c r="Y68" s="266">
        <f>IF(AND(Y$10&gt;='Torrance Inputs'!$H44,Y$10&lt;'Torrance Inputs'!$I44),'Torrance Inputs'!$I36/DATEDIF('Torrance Inputs'!$H44,'Torrance Inputs'!$I44,"m"),0)</f>
        <v>0</v>
      </c>
      <c r="Z68" s="266">
        <f>IF(AND(Z$10&gt;='Torrance Inputs'!$H44,Z$10&lt;'Torrance Inputs'!$I44),'Torrance Inputs'!$I36/DATEDIF('Torrance Inputs'!$H44,'Torrance Inputs'!$I44,"m"),0)</f>
        <v>0</v>
      </c>
      <c r="AA68" s="266">
        <f>IF(AND(AA$10&gt;='Torrance Inputs'!$H44,AA$10&lt;'Torrance Inputs'!$I44),'Torrance Inputs'!$I36/DATEDIF('Torrance Inputs'!$H44,'Torrance Inputs'!$I44,"m"),0)</f>
        <v>0</v>
      </c>
      <c r="AB68" s="266">
        <f>IF(AND(AB$10&gt;='Torrance Inputs'!$H44,AB$10&lt;'Torrance Inputs'!$I44),'Torrance Inputs'!$I36/DATEDIF('Torrance Inputs'!$H44,'Torrance Inputs'!$I44,"m"),0)</f>
        <v>0</v>
      </c>
      <c r="AC68" s="266">
        <f>IF(AND(AC$10&gt;='Torrance Inputs'!$H44,AC$10&lt;'Torrance Inputs'!$I44),'Torrance Inputs'!$I36/DATEDIF('Torrance Inputs'!$H44,'Torrance Inputs'!$I44,"m"),0)</f>
        <v>0</v>
      </c>
      <c r="AD68" s="266">
        <f>IF(AND(AD$10&gt;='Torrance Inputs'!$H44,AD$10&lt;'Torrance Inputs'!$I44),'Torrance Inputs'!$I36/DATEDIF('Torrance Inputs'!$H44,'Torrance Inputs'!$I44,"m"),0)</f>
        <v>0</v>
      </c>
      <c r="AE68" s="266">
        <f>IF(AND(AE$10&gt;='Torrance Inputs'!$H44,AE$10&lt;'Torrance Inputs'!$I44),'Torrance Inputs'!$I36/DATEDIF('Torrance Inputs'!$H44,'Torrance Inputs'!$I44,"m"),0)</f>
        <v>0</v>
      </c>
      <c r="AF68" s="266">
        <f>IF(AND(AF$10&gt;='Torrance Inputs'!$H44,AF$10&lt;'Torrance Inputs'!$I44),'Torrance Inputs'!$I36/DATEDIF('Torrance Inputs'!$H44,'Torrance Inputs'!$I44,"m"),0)</f>
        <v>0</v>
      </c>
      <c r="AG68" s="266">
        <f>IF(AND(AG$10&gt;='Torrance Inputs'!$H44,AG$10&lt;'Torrance Inputs'!$I44),'Torrance Inputs'!$I36/DATEDIF('Torrance Inputs'!$H44,'Torrance Inputs'!$I44,"m"),0)</f>
        <v>0</v>
      </c>
      <c r="AH68" s="266">
        <f>IF(AND(AH$10&gt;='Torrance Inputs'!$H44,AH$10&lt;'Torrance Inputs'!$I44),'Torrance Inputs'!$I36/DATEDIF('Torrance Inputs'!$H44,'Torrance Inputs'!$I44,"m"),0)</f>
        <v>0</v>
      </c>
      <c r="AI68" s="266">
        <f>IF(AND(AI$10&gt;='Torrance Inputs'!$H44,AI$10&lt;'Torrance Inputs'!$I44),'Torrance Inputs'!$I36/DATEDIF('Torrance Inputs'!$H44,'Torrance Inputs'!$I44,"m"),0)</f>
        <v>0</v>
      </c>
      <c r="AJ68" s="266">
        <f>IF(AND(AJ$10&gt;='Torrance Inputs'!$H44,AJ$10&lt;'Torrance Inputs'!$I44),'Torrance Inputs'!$I36/DATEDIF('Torrance Inputs'!$H44,'Torrance Inputs'!$I44,"m"),0)</f>
        <v>0</v>
      </c>
      <c r="AK68" s="266">
        <f>IF(AND(AK$10&gt;='Torrance Inputs'!$H44,AK$10&lt;'Torrance Inputs'!$I44),'Torrance Inputs'!$I36/DATEDIF('Torrance Inputs'!$H44,'Torrance Inputs'!$I44,"m"),0)</f>
        <v>0</v>
      </c>
      <c r="AL68" s="266">
        <f>IF(AND(AL$10&gt;='Torrance Inputs'!$H44,AL$10&lt;'Torrance Inputs'!$I44),'Torrance Inputs'!$I36/DATEDIF('Torrance Inputs'!$H44,'Torrance Inputs'!$I44,"m"),0)</f>
        <v>0</v>
      </c>
      <c r="AM68" s="266">
        <f>IF(AND(AM$10&gt;='Torrance Inputs'!$H44,AM$10&lt;'Torrance Inputs'!$I44),'Torrance Inputs'!$I36/DATEDIF('Torrance Inputs'!$H44,'Torrance Inputs'!$I44,"m"),0)</f>
        <v>0</v>
      </c>
      <c r="AN68" s="266">
        <f>IF(AND(AN$10&gt;='Torrance Inputs'!$H44,AN$10&lt;'Torrance Inputs'!$I44),'Torrance Inputs'!$I36/DATEDIF('Torrance Inputs'!$H44,'Torrance Inputs'!$I44,"m"),0)</f>
        <v>0</v>
      </c>
      <c r="AO68" s="266">
        <f>IF(AND(AO$10&gt;='Torrance Inputs'!$H44,AO$10&lt;'Torrance Inputs'!$I44),'Torrance Inputs'!$I36/DATEDIF('Torrance Inputs'!$H44,'Torrance Inputs'!$I44,"m"),0)</f>
        <v>0</v>
      </c>
      <c r="AP68" s="266">
        <f>IF(AND(AP$10&gt;='Torrance Inputs'!$H44,AP$10&lt;'Torrance Inputs'!$I44),'Torrance Inputs'!$I36/DATEDIF('Torrance Inputs'!$H44,'Torrance Inputs'!$I44,"m"),0)</f>
        <v>0</v>
      </c>
      <c r="AQ68" s="266">
        <f>IF(AND(AQ$10&gt;='Torrance Inputs'!$H44,AQ$10&lt;'Torrance Inputs'!$I44),'Torrance Inputs'!$I36/DATEDIF('Torrance Inputs'!$H44,'Torrance Inputs'!$I44,"m"),0)</f>
        <v>0</v>
      </c>
      <c r="AR68" s="266">
        <f>IF(AND(AR$10&gt;='Torrance Inputs'!$H44,AR$10&lt;'Torrance Inputs'!$I44),'Torrance Inputs'!$I36/DATEDIF('Torrance Inputs'!$H44,'Torrance Inputs'!$I44,"m"),0)</f>
        <v>0</v>
      </c>
      <c r="AS68" s="266">
        <f>IF(AND(AS$10&gt;='Torrance Inputs'!$H44,AS$10&lt;'Torrance Inputs'!$I44),'Torrance Inputs'!$I36/DATEDIF('Torrance Inputs'!$H44,'Torrance Inputs'!$I44,"m"),0)</f>
        <v>0</v>
      </c>
      <c r="AT68" s="266">
        <f>IF(AND(AT$10&gt;='Torrance Inputs'!$H44,AT$10&lt;'Torrance Inputs'!$I44),'Torrance Inputs'!$I36/DATEDIF('Torrance Inputs'!$H44,'Torrance Inputs'!$I44,"m"),0)</f>
        <v>0</v>
      </c>
      <c r="AU68" s="266">
        <f>IF(AND(AU$10&gt;='Torrance Inputs'!$H44,AU$10&lt;'Torrance Inputs'!$I44),'Torrance Inputs'!$I36/DATEDIF('Torrance Inputs'!$H44,'Torrance Inputs'!$I44,"m"),0)</f>
        <v>0</v>
      </c>
      <c r="AV68" s="266">
        <f>IF(AND(AV$10&gt;='Torrance Inputs'!$H44,AV$10&lt;'Torrance Inputs'!$I44),'Torrance Inputs'!$I36/DATEDIF('Torrance Inputs'!$H44,'Torrance Inputs'!$I44,"m"),0)</f>
        <v>0</v>
      </c>
      <c r="AW68" s="266">
        <f>IF(AND(AW$10&gt;='Torrance Inputs'!$H44,AW$10&lt;'Torrance Inputs'!$I44),'Torrance Inputs'!$I36/DATEDIF('Torrance Inputs'!$H44,'Torrance Inputs'!$I44,"m"),0)</f>
        <v>0</v>
      </c>
      <c r="AX68" s="266">
        <f>IF(AND(AX$10&gt;='Torrance Inputs'!$H44,AX$10&lt;'Torrance Inputs'!$I44),'Torrance Inputs'!$I36/DATEDIF('Torrance Inputs'!$H44,'Torrance Inputs'!$I44,"m"),0)</f>
        <v>0</v>
      </c>
      <c r="AY68" s="266">
        <f>IF(AND(AY$10&gt;='Torrance Inputs'!$H44,AY$10&lt;'Torrance Inputs'!$I44),'Torrance Inputs'!$I36/DATEDIF('Torrance Inputs'!$H44,'Torrance Inputs'!$I44,"m"),0)</f>
        <v>125000</v>
      </c>
      <c r="AZ68" s="266">
        <f>IF(AND(AZ$10&gt;='Torrance Inputs'!$H44,AZ$10&lt;'Torrance Inputs'!$I44),'Torrance Inputs'!$I36/DATEDIF('Torrance Inputs'!$H44,'Torrance Inputs'!$I44,"m"),0)</f>
        <v>125000</v>
      </c>
      <c r="BA68" s="266">
        <f>IF(AND(BA$10&gt;='Torrance Inputs'!$H44,BA$10&lt;'Torrance Inputs'!$I44),'Torrance Inputs'!$I36/DATEDIF('Torrance Inputs'!$H44,'Torrance Inputs'!$I44,"m"),0)</f>
        <v>125000</v>
      </c>
      <c r="BB68" s="266">
        <f>IF(AND(BB$10&gt;='Torrance Inputs'!$H44,BB$10&lt;'Torrance Inputs'!$I44),'Torrance Inputs'!$I36/DATEDIF('Torrance Inputs'!$H44,'Torrance Inputs'!$I44,"m"),0)</f>
        <v>125000</v>
      </c>
      <c r="BC68" s="266">
        <f>IF(AND(BC$10&gt;='Torrance Inputs'!$H44,BC$10&lt;'Torrance Inputs'!$I44),'Torrance Inputs'!$I36/DATEDIF('Torrance Inputs'!$H44,'Torrance Inputs'!$I44,"m"),0)</f>
        <v>125000</v>
      </c>
      <c r="BD68" s="266">
        <f>IF(AND(BD$10&gt;='Torrance Inputs'!$H44,BD$10&lt;'Torrance Inputs'!$I44),'Torrance Inputs'!$I36/DATEDIF('Torrance Inputs'!$H44,'Torrance Inputs'!$I44,"m"),0)</f>
        <v>125000</v>
      </c>
      <c r="BE68" s="266">
        <f>IF(AND(BE$10&gt;='Torrance Inputs'!$H44,BE$10&lt;'Torrance Inputs'!$I44),'Torrance Inputs'!$I36/DATEDIF('Torrance Inputs'!$H44,'Torrance Inputs'!$I44,"m"),0)</f>
        <v>125000</v>
      </c>
      <c r="BF68" s="266">
        <f>IF(AND(BF$10&gt;='Torrance Inputs'!$H44,BF$10&lt;'Torrance Inputs'!$I44),'Torrance Inputs'!$I36/DATEDIF('Torrance Inputs'!$H44,'Torrance Inputs'!$I44,"m"),0)</f>
        <v>125000</v>
      </c>
      <c r="BG68" s="266">
        <f>IF(AND(BG$10&gt;='Torrance Inputs'!$H44,BG$10&lt;'Torrance Inputs'!$I44),'Torrance Inputs'!$I36/DATEDIF('Torrance Inputs'!$H44,'Torrance Inputs'!$I44,"m"),0)</f>
        <v>125000</v>
      </c>
      <c r="BH68" s="266">
        <f>IF(AND(BH$10&gt;='Torrance Inputs'!$H44,BH$10&lt;'Torrance Inputs'!$I44),'Torrance Inputs'!$I36/DATEDIF('Torrance Inputs'!$H44,'Torrance Inputs'!$I44,"m"),0)</f>
        <v>125000</v>
      </c>
      <c r="BI68" s="266">
        <f>IF(AND(BI$10&gt;='Torrance Inputs'!$H44,BI$10&lt;'Torrance Inputs'!$I44),'Torrance Inputs'!$I36/DATEDIF('Torrance Inputs'!$H44,'Torrance Inputs'!$I44,"m"),0)</f>
        <v>125000</v>
      </c>
      <c r="BJ68" s="266">
        <f>IF(AND(BJ$10&gt;='Torrance Inputs'!$H44,BJ$10&lt;'Torrance Inputs'!$I44),'Torrance Inputs'!$I36/DATEDIF('Torrance Inputs'!$H44,'Torrance Inputs'!$I44,"m"),0)</f>
        <v>125000</v>
      </c>
      <c r="BK68" s="266">
        <f>IF(AND(BK$10&gt;='Torrance Inputs'!$H44,BK$10&lt;'Torrance Inputs'!$I44),'Torrance Inputs'!$I36/DATEDIF('Torrance Inputs'!$H44,'Torrance Inputs'!$I44,"m"),0)</f>
        <v>125000</v>
      </c>
      <c r="BL68" s="266">
        <f>IF(AND(BL$10&gt;='Torrance Inputs'!$H44,BL$10&lt;'Torrance Inputs'!$I44),'Torrance Inputs'!$I36/DATEDIF('Torrance Inputs'!$H44,'Torrance Inputs'!$I44,"m"),0)</f>
        <v>125000</v>
      </c>
      <c r="BM68" s="266">
        <f>IF(AND(BM$10&gt;='Torrance Inputs'!$H44,BM$10&lt;'Torrance Inputs'!$I44),'Torrance Inputs'!$I36/DATEDIF('Torrance Inputs'!$H44,'Torrance Inputs'!$I44,"m"),0)</f>
        <v>125000</v>
      </c>
      <c r="BN68" s="266">
        <f>IF(AND(BN$10&gt;='Torrance Inputs'!$H44,BN$10&lt;'Torrance Inputs'!$I44),'Torrance Inputs'!$I36/DATEDIF('Torrance Inputs'!$H44,'Torrance Inputs'!$I44,"m"),0)</f>
        <v>125000</v>
      </c>
      <c r="BO68" s="266">
        <f>IF(AND(BO$10&gt;='Torrance Inputs'!$H44,BO$10&lt;'Torrance Inputs'!$I44),'Torrance Inputs'!$I36/DATEDIF('Torrance Inputs'!$H44,'Torrance Inputs'!$I44,"m"),0)</f>
        <v>125000</v>
      </c>
      <c r="BP68" s="266">
        <f>IF(AND(BP$10&gt;='Torrance Inputs'!$H44,BP$10&lt;'Torrance Inputs'!$I44),'Torrance Inputs'!$I36/DATEDIF('Torrance Inputs'!$H44,'Torrance Inputs'!$I44,"m"),0)</f>
        <v>125000</v>
      </c>
      <c r="BQ68" s="266">
        <f>IF(AND(BQ$10&gt;='Torrance Inputs'!$H44,BQ$10&lt;'Torrance Inputs'!$I44),'Torrance Inputs'!$I36/DATEDIF('Torrance Inputs'!$H44,'Torrance Inputs'!$I44,"m"),0)</f>
        <v>125000</v>
      </c>
      <c r="BR68" s="266">
        <f>IF(AND(BR$10&gt;='Torrance Inputs'!$H44,BR$10&lt;'Torrance Inputs'!$I44),'Torrance Inputs'!$I36/DATEDIF('Torrance Inputs'!$H44,'Torrance Inputs'!$I44,"m"),0)</f>
        <v>125000</v>
      </c>
      <c r="BS68" s="266">
        <f>IF(AND(BS$10&gt;='Torrance Inputs'!$H44,BS$10&lt;'Torrance Inputs'!$I44),'Torrance Inputs'!$I36/DATEDIF('Torrance Inputs'!$H44,'Torrance Inputs'!$I44,"m"),0)</f>
        <v>125000</v>
      </c>
      <c r="BT68" s="266">
        <f>IF(AND(BT$10&gt;='Torrance Inputs'!$H44,BT$10&lt;'Torrance Inputs'!$I44),'Torrance Inputs'!$I36/DATEDIF('Torrance Inputs'!$H44,'Torrance Inputs'!$I44,"m"),0)</f>
        <v>125000</v>
      </c>
      <c r="BU68" s="266">
        <f>IF(AND(BU$10&gt;='Torrance Inputs'!$H44,BU$10&lt;'Torrance Inputs'!$I44),'Torrance Inputs'!$I36/DATEDIF('Torrance Inputs'!$H44,'Torrance Inputs'!$I44,"m"),0)</f>
        <v>125000</v>
      </c>
      <c r="BV68" s="266">
        <f>IF(AND(BV$10&gt;='Torrance Inputs'!$H44,BV$10&lt;'Torrance Inputs'!$I44),'Torrance Inputs'!$I36/DATEDIF('Torrance Inputs'!$H44,'Torrance Inputs'!$I44,"m"),0)</f>
        <v>125000</v>
      </c>
      <c r="BW68" s="266">
        <f>IF(AND(BW$10&gt;='Torrance Inputs'!$H44,BW$10&lt;'Torrance Inputs'!$I44),'Torrance Inputs'!$I36/DATEDIF('Torrance Inputs'!$H44,'Torrance Inputs'!$I44,"m"),0)</f>
        <v>0</v>
      </c>
      <c r="BX68" s="266">
        <f>IF(AND(BX$10&gt;='Torrance Inputs'!$H44,BX$10&lt;'Torrance Inputs'!$I44),'Torrance Inputs'!$I36/DATEDIF('Torrance Inputs'!$H44,'Torrance Inputs'!$I44,"m"),0)</f>
        <v>0</v>
      </c>
      <c r="BY68" s="266">
        <f>IF(AND(BY$10&gt;='Torrance Inputs'!$H44,BY$10&lt;'Torrance Inputs'!$I44),'Torrance Inputs'!$I36/DATEDIF('Torrance Inputs'!$H44,'Torrance Inputs'!$I44,"m"),0)</f>
        <v>0</v>
      </c>
      <c r="BZ68" s="266">
        <f>IF(AND(BZ$10&gt;='Torrance Inputs'!$H44,BZ$10&lt;'Torrance Inputs'!$I44),'Torrance Inputs'!$I36/DATEDIF('Torrance Inputs'!$H44,'Torrance Inputs'!$I44,"m"),0)</f>
        <v>0</v>
      </c>
      <c r="CA68" s="266">
        <f>IF(AND(CA$10&gt;='Torrance Inputs'!$H44,CA$10&lt;'Torrance Inputs'!$I44),'Torrance Inputs'!$I36/DATEDIF('Torrance Inputs'!$H44,'Torrance Inputs'!$I44,"m"),0)</f>
        <v>0</v>
      </c>
      <c r="CB68" s="266">
        <f>IF(AND(CB$10&gt;='Torrance Inputs'!$H44,CB$10&lt;'Torrance Inputs'!$I44),'Torrance Inputs'!$I36/DATEDIF('Torrance Inputs'!$H44,'Torrance Inputs'!$I44,"m"),0)</f>
        <v>0</v>
      </c>
      <c r="CC68" s="266">
        <f>IF(AND(CC$10&gt;='Torrance Inputs'!$H44,CC$10&lt;'Torrance Inputs'!$I44),'Torrance Inputs'!$I36/DATEDIF('Torrance Inputs'!$H44,'Torrance Inputs'!$I44,"m"),0)</f>
        <v>0</v>
      </c>
      <c r="CD68" s="266">
        <f>IF(AND(CD$10&gt;='Torrance Inputs'!$H44,CD$10&lt;'Torrance Inputs'!$I44),'Torrance Inputs'!$I36/DATEDIF('Torrance Inputs'!$H44,'Torrance Inputs'!$I44,"m"),0)</f>
        <v>0</v>
      </c>
      <c r="CE68" s="266">
        <f>IF(AND(CE$10&gt;='Torrance Inputs'!$H44,CE$10&lt;'Torrance Inputs'!$I44),'Torrance Inputs'!$I36/DATEDIF('Torrance Inputs'!$H44,'Torrance Inputs'!$I44,"m"),0)</f>
        <v>0</v>
      </c>
      <c r="CF68" s="266">
        <f>IF(AND(CF$10&gt;='Torrance Inputs'!$H44,CF$10&lt;'Torrance Inputs'!$I44),'Torrance Inputs'!$I36/DATEDIF('Torrance Inputs'!$H44,'Torrance Inputs'!$I44,"m"),0)</f>
        <v>0</v>
      </c>
      <c r="CG68" s="266">
        <f>IF(AND(CG$10&gt;='Torrance Inputs'!$H44,CG$10&lt;'Torrance Inputs'!$I44),'Torrance Inputs'!$I36/DATEDIF('Torrance Inputs'!$H44,'Torrance Inputs'!$I44,"m"),0)</f>
        <v>0</v>
      </c>
      <c r="CH68" s="266">
        <f>IF(AND(CH$10&gt;='Torrance Inputs'!$H44,CH$10&lt;'Torrance Inputs'!$I44),'Torrance Inputs'!$I36/DATEDIF('Torrance Inputs'!$H44,'Torrance Inputs'!$I44,"m"),0)</f>
        <v>0</v>
      </c>
      <c r="CI68" s="266">
        <f>IF(AND(CI$10&gt;='Torrance Inputs'!$H44,CI$10&lt;'Torrance Inputs'!$I44),'Torrance Inputs'!$I36/DATEDIF('Torrance Inputs'!$H44,'Torrance Inputs'!$I44,"m"),0)</f>
        <v>0</v>
      </c>
      <c r="CJ68" s="266">
        <f>IF(AND(CJ$10&gt;='Torrance Inputs'!$H44,CJ$10&lt;'Torrance Inputs'!$I44),'Torrance Inputs'!$I36/DATEDIF('Torrance Inputs'!$H44,'Torrance Inputs'!$I44,"m"),0)</f>
        <v>0</v>
      </c>
      <c r="CK68" s="266">
        <f>IF(AND(CK$10&gt;='Torrance Inputs'!$H44,CK$10&lt;'Torrance Inputs'!$I44),'Torrance Inputs'!$I36/DATEDIF('Torrance Inputs'!$H44,'Torrance Inputs'!$I44,"m"),0)</f>
        <v>0</v>
      </c>
      <c r="CL68" s="266">
        <f>IF(AND(CL$10&gt;='Torrance Inputs'!$H44,CL$10&lt;'Torrance Inputs'!$I44),'Torrance Inputs'!$I36/DATEDIF('Torrance Inputs'!$H44,'Torrance Inputs'!$I44,"m"),0)</f>
        <v>0</v>
      </c>
      <c r="CM68" s="266">
        <f>IF(AND(CM$10&gt;='Torrance Inputs'!$H44,CM$10&lt;'Torrance Inputs'!$I44),'Torrance Inputs'!$I36/DATEDIF('Torrance Inputs'!$H44,'Torrance Inputs'!$I44,"m"),0)</f>
        <v>0</v>
      </c>
      <c r="CN68" s="266">
        <f>IF(AND(CN$10&gt;='Torrance Inputs'!$H44,CN$10&lt;'Torrance Inputs'!$I44),'Torrance Inputs'!$I36/DATEDIF('Torrance Inputs'!$H44,'Torrance Inputs'!$I44,"m"),0)</f>
        <v>0</v>
      </c>
      <c r="CO68" s="266">
        <f>IF(AND(CO$10&gt;='Torrance Inputs'!$H44,CO$10&lt;'Torrance Inputs'!$I44),'Torrance Inputs'!$I36/DATEDIF('Torrance Inputs'!$H44,'Torrance Inputs'!$I44,"m"),0)</f>
        <v>0</v>
      </c>
      <c r="CP68" s="266">
        <f>IF(AND(CP$10&gt;='Torrance Inputs'!$H44,CP$10&lt;'Torrance Inputs'!$I44),'Torrance Inputs'!$I36/DATEDIF('Torrance Inputs'!$H44,'Torrance Inputs'!$I44,"m"),0)</f>
        <v>0</v>
      </c>
      <c r="CQ68" s="266">
        <f>IF(AND(CQ$10&gt;='Torrance Inputs'!$H44,CQ$10&lt;'Torrance Inputs'!$I44),'Torrance Inputs'!$I36/DATEDIF('Torrance Inputs'!$H44,'Torrance Inputs'!$I44,"m"),0)</f>
        <v>0</v>
      </c>
      <c r="CR68" s="266">
        <f>IF(AND(CR$10&gt;='Torrance Inputs'!$H44,CR$10&lt;'Torrance Inputs'!$I44),'Torrance Inputs'!$I36/DATEDIF('Torrance Inputs'!$H44,'Torrance Inputs'!$I44,"m"),0)</f>
        <v>0</v>
      </c>
      <c r="CS68" s="266">
        <f>IF(AND(CS$10&gt;='Torrance Inputs'!$H44,CS$10&lt;'Torrance Inputs'!$I44),'Torrance Inputs'!$I36/DATEDIF('Torrance Inputs'!$H44,'Torrance Inputs'!$I44,"m"),0)</f>
        <v>0</v>
      </c>
      <c r="CT68" s="266">
        <f>IF(AND(CT$10&gt;='Torrance Inputs'!$H44,CT$10&lt;'Torrance Inputs'!$I44),'Torrance Inputs'!$I36/DATEDIF('Torrance Inputs'!$H44,'Torrance Inputs'!$I44,"m"),0)</f>
        <v>0</v>
      </c>
      <c r="CU68" s="266">
        <f>IF(AND(CU$10&gt;='Torrance Inputs'!$H44,CU$10&lt;'Torrance Inputs'!$I44),'Torrance Inputs'!$I36/DATEDIF('Torrance Inputs'!$H44,'Torrance Inputs'!$I44,"m"),0)</f>
        <v>0</v>
      </c>
      <c r="CV68" s="266">
        <f>IF(AND(CV$10&gt;='Torrance Inputs'!$H44,CV$10&lt;'Torrance Inputs'!$I44),'Torrance Inputs'!$I36/DATEDIF('Torrance Inputs'!$H44,'Torrance Inputs'!$I44,"m"),0)</f>
        <v>0</v>
      </c>
      <c r="CW68" s="266">
        <f>IF(AND(CW$10&gt;='Torrance Inputs'!$H44,CW$10&lt;'Torrance Inputs'!$I44),'Torrance Inputs'!$I36/DATEDIF('Torrance Inputs'!$H44,'Torrance Inputs'!$I44,"m"),0)</f>
        <v>0</v>
      </c>
      <c r="CX68" s="266">
        <f>IF(AND(CX$10&gt;='Torrance Inputs'!$H44,CX$10&lt;'Torrance Inputs'!$I44),'Torrance Inputs'!$I36/DATEDIF('Torrance Inputs'!$H44,'Torrance Inputs'!$I44,"m"),0)</f>
        <v>0</v>
      </c>
      <c r="CY68" s="266">
        <f>IF(AND(CY$10&gt;='Torrance Inputs'!$H44,CY$10&lt;'Torrance Inputs'!$I44),'Torrance Inputs'!$I36/DATEDIF('Torrance Inputs'!$H44,'Torrance Inputs'!$I44,"m"),0)</f>
        <v>0</v>
      </c>
      <c r="CZ68" s="266">
        <f>IF(AND(CZ$10&gt;='Torrance Inputs'!$H44,CZ$10&lt;'Torrance Inputs'!$I44),'Torrance Inputs'!$I36/DATEDIF('Torrance Inputs'!$H44,'Torrance Inputs'!$I44,"m"),0)</f>
        <v>0</v>
      </c>
      <c r="DA68" s="266">
        <f>IF(AND(DA$10&gt;='Torrance Inputs'!$H44,DA$10&lt;'Torrance Inputs'!$I44),'Torrance Inputs'!$I36/DATEDIF('Torrance Inputs'!$H44,'Torrance Inputs'!$I44,"m"),0)</f>
        <v>0</v>
      </c>
      <c r="DB68" s="266">
        <f>IF(AND(DB$10&gt;='Torrance Inputs'!$H44,DB$10&lt;'Torrance Inputs'!$I44),'Torrance Inputs'!$I36/DATEDIF('Torrance Inputs'!$H44,'Torrance Inputs'!$I44,"m"),0)</f>
        <v>0</v>
      </c>
      <c r="DC68" s="266">
        <f>IF(AND(DC$10&gt;='Torrance Inputs'!$H44,DC$10&lt;'Torrance Inputs'!$I44),'Torrance Inputs'!$I36/DATEDIF('Torrance Inputs'!$H44,'Torrance Inputs'!$I44,"m"),0)</f>
        <v>0</v>
      </c>
      <c r="DD68" s="266">
        <f>IF(AND(DD$10&gt;='Torrance Inputs'!$H44,DD$10&lt;'Torrance Inputs'!$I44),'Torrance Inputs'!$I36/DATEDIF('Torrance Inputs'!$H44,'Torrance Inputs'!$I44,"m"),0)</f>
        <v>0</v>
      </c>
      <c r="DE68" s="266">
        <f>IF(AND(DE$10&gt;='Torrance Inputs'!$H44,DE$10&lt;'Torrance Inputs'!$I44),'Torrance Inputs'!$I36/DATEDIF('Torrance Inputs'!$H44,'Torrance Inputs'!$I44,"m"),0)</f>
        <v>0</v>
      </c>
      <c r="DF68" s="266">
        <f>IF(AND(DF$10&gt;='Torrance Inputs'!$H44,DF$10&lt;'Torrance Inputs'!$I44),'Torrance Inputs'!$I36/DATEDIF('Torrance Inputs'!$H44,'Torrance Inputs'!$I44,"m"),0)</f>
        <v>0</v>
      </c>
      <c r="DG68" s="266">
        <f>IF(AND(DG$10&gt;='Torrance Inputs'!$H44,DG$10&lt;'Torrance Inputs'!$I44),'Torrance Inputs'!$I36/DATEDIF('Torrance Inputs'!$H44,'Torrance Inputs'!$I44,"m"),0)</f>
        <v>0</v>
      </c>
      <c r="DH68" s="266">
        <f>IF(AND(DH$10&gt;='Torrance Inputs'!$H44,DH$10&lt;'Torrance Inputs'!$I44),'Torrance Inputs'!$I36/DATEDIF('Torrance Inputs'!$H44,'Torrance Inputs'!$I44,"m"),0)</f>
        <v>0</v>
      </c>
      <c r="DI68" s="266">
        <f>IF(AND(DI$10&gt;='Torrance Inputs'!$H44,DI$10&lt;'Torrance Inputs'!$I44),'Torrance Inputs'!$I36/DATEDIF('Torrance Inputs'!$H44,'Torrance Inputs'!$I44,"m"),0)</f>
        <v>0</v>
      </c>
      <c r="DJ68" s="266">
        <f>IF(AND(DJ$10&gt;='Torrance Inputs'!$H44,DJ$10&lt;'Torrance Inputs'!$I44),'Torrance Inputs'!$I36/DATEDIF('Torrance Inputs'!$H44,'Torrance Inputs'!$I44,"m"),0)</f>
        <v>0</v>
      </c>
      <c r="DK68" s="266">
        <f>IF(AND(DK$10&gt;='Torrance Inputs'!$H44,DK$10&lt;'Torrance Inputs'!$I44),'Torrance Inputs'!$I36/DATEDIF('Torrance Inputs'!$H44,'Torrance Inputs'!$I44,"m"),0)</f>
        <v>0</v>
      </c>
      <c r="DL68" s="266">
        <f>IF(AND(DL$10&gt;='Torrance Inputs'!$H44,DL$10&lt;'Torrance Inputs'!$I44),'Torrance Inputs'!$I36/DATEDIF('Torrance Inputs'!$H44,'Torrance Inputs'!$I44,"m"),0)</f>
        <v>0</v>
      </c>
      <c r="DM68" s="266">
        <f>IF(AND(DM$10&gt;='Torrance Inputs'!$H44,DM$10&lt;'Torrance Inputs'!$I44),'Torrance Inputs'!$I36/DATEDIF('Torrance Inputs'!$H44,'Torrance Inputs'!$I44,"m"),0)</f>
        <v>0</v>
      </c>
      <c r="DN68" s="266">
        <f>IF(AND(DN$10&gt;='Torrance Inputs'!$H44,DN$10&lt;'Torrance Inputs'!$I44),'Torrance Inputs'!$I36/DATEDIF('Torrance Inputs'!$H44,'Torrance Inputs'!$I44,"m"),0)</f>
        <v>0</v>
      </c>
      <c r="DO68" s="266">
        <f>IF(AND(DO$10&gt;='Torrance Inputs'!$H44,DO$10&lt;'Torrance Inputs'!$I44),'Torrance Inputs'!$I36/DATEDIF('Torrance Inputs'!$H44,'Torrance Inputs'!$I44,"m"),0)</f>
        <v>0</v>
      </c>
      <c r="DP68" s="266">
        <f>IF(AND(DP$10&gt;='Torrance Inputs'!$H44,DP$10&lt;'Torrance Inputs'!$I44),'Torrance Inputs'!$I36/DATEDIF('Torrance Inputs'!$H44,'Torrance Inputs'!$I44,"m"),0)</f>
        <v>0</v>
      </c>
      <c r="DQ68" s="266">
        <f>IF(AND(DQ$10&gt;='Torrance Inputs'!$H44,DQ$10&lt;'Torrance Inputs'!$I44),'Torrance Inputs'!$I36/DATEDIF('Torrance Inputs'!$H44,'Torrance Inputs'!$I44,"m"),0)</f>
        <v>0</v>
      </c>
      <c r="DR68" s="266">
        <f>IF(AND(DR$10&gt;='Torrance Inputs'!$H44,DR$10&lt;'Torrance Inputs'!$I44),'Torrance Inputs'!$I36/DATEDIF('Torrance Inputs'!$H44,'Torrance Inputs'!$I44,"m"),0)</f>
        <v>0</v>
      </c>
      <c r="DS68" s="266">
        <f>IF(AND(DS$10&gt;='Torrance Inputs'!$H44,DS$10&lt;'Torrance Inputs'!$I44),'Torrance Inputs'!$I36/DATEDIF('Torrance Inputs'!$H44,'Torrance Inputs'!$I44,"m"),0)</f>
        <v>0</v>
      </c>
      <c r="DT68" s="266">
        <f>IF(AND(DT$10&gt;='Torrance Inputs'!$H44,DT$10&lt;'Torrance Inputs'!$I44),'Torrance Inputs'!$I36/DATEDIF('Torrance Inputs'!$H44,'Torrance Inputs'!$I44,"m"),0)</f>
        <v>0</v>
      </c>
      <c r="DU68" s="266">
        <f>IF(AND(DU$10&gt;='Torrance Inputs'!$H44,DU$10&lt;'Torrance Inputs'!$I44),'Torrance Inputs'!$I36/DATEDIF('Torrance Inputs'!$H44,'Torrance Inputs'!$I44,"m"),0)</f>
        <v>0</v>
      </c>
      <c r="DV68" s="266">
        <f>IF(AND(DV$10&gt;='Torrance Inputs'!$H44,DV$10&lt;'Torrance Inputs'!$I44),'Torrance Inputs'!$I36/DATEDIF('Torrance Inputs'!$H44,'Torrance Inputs'!$I44,"m"),0)</f>
        <v>0</v>
      </c>
      <c r="DW68" s="266">
        <f>IF(AND(DW$10&gt;='Torrance Inputs'!$H44,DW$10&lt;'Torrance Inputs'!$I44),'Torrance Inputs'!$I36/DATEDIF('Torrance Inputs'!$H44,'Torrance Inputs'!$I44,"m"),0)</f>
        <v>0</v>
      </c>
      <c r="DX68" s="266">
        <f>IF(AND(DX$10&gt;='Torrance Inputs'!$H44,DX$10&lt;'Torrance Inputs'!$I44),'Torrance Inputs'!$I36/DATEDIF('Torrance Inputs'!$H44,'Torrance Inputs'!$I44,"m"),0)</f>
        <v>0</v>
      </c>
      <c r="DY68" s="266">
        <f>IF(AND(DY$10&gt;='Torrance Inputs'!$H44,DY$10&lt;'Torrance Inputs'!$I44),'Torrance Inputs'!$I36/DATEDIF('Torrance Inputs'!$H44,'Torrance Inputs'!$I44,"m"),0)</f>
        <v>0</v>
      </c>
      <c r="DZ68" s="266">
        <f>IF(AND(DZ$10&gt;='Torrance Inputs'!$H44,DZ$10&lt;'Torrance Inputs'!$I44),'Torrance Inputs'!$I36/DATEDIF('Torrance Inputs'!$H44,'Torrance Inputs'!$I44,"m"),0)</f>
        <v>0</v>
      </c>
      <c r="EA68" s="266">
        <f>IF(AND(EA$10&gt;='Torrance Inputs'!$H44,EA$10&lt;'Torrance Inputs'!$I44),'Torrance Inputs'!$I36/DATEDIF('Torrance Inputs'!$H44,'Torrance Inputs'!$I44,"m"),0)</f>
        <v>0</v>
      </c>
      <c r="EB68" s="266">
        <f>IF(AND(EB$10&gt;='Torrance Inputs'!$H44,EB$10&lt;'Torrance Inputs'!$I44),'Torrance Inputs'!$I36/DATEDIF('Torrance Inputs'!$H44,'Torrance Inputs'!$I44,"m"),0)</f>
        <v>0</v>
      </c>
      <c r="EC68" s="266">
        <f>IF(AND(EC$10&gt;='Torrance Inputs'!$H44,EC$10&lt;'Torrance Inputs'!$I44),'Torrance Inputs'!$I36/DATEDIF('Torrance Inputs'!$H44,'Torrance Inputs'!$I44,"m"),0)</f>
        <v>0</v>
      </c>
      <c r="ED68" s="266">
        <f>IF(AND(ED$10&gt;='Torrance Inputs'!$H44,ED$10&lt;'Torrance Inputs'!$I44),'Torrance Inputs'!$I36/DATEDIF('Torrance Inputs'!$H44,'Torrance Inputs'!$I44,"m"),0)</f>
        <v>0</v>
      </c>
    </row>
    <row r="69" spans="1:134" ht="19.149999999999999" customHeight="1" x14ac:dyDescent="0.4">
      <c r="A69" s="265" t="s">
        <v>62</v>
      </c>
      <c r="B69" s="264"/>
      <c r="C69" s="266">
        <f>IF(AND(C$10&gt;='Torrance Inputs'!$H45,C$10&lt;'Torrance Inputs'!$I45),'Torrance Inputs'!$I37/DATEDIF('Torrance Inputs'!$H45,'Torrance Inputs'!$I45,"m"),0)</f>
        <v>0</v>
      </c>
      <c r="D69" s="266">
        <f>IF(AND(D$10&gt;='Torrance Inputs'!$H45,D$10&lt;'Torrance Inputs'!$I45),'Torrance Inputs'!$I37/DATEDIF('Torrance Inputs'!$H45,'Torrance Inputs'!$I45,"m"),0)</f>
        <v>0</v>
      </c>
      <c r="E69" s="266">
        <f>IF(AND(E$10&gt;='Torrance Inputs'!$H45,E$10&lt;'Torrance Inputs'!$I45),'Torrance Inputs'!$I37/DATEDIF('Torrance Inputs'!$H45,'Torrance Inputs'!$I45,"m"),0)</f>
        <v>0</v>
      </c>
      <c r="F69" s="266">
        <f>IF(AND(F$10&gt;='Torrance Inputs'!$H45,F$10&lt;'Torrance Inputs'!$I45),'Torrance Inputs'!$I37/DATEDIF('Torrance Inputs'!$H45,'Torrance Inputs'!$I45,"m"),0)</f>
        <v>0</v>
      </c>
      <c r="G69" s="266">
        <f>IF(AND(G$10&gt;='Torrance Inputs'!$H45,G$10&lt;'Torrance Inputs'!$I45),'Torrance Inputs'!$I37/DATEDIF('Torrance Inputs'!$H45,'Torrance Inputs'!$I45,"m"),0)</f>
        <v>0</v>
      </c>
      <c r="H69" s="266">
        <f>IF(AND(H$10&gt;='Torrance Inputs'!$H45,H$10&lt;'Torrance Inputs'!$I45),'Torrance Inputs'!$I37/DATEDIF('Torrance Inputs'!$H45,'Torrance Inputs'!$I45,"m"),0)</f>
        <v>0</v>
      </c>
      <c r="I69" s="266">
        <f>IF(AND(I$10&gt;='Torrance Inputs'!$H45,I$10&lt;'Torrance Inputs'!$I45),'Torrance Inputs'!$I37/DATEDIF('Torrance Inputs'!$H45,'Torrance Inputs'!$I45,"m"),0)</f>
        <v>0</v>
      </c>
      <c r="J69" s="266">
        <f>IF(AND(J$10&gt;='Torrance Inputs'!$H45,J$10&lt;'Torrance Inputs'!$I45),'Torrance Inputs'!$I37/DATEDIF('Torrance Inputs'!$H45,'Torrance Inputs'!$I45,"m"),0)</f>
        <v>0</v>
      </c>
      <c r="K69" s="266">
        <f>IF(AND(K$10&gt;='Torrance Inputs'!$H45,K$10&lt;'Torrance Inputs'!$I45),'Torrance Inputs'!$I37/DATEDIF('Torrance Inputs'!$H45,'Torrance Inputs'!$I45,"m"),0)</f>
        <v>0</v>
      </c>
      <c r="L69" s="266">
        <f>IF(AND(L$10&gt;='Torrance Inputs'!$H45,L$10&lt;'Torrance Inputs'!$I45),'Torrance Inputs'!$I37/DATEDIF('Torrance Inputs'!$H45,'Torrance Inputs'!$I45,"m"),0)</f>
        <v>0</v>
      </c>
      <c r="M69" s="266">
        <f>IF(AND(M$10&gt;='Torrance Inputs'!$H45,M$10&lt;'Torrance Inputs'!$I45),'Torrance Inputs'!$I37/DATEDIF('Torrance Inputs'!$H45,'Torrance Inputs'!$I45,"m"),0)</f>
        <v>0</v>
      </c>
      <c r="N69" s="266">
        <f>IF(AND(N$10&gt;='Torrance Inputs'!$H45,N$10&lt;'Torrance Inputs'!$I45),'Torrance Inputs'!$I37/DATEDIF('Torrance Inputs'!$H45,'Torrance Inputs'!$I45,"m"),0)</f>
        <v>0</v>
      </c>
      <c r="O69" s="266">
        <f>IF(AND(O$10&gt;='Torrance Inputs'!$H45,O$10&lt;'Torrance Inputs'!$I45),'Torrance Inputs'!$I37/DATEDIF('Torrance Inputs'!$H45,'Torrance Inputs'!$I45,"m"),0)</f>
        <v>0</v>
      </c>
      <c r="P69" s="266">
        <f>IF(AND(P$10&gt;='Torrance Inputs'!$H45,P$10&lt;'Torrance Inputs'!$I45),'Torrance Inputs'!$I37/DATEDIF('Torrance Inputs'!$H45,'Torrance Inputs'!$I45,"m"),0)</f>
        <v>0</v>
      </c>
      <c r="Q69" s="266">
        <f>IF(AND(Q$10&gt;='Torrance Inputs'!$H45,Q$10&lt;'Torrance Inputs'!$I45),'Torrance Inputs'!$I37/DATEDIF('Torrance Inputs'!$H45,'Torrance Inputs'!$I45,"m"),0)</f>
        <v>0</v>
      </c>
      <c r="R69" s="266">
        <f>IF(AND(R$10&gt;='Torrance Inputs'!$H45,R$10&lt;'Torrance Inputs'!$I45),'Torrance Inputs'!$I37/DATEDIF('Torrance Inputs'!$H45,'Torrance Inputs'!$I45,"m"),0)</f>
        <v>0</v>
      </c>
      <c r="S69" s="266">
        <f>IF(AND(S$10&gt;='Torrance Inputs'!$H45,S$10&lt;'Torrance Inputs'!$I45),'Torrance Inputs'!$I37/DATEDIF('Torrance Inputs'!$H45,'Torrance Inputs'!$I45,"m"),0)</f>
        <v>0</v>
      </c>
      <c r="T69" s="266">
        <f>IF(AND(T$10&gt;='Torrance Inputs'!$H45,T$10&lt;'Torrance Inputs'!$I45),'Torrance Inputs'!$I37/DATEDIF('Torrance Inputs'!$H45,'Torrance Inputs'!$I45,"m"),0)</f>
        <v>0</v>
      </c>
      <c r="U69" s="266">
        <f>IF(AND(U$10&gt;='Torrance Inputs'!$H45,U$10&lt;'Torrance Inputs'!$I45),'Torrance Inputs'!$I37/DATEDIF('Torrance Inputs'!$H45,'Torrance Inputs'!$I45,"m"),0)</f>
        <v>0</v>
      </c>
      <c r="V69" s="266">
        <f>IF(AND(V$10&gt;='Torrance Inputs'!$H45,V$10&lt;'Torrance Inputs'!$I45),'Torrance Inputs'!$I37/DATEDIF('Torrance Inputs'!$H45,'Torrance Inputs'!$I45,"m"),0)</f>
        <v>0</v>
      </c>
      <c r="W69" s="266">
        <f>IF(AND(W$10&gt;='Torrance Inputs'!$H45,W$10&lt;'Torrance Inputs'!$I45),'Torrance Inputs'!$I37/DATEDIF('Torrance Inputs'!$H45,'Torrance Inputs'!$I45,"m"),0)</f>
        <v>0</v>
      </c>
      <c r="X69" s="266">
        <f>IF(AND(X$10&gt;='Torrance Inputs'!$H45,X$10&lt;'Torrance Inputs'!$I45),'Torrance Inputs'!$I37/DATEDIF('Torrance Inputs'!$H45,'Torrance Inputs'!$I45,"m"),0)</f>
        <v>0</v>
      </c>
      <c r="Y69" s="266">
        <f>IF(AND(Y$10&gt;='Torrance Inputs'!$H45,Y$10&lt;'Torrance Inputs'!$I45),'Torrance Inputs'!$I37/DATEDIF('Torrance Inputs'!$H45,'Torrance Inputs'!$I45,"m"),0)</f>
        <v>0</v>
      </c>
      <c r="Z69" s="266">
        <f>IF(AND(Z$10&gt;='Torrance Inputs'!$H45,Z$10&lt;'Torrance Inputs'!$I45),'Torrance Inputs'!$I37/DATEDIF('Torrance Inputs'!$H45,'Torrance Inputs'!$I45,"m"),0)</f>
        <v>0</v>
      </c>
      <c r="AA69" s="266">
        <f>IF(AND(AA$10&gt;='Torrance Inputs'!$H45,AA$10&lt;'Torrance Inputs'!$I45),'Torrance Inputs'!$I37/DATEDIF('Torrance Inputs'!$H45,'Torrance Inputs'!$I45,"m"),0)</f>
        <v>0</v>
      </c>
      <c r="AB69" s="266">
        <f>IF(AND(AB$10&gt;='Torrance Inputs'!$H45,AB$10&lt;'Torrance Inputs'!$I45),'Torrance Inputs'!$I37/DATEDIF('Torrance Inputs'!$H45,'Torrance Inputs'!$I45,"m"),0)</f>
        <v>0</v>
      </c>
      <c r="AC69" s="266">
        <f>IF(AND(AC$10&gt;='Torrance Inputs'!$H45,AC$10&lt;'Torrance Inputs'!$I45),'Torrance Inputs'!$I37/DATEDIF('Torrance Inputs'!$H45,'Torrance Inputs'!$I45,"m"),0)</f>
        <v>0</v>
      </c>
      <c r="AD69" s="266">
        <f>IF(AND(AD$10&gt;='Torrance Inputs'!$H45,AD$10&lt;'Torrance Inputs'!$I45),'Torrance Inputs'!$I37/DATEDIF('Torrance Inputs'!$H45,'Torrance Inputs'!$I45,"m"),0)</f>
        <v>0</v>
      </c>
      <c r="AE69" s="266">
        <f>IF(AND(AE$10&gt;='Torrance Inputs'!$H45,AE$10&lt;'Torrance Inputs'!$I45),'Torrance Inputs'!$I37/DATEDIF('Torrance Inputs'!$H45,'Torrance Inputs'!$I45,"m"),0)</f>
        <v>0</v>
      </c>
      <c r="AF69" s="266">
        <f>IF(AND(AF$10&gt;='Torrance Inputs'!$H45,AF$10&lt;'Torrance Inputs'!$I45),'Torrance Inputs'!$I37/DATEDIF('Torrance Inputs'!$H45,'Torrance Inputs'!$I45,"m"),0)</f>
        <v>0</v>
      </c>
      <c r="AG69" s="266">
        <f>IF(AND(AG$10&gt;='Torrance Inputs'!$H45,AG$10&lt;'Torrance Inputs'!$I45),'Torrance Inputs'!$I37/DATEDIF('Torrance Inputs'!$H45,'Torrance Inputs'!$I45,"m"),0)</f>
        <v>0</v>
      </c>
      <c r="AH69" s="266">
        <f>IF(AND(AH$10&gt;='Torrance Inputs'!$H45,AH$10&lt;'Torrance Inputs'!$I45),'Torrance Inputs'!$I37/DATEDIF('Torrance Inputs'!$H45,'Torrance Inputs'!$I45,"m"),0)</f>
        <v>0</v>
      </c>
      <c r="AI69" s="266">
        <f>IF(AND(AI$10&gt;='Torrance Inputs'!$H45,AI$10&lt;'Torrance Inputs'!$I45),'Torrance Inputs'!$I37/DATEDIF('Torrance Inputs'!$H45,'Torrance Inputs'!$I45,"m"),0)</f>
        <v>0</v>
      </c>
      <c r="AJ69" s="266">
        <f>IF(AND(AJ$10&gt;='Torrance Inputs'!$H45,AJ$10&lt;'Torrance Inputs'!$I45),'Torrance Inputs'!$I37/DATEDIF('Torrance Inputs'!$H45,'Torrance Inputs'!$I45,"m"),0)</f>
        <v>0</v>
      </c>
      <c r="AK69" s="266">
        <f>IF(AND(AK$10&gt;='Torrance Inputs'!$H45,AK$10&lt;'Torrance Inputs'!$I45),'Torrance Inputs'!$I37/DATEDIF('Torrance Inputs'!$H45,'Torrance Inputs'!$I45,"m"),0)</f>
        <v>0</v>
      </c>
      <c r="AL69" s="266">
        <f>IF(AND(AL$10&gt;='Torrance Inputs'!$H45,AL$10&lt;'Torrance Inputs'!$I45),'Torrance Inputs'!$I37/DATEDIF('Torrance Inputs'!$H45,'Torrance Inputs'!$I45,"m"),0)</f>
        <v>0</v>
      </c>
      <c r="AM69" s="266">
        <f>IF(AND(AM$10&gt;='Torrance Inputs'!$H45,AM$10&lt;'Torrance Inputs'!$I45),'Torrance Inputs'!$I37/DATEDIF('Torrance Inputs'!$H45,'Torrance Inputs'!$I45,"m"),0)</f>
        <v>0</v>
      </c>
      <c r="AN69" s="266">
        <f>IF(AND(AN$10&gt;='Torrance Inputs'!$H45,AN$10&lt;'Torrance Inputs'!$I45),'Torrance Inputs'!$I37/DATEDIF('Torrance Inputs'!$H45,'Torrance Inputs'!$I45,"m"),0)</f>
        <v>0</v>
      </c>
      <c r="AO69" s="266">
        <f>IF(AND(AO$10&gt;='Torrance Inputs'!$H45,AO$10&lt;'Torrance Inputs'!$I45),'Torrance Inputs'!$I37/DATEDIF('Torrance Inputs'!$H45,'Torrance Inputs'!$I45,"m"),0)</f>
        <v>0</v>
      </c>
      <c r="AP69" s="266">
        <f>IF(AND(AP$10&gt;='Torrance Inputs'!$H45,AP$10&lt;'Torrance Inputs'!$I45),'Torrance Inputs'!$I37/DATEDIF('Torrance Inputs'!$H45,'Torrance Inputs'!$I45,"m"),0)</f>
        <v>0</v>
      </c>
      <c r="AQ69" s="266">
        <f>IF(AND(AQ$10&gt;='Torrance Inputs'!$H45,AQ$10&lt;'Torrance Inputs'!$I45),'Torrance Inputs'!$I37/DATEDIF('Torrance Inputs'!$H45,'Torrance Inputs'!$I45,"m"),0)</f>
        <v>0</v>
      </c>
      <c r="AR69" s="266">
        <f>IF(AND(AR$10&gt;='Torrance Inputs'!$H45,AR$10&lt;'Torrance Inputs'!$I45),'Torrance Inputs'!$I37/DATEDIF('Torrance Inputs'!$H45,'Torrance Inputs'!$I45,"m"),0)</f>
        <v>0</v>
      </c>
      <c r="AS69" s="266">
        <f>IF(AND(AS$10&gt;='Torrance Inputs'!$H45,AS$10&lt;'Torrance Inputs'!$I45),'Torrance Inputs'!$I37/DATEDIF('Torrance Inputs'!$H45,'Torrance Inputs'!$I45,"m"),0)</f>
        <v>0</v>
      </c>
      <c r="AT69" s="266">
        <f>IF(AND(AT$10&gt;='Torrance Inputs'!$H45,AT$10&lt;'Torrance Inputs'!$I45),'Torrance Inputs'!$I37/DATEDIF('Torrance Inputs'!$H45,'Torrance Inputs'!$I45,"m"),0)</f>
        <v>0</v>
      </c>
      <c r="AU69" s="266">
        <f>IF(AND(AU$10&gt;='Torrance Inputs'!$H45,AU$10&lt;'Torrance Inputs'!$I45),'Torrance Inputs'!$I37/DATEDIF('Torrance Inputs'!$H45,'Torrance Inputs'!$I45,"m"),0)</f>
        <v>0</v>
      </c>
      <c r="AV69" s="266">
        <f>IF(AND(AV$10&gt;='Torrance Inputs'!$H45,AV$10&lt;'Torrance Inputs'!$I45),'Torrance Inputs'!$I37/DATEDIF('Torrance Inputs'!$H45,'Torrance Inputs'!$I45,"m"),0)</f>
        <v>0</v>
      </c>
      <c r="AW69" s="266">
        <f>IF(AND(AW$10&gt;='Torrance Inputs'!$H45,AW$10&lt;'Torrance Inputs'!$I45),'Torrance Inputs'!$I37/DATEDIF('Torrance Inputs'!$H45,'Torrance Inputs'!$I45,"m"),0)</f>
        <v>0</v>
      </c>
      <c r="AX69" s="266">
        <f>IF(AND(AX$10&gt;='Torrance Inputs'!$H45,AX$10&lt;'Torrance Inputs'!$I45),'Torrance Inputs'!$I37/DATEDIF('Torrance Inputs'!$H45,'Torrance Inputs'!$I45,"m"),0)</f>
        <v>0</v>
      </c>
      <c r="AY69" s="266">
        <f>IF(AND(AY$10&gt;='Torrance Inputs'!$H45,AY$10&lt;'Torrance Inputs'!$I45),'Torrance Inputs'!$I37/DATEDIF('Torrance Inputs'!$H45,'Torrance Inputs'!$I45,"m"),0)</f>
        <v>0</v>
      </c>
      <c r="AZ69" s="266">
        <f>IF(AND(AZ$10&gt;='Torrance Inputs'!$H45,AZ$10&lt;'Torrance Inputs'!$I45),'Torrance Inputs'!$I37/DATEDIF('Torrance Inputs'!$H45,'Torrance Inputs'!$I45,"m"),0)</f>
        <v>0</v>
      </c>
      <c r="BA69" s="266">
        <f>IF(AND(BA$10&gt;='Torrance Inputs'!$H45,BA$10&lt;'Torrance Inputs'!$I45),'Torrance Inputs'!$I37/DATEDIF('Torrance Inputs'!$H45,'Torrance Inputs'!$I45,"m"),0)</f>
        <v>0</v>
      </c>
      <c r="BB69" s="266">
        <f>IF(AND(BB$10&gt;='Torrance Inputs'!$H45,BB$10&lt;'Torrance Inputs'!$I45),'Torrance Inputs'!$I37/DATEDIF('Torrance Inputs'!$H45,'Torrance Inputs'!$I45,"m"),0)</f>
        <v>0</v>
      </c>
      <c r="BC69" s="266">
        <f>IF(AND(BC$10&gt;='Torrance Inputs'!$H45,BC$10&lt;'Torrance Inputs'!$I45),'Torrance Inputs'!$I37/DATEDIF('Torrance Inputs'!$H45,'Torrance Inputs'!$I45,"m"),0)</f>
        <v>0</v>
      </c>
      <c r="BD69" s="266">
        <f>IF(AND(BD$10&gt;='Torrance Inputs'!$H45,BD$10&lt;'Torrance Inputs'!$I45),'Torrance Inputs'!$I37/DATEDIF('Torrance Inputs'!$H45,'Torrance Inputs'!$I45,"m"),0)</f>
        <v>0</v>
      </c>
      <c r="BE69" s="266">
        <f>IF(AND(BE$10&gt;='Torrance Inputs'!$H45,BE$10&lt;'Torrance Inputs'!$I45),'Torrance Inputs'!$I37/DATEDIF('Torrance Inputs'!$H45,'Torrance Inputs'!$I45,"m"),0)</f>
        <v>0</v>
      </c>
      <c r="BF69" s="266">
        <f>IF(AND(BF$10&gt;='Torrance Inputs'!$H45,BF$10&lt;'Torrance Inputs'!$I45),'Torrance Inputs'!$I37/DATEDIF('Torrance Inputs'!$H45,'Torrance Inputs'!$I45,"m"),0)</f>
        <v>0</v>
      </c>
      <c r="BG69" s="266">
        <f>IF(AND(BG$10&gt;='Torrance Inputs'!$H45,BG$10&lt;'Torrance Inputs'!$I45),'Torrance Inputs'!$I37/DATEDIF('Torrance Inputs'!$H45,'Torrance Inputs'!$I45,"m"),0)</f>
        <v>0</v>
      </c>
      <c r="BH69" s="266">
        <f>IF(AND(BH$10&gt;='Torrance Inputs'!$H45,BH$10&lt;'Torrance Inputs'!$I45),'Torrance Inputs'!$I37/DATEDIF('Torrance Inputs'!$H45,'Torrance Inputs'!$I45,"m"),0)</f>
        <v>0</v>
      </c>
      <c r="BI69" s="266">
        <f>IF(AND(BI$10&gt;='Torrance Inputs'!$H45,BI$10&lt;'Torrance Inputs'!$I45),'Torrance Inputs'!$I37/DATEDIF('Torrance Inputs'!$H45,'Torrance Inputs'!$I45,"m"),0)</f>
        <v>0</v>
      </c>
      <c r="BJ69" s="266">
        <f>IF(AND(BJ$10&gt;='Torrance Inputs'!$H45,BJ$10&lt;'Torrance Inputs'!$I45),'Torrance Inputs'!$I37/DATEDIF('Torrance Inputs'!$H45,'Torrance Inputs'!$I45,"m"),0)</f>
        <v>0</v>
      </c>
      <c r="BK69" s="266">
        <f>IF(AND(BK$10&gt;='Torrance Inputs'!$H45,BK$10&lt;'Torrance Inputs'!$I45),'Torrance Inputs'!$I37/DATEDIF('Torrance Inputs'!$H45,'Torrance Inputs'!$I45,"m"),0)</f>
        <v>0</v>
      </c>
      <c r="BL69" s="266">
        <f>IF(AND(BL$10&gt;='Torrance Inputs'!$H45,BL$10&lt;'Torrance Inputs'!$I45),'Torrance Inputs'!$I37/DATEDIF('Torrance Inputs'!$H45,'Torrance Inputs'!$I45,"m"),0)</f>
        <v>0</v>
      </c>
      <c r="BM69" s="266">
        <f>IF(AND(BM$10&gt;='Torrance Inputs'!$H45,BM$10&lt;'Torrance Inputs'!$I45),'Torrance Inputs'!$I37/DATEDIF('Torrance Inputs'!$H45,'Torrance Inputs'!$I45,"m"),0)</f>
        <v>0</v>
      </c>
      <c r="BN69" s="266">
        <f>IF(AND(BN$10&gt;='Torrance Inputs'!$H45,BN$10&lt;'Torrance Inputs'!$I45),'Torrance Inputs'!$I37/DATEDIF('Torrance Inputs'!$H45,'Torrance Inputs'!$I45,"m"),0)</f>
        <v>0</v>
      </c>
      <c r="BO69" s="266">
        <f>IF(AND(BO$10&gt;='Torrance Inputs'!$H45,BO$10&lt;'Torrance Inputs'!$I45),'Torrance Inputs'!$I37/DATEDIF('Torrance Inputs'!$H45,'Torrance Inputs'!$I45,"m"),0)</f>
        <v>0</v>
      </c>
      <c r="BP69" s="266">
        <f>IF(AND(BP$10&gt;='Torrance Inputs'!$H45,BP$10&lt;'Torrance Inputs'!$I45),'Torrance Inputs'!$I37/DATEDIF('Torrance Inputs'!$H45,'Torrance Inputs'!$I45,"m"),0)</f>
        <v>0</v>
      </c>
      <c r="BQ69" s="266">
        <f>IF(AND(BQ$10&gt;='Torrance Inputs'!$H45,BQ$10&lt;'Torrance Inputs'!$I45),'Torrance Inputs'!$I37/DATEDIF('Torrance Inputs'!$H45,'Torrance Inputs'!$I45,"m"),0)</f>
        <v>0</v>
      </c>
      <c r="BR69" s="266">
        <f>IF(AND(BR$10&gt;='Torrance Inputs'!$H45,BR$10&lt;'Torrance Inputs'!$I45),'Torrance Inputs'!$I37/DATEDIF('Torrance Inputs'!$H45,'Torrance Inputs'!$I45,"m"),0)</f>
        <v>0</v>
      </c>
      <c r="BS69" s="266">
        <f>IF(AND(BS$10&gt;='Torrance Inputs'!$H45,BS$10&lt;'Torrance Inputs'!$I45),'Torrance Inputs'!$I37/DATEDIF('Torrance Inputs'!$H45,'Torrance Inputs'!$I45,"m"),0)</f>
        <v>0</v>
      </c>
      <c r="BT69" s="266">
        <f>IF(AND(BT$10&gt;='Torrance Inputs'!$H45,BT$10&lt;'Torrance Inputs'!$I45),'Torrance Inputs'!$I37/DATEDIF('Torrance Inputs'!$H45,'Torrance Inputs'!$I45,"m"),0)</f>
        <v>0</v>
      </c>
      <c r="BU69" s="266">
        <f>IF(AND(BU$10&gt;='Torrance Inputs'!$H45,BU$10&lt;'Torrance Inputs'!$I45),'Torrance Inputs'!$I37/DATEDIF('Torrance Inputs'!$H45,'Torrance Inputs'!$I45,"m"),0)</f>
        <v>0</v>
      </c>
      <c r="BV69" s="266">
        <f>IF(AND(BV$10&gt;='Torrance Inputs'!$H45,BV$10&lt;'Torrance Inputs'!$I45),'Torrance Inputs'!$I37/DATEDIF('Torrance Inputs'!$H45,'Torrance Inputs'!$I45,"m"),0)</f>
        <v>0</v>
      </c>
      <c r="BW69" s="266">
        <f>IF(AND(BW$10&gt;='Torrance Inputs'!$H45,BW$10&lt;'Torrance Inputs'!$I45),'Torrance Inputs'!$I37/DATEDIF('Torrance Inputs'!$H45,'Torrance Inputs'!$I45,"m"),0)</f>
        <v>1500000</v>
      </c>
      <c r="BX69" s="266">
        <f>IF(AND(BX$10&gt;='Torrance Inputs'!$H45,BX$10&lt;'Torrance Inputs'!$I45),'Torrance Inputs'!$I37/DATEDIF('Torrance Inputs'!$H45,'Torrance Inputs'!$I45,"m"),0)</f>
        <v>0</v>
      </c>
      <c r="BY69" s="266">
        <f>IF(AND(BY$10&gt;='Torrance Inputs'!$H45,BY$10&lt;'Torrance Inputs'!$I45),'Torrance Inputs'!$I37/DATEDIF('Torrance Inputs'!$H45,'Torrance Inputs'!$I45,"m"),0)</f>
        <v>0</v>
      </c>
      <c r="BZ69" s="266">
        <f>IF(AND(BZ$10&gt;='Torrance Inputs'!$H45,BZ$10&lt;'Torrance Inputs'!$I45),'Torrance Inputs'!$I37/DATEDIF('Torrance Inputs'!$H45,'Torrance Inputs'!$I45,"m"),0)</f>
        <v>0</v>
      </c>
      <c r="CA69" s="266">
        <f>IF(AND(CA$10&gt;='Torrance Inputs'!$H45,CA$10&lt;'Torrance Inputs'!$I45),'Torrance Inputs'!$I37/DATEDIF('Torrance Inputs'!$H45,'Torrance Inputs'!$I45,"m"),0)</f>
        <v>0</v>
      </c>
      <c r="CB69" s="266">
        <f>IF(AND(CB$10&gt;='Torrance Inputs'!$H45,CB$10&lt;'Torrance Inputs'!$I45),'Torrance Inputs'!$I37/DATEDIF('Torrance Inputs'!$H45,'Torrance Inputs'!$I45,"m"),0)</f>
        <v>0</v>
      </c>
      <c r="CC69" s="266">
        <f>IF(AND(CC$10&gt;='Torrance Inputs'!$H45,CC$10&lt;'Torrance Inputs'!$I45),'Torrance Inputs'!$I37/DATEDIF('Torrance Inputs'!$H45,'Torrance Inputs'!$I45,"m"),0)</f>
        <v>0</v>
      </c>
      <c r="CD69" s="266">
        <f>IF(AND(CD$10&gt;='Torrance Inputs'!$H45,CD$10&lt;'Torrance Inputs'!$I45),'Torrance Inputs'!$I37/DATEDIF('Torrance Inputs'!$H45,'Torrance Inputs'!$I45,"m"),0)</f>
        <v>0</v>
      </c>
      <c r="CE69" s="266">
        <f>IF(AND(CE$10&gt;='Torrance Inputs'!$H45,CE$10&lt;'Torrance Inputs'!$I45),'Torrance Inputs'!$I37/DATEDIF('Torrance Inputs'!$H45,'Torrance Inputs'!$I45,"m"),0)</f>
        <v>0</v>
      </c>
      <c r="CF69" s="266">
        <f>IF(AND(CF$10&gt;='Torrance Inputs'!$H45,CF$10&lt;'Torrance Inputs'!$I45),'Torrance Inputs'!$I37/DATEDIF('Torrance Inputs'!$H45,'Torrance Inputs'!$I45,"m"),0)</f>
        <v>0</v>
      </c>
      <c r="CG69" s="266">
        <f>IF(AND(CG$10&gt;='Torrance Inputs'!$H45,CG$10&lt;'Torrance Inputs'!$I45),'Torrance Inputs'!$I37/DATEDIF('Torrance Inputs'!$H45,'Torrance Inputs'!$I45,"m"),0)</f>
        <v>0</v>
      </c>
      <c r="CH69" s="266">
        <f>IF(AND(CH$10&gt;='Torrance Inputs'!$H45,CH$10&lt;'Torrance Inputs'!$I45),'Torrance Inputs'!$I37/DATEDIF('Torrance Inputs'!$H45,'Torrance Inputs'!$I45,"m"),0)</f>
        <v>0</v>
      </c>
      <c r="CI69" s="266">
        <f>IF(AND(CI$10&gt;='Torrance Inputs'!$H45,CI$10&lt;'Torrance Inputs'!$I45),'Torrance Inputs'!$I37/DATEDIF('Torrance Inputs'!$H45,'Torrance Inputs'!$I45,"m"),0)</f>
        <v>0</v>
      </c>
      <c r="CJ69" s="266">
        <f>IF(AND(CJ$10&gt;='Torrance Inputs'!$H45,CJ$10&lt;'Torrance Inputs'!$I45),'Torrance Inputs'!$I37/DATEDIF('Torrance Inputs'!$H45,'Torrance Inputs'!$I45,"m"),0)</f>
        <v>0</v>
      </c>
      <c r="CK69" s="266">
        <f>IF(AND(CK$10&gt;='Torrance Inputs'!$H45,CK$10&lt;'Torrance Inputs'!$I45),'Torrance Inputs'!$I37/DATEDIF('Torrance Inputs'!$H45,'Torrance Inputs'!$I45,"m"),0)</f>
        <v>0</v>
      </c>
      <c r="CL69" s="266">
        <f>IF(AND(CL$10&gt;='Torrance Inputs'!$H45,CL$10&lt;'Torrance Inputs'!$I45),'Torrance Inputs'!$I37/DATEDIF('Torrance Inputs'!$H45,'Torrance Inputs'!$I45,"m"),0)</f>
        <v>0</v>
      </c>
      <c r="CM69" s="266">
        <f>IF(AND(CM$10&gt;='Torrance Inputs'!$H45,CM$10&lt;'Torrance Inputs'!$I45),'Torrance Inputs'!$I37/DATEDIF('Torrance Inputs'!$H45,'Torrance Inputs'!$I45,"m"),0)</f>
        <v>0</v>
      </c>
      <c r="CN69" s="266">
        <f>IF(AND(CN$10&gt;='Torrance Inputs'!$H45,CN$10&lt;'Torrance Inputs'!$I45),'Torrance Inputs'!$I37/DATEDIF('Torrance Inputs'!$H45,'Torrance Inputs'!$I45,"m"),0)</f>
        <v>0</v>
      </c>
      <c r="CO69" s="266">
        <f>IF(AND(CO$10&gt;='Torrance Inputs'!$H45,CO$10&lt;'Torrance Inputs'!$I45),'Torrance Inputs'!$I37/DATEDIF('Torrance Inputs'!$H45,'Torrance Inputs'!$I45,"m"),0)</f>
        <v>0</v>
      </c>
      <c r="CP69" s="266">
        <f>IF(AND(CP$10&gt;='Torrance Inputs'!$H45,CP$10&lt;'Torrance Inputs'!$I45),'Torrance Inputs'!$I37/DATEDIF('Torrance Inputs'!$H45,'Torrance Inputs'!$I45,"m"),0)</f>
        <v>0</v>
      </c>
      <c r="CQ69" s="266">
        <f>IF(AND(CQ$10&gt;='Torrance Inputs'!$H45,CQ$10&lt;'Torrance Inputs'!$I45),'Torrance Inputs'!$I37/DATEDIF('Torrance Inputs'!$H45,'Torrance Inputs'!$I45,"m"),0)</f>
        <v>0</v>
      </c>
      <c r="CR69" s="266">
        <f>IF(AND(CR$10&gt;='Torrance Inputs'!$H45,CR$10&lt;'Torrance Inputs'!$I45),'Torrance Inputs'!$I37/DATEDIF('Torrance Inputs'!$H45,'Torrance Inputs'!$I45,"m"),0)</f>
        <v>0</v>
      </c>
      <c r="CS69" s="266">
        <f>IF(AND(CS$10&gt;='Torrance Inputs'!$H45,CS$10&lt;'Torrance Inputs'!$I45),'Torrance Inputs'!$I37/DATEDIF('Torrance Inputs'!$H45,'Torrance Inputs'!$I45,"m"),0)</f>
        <v>0</v>
      </c>
      <c r="CT69" s="266">
        <f>IF(AND(CT$10&gt;='Torrance Inputs'!$H45,CT$10&lt;'Torrance Inputs'!$I45),'Torrance Inputs'!$I37/DATEDIF('Torrance Inputs'!$H45,'Torrance Inputs'!$I45,"m"),0)</f>
        <v>0</v>
      </c>
      <c r="CU69" s="266">
        <f>IF(AND(CU$10&gt;='Torrance Inputs'!$H45,CU$10&lt;'Torrance Inputs'!$I45),'Torrance Inputs'!$I37/DATEDIF('Torrance Inputs'!$H45,'Torrance Inputs'!$I45,"m"),0)</f>
        <v>0</v>
      </c>
      <c r="CV69" s="266">
        <f>IF(AND(CV$10&gt;='Torrance Inputs'!$H45,CV$10&lt;'Torrance Inputs'!$I45),'Torrance Inputs'!$I37/DATEDIF('Torrance Inputs'!$H45,'Torrance Inputs'!$I45,"m"),0)</f>
        <v>0</v>
      </c>
      <c r="CW69" s="266">
        <f>IF(AND(CW$10&gt;='Torrance Inputs'!$H45,CW$10&lt;'Torrance Inputs'!$I45),'Torrance Inputs'!$I37/DATEDIF('Torrance Inputs'!$H45,'Torrance Inputs'!$I45,"m"),0)</f>
        <v>0</v>
      </c>
      <c r="CX69" s="266">
        <f>IF(AND(CX$10&gt;='Torrance Inputs'!$H45,CX$10&lt;'Torrance Inputs'!$I45),'Torrance Inputs'!$I37/DATEDIF('Torrance Inputs'!$H45,'Torrance Inputs'!$I45,"m"),0)</f>
        <v>0</v>
      </c>
      <c r="CY69" s="266">
        <f>IF(AND(CY$10&gt;='Torrance Inputs'!$H45,CY$10&lt;'Torrance Inputs'!$I45),'Torrance Inputs'!$I37/DATEDIF('Torrance Inputs'!$H45,'Torrance Inputs'!$I45,"m"),0)</f>
        <v>0</v>
      </c>
      <c r="CZ69" s="266">
        <f>IF(AND(CZ$10&gt;='Torrance Inputs'!$H45,CZ$10&lt;'Torrance Inputs'!$I45),'Torrance Inputs'!$I37/DATEDIF('Torrance Inputs'!$H45,'Torrance Inputs'!$I45,"m"),0)</f>
        <v>0</v>
      </c>
      <c r="DA69" s="266">
        <f>IF(AND(DA$10&gt;='Torrance Inputs'!$H45,DA$10&lt;'Torrance Inputs'!$I45),'Torrance Inputs'!$I37/DATEDIF('Torrance Inputs'!$H45,'Torrance Inputs'!$I45,"m"),0)</f>
        <v>0</v>
      </c>
      <c r="DB69" s="266">
        <f>IF(AND(DB$10&gt;='Torrance Inputs'!$H45,DB$10&lt;'Torrance Inputs'!$I45),'Torrance Inputs'!$I37/DATEDIF('Torrance Inputs'!$H45,'Torrance Inputs'!$I45,"m"),0)</f>
        <v>0</v>
      </c>
      <c r="DC69" s="266">
        <f>IF(AND(DC$10&gt;='Torrance Inputs'!$H45,DC$10&lt;'Torrance Inputs'!$I45),'Torrance Inputs'!$I37/DATEDIF('Torrance Inputs'!$H45,'Torrance Inputs'!$I45,"m"),0)</f>
        <v>0</v>
      </c>
      <c r="DD69" s="266">
        <f>IF(AND(DD$10&gt;='Torrance Inputs'!$H45,DD$10&lt;'Torrance Inputs'!$I45),'Torrance Inputs'!$I37/DATEDIF('Torrance Inputs'!$H45,'Torrance Inputs'!$I45,"m"),0)</f>
        <v>0</v>
      </c>
      <c r="DE69" s="266">
        <f>IF(AND(DE$10&gt;='Torrance Inputs'!$H45,DE$10&lt;'Torrance Inputs'!$I45),'Torrance Inputs'!$I37/DATEDIF('Torrance Inputs'!$H45,'Torrance Inputs'!$I45,"m"),0)</f>
        <v>0</v>
      </c>
      <c r="DF69" s="266">
        <f>IF(AND(DF$10&gt;='Torrance Inputs'!$H45,DF$10&lt;'Torrance Inputs'!$I45),'Torrance Inputs'!$I37/DATEDIF('Torrance Inputs'!$H45,'Torrance Inputs'!$I45,"m"),0)</f>
        <v>0</v>
      </c>
      <c r="DG69" s="266">
        <f>IF(AND(DG$10&gt;='Torrance Inputs'!$H45,DG$10&lt;'Torrance Inputs'!$I45),'Torrance Inputs'!$I37/DATEDIF('Torrance Inputs'!$H45,'Torrance Inputs'!$I45,"m"),0)</f>
        <v>0</v>
      </c>
      <c r="DH69" s="266">
        <f>IF(AND(DH$10&gt;='Torrance Inputs'!$H45,DH$10&lt;'Torrance Inputs'!$I45),'Torrance Inputs'!$I37/DATEDIF('Torrance Inputs'!$H45,'Torrance Inputs'!$I45,"m"),0)</f>
        <v>0</v>
      </c>
      <c r="DI69" s="266">
        <f>IF(AND(DI$10&gt;='Torrance Inputs'!$H45,DI$10&lt;'Torrance Inputs'!$I45),'Torrance Inputs'!$I37/DATEDIF('Torrance Inputs'!$H45,'Torrance Inputs'!$I45,"m"),0)</f>
        <v>0</v>
      </c>
      <c r="DJ69" s="266">
        <f>IF(AND(DJ$10&gt;='Torrance Inputs'!$H45,DJ$10&lt;'Torrance Inputs'!$I45),'Torrance Inputs'!$I37/DATEDIF('Torrance Inputs'!$H45,'Torrance Inputs'!$I45,"m"),0)</f>
        <v>0</v>
      </c>
      <c r="DK69" s="266">
        <f>IF(AND(DK$10&gt;='Torrance Inputs'!$H45,DK$10&lt;'Torrance Inputs'!$I45),'Torrance Inputs'!$I37/DATEDIF('Torrance Inputs'!$H45,'Torrance Inputs'!$I45,"m"),0)</f>
        <v>0</v>
      </c>
      <c r="DL69" s="266">
        <f>IF(AND(DL$10&gt;='Torrance Inputs'!$H45,DL$10&lt;'Torrance Inputs'!$I45),'Torrance Inputs'!$I37/DATEDIF('Torrance Inputs'!$H45,'Torrance Inputs'!$I45,"m"),0)</f>
        <v>0</v>
      </c>
      <c r="DM69" s="266">
        <f>IF(AND(DM$10&gt;='Torrance Inputs'!$H45,DM$10&lt;'Torrance Inputs'!$I45),'Torrance Inputs'!$I37/DATEDIF('Torrance Inputs'!$H45,'Torrance Inputs'!$I45,"m"),0)</f>
        <v>0</v>
      </c>
      <c r="DN69" s="266">
        <f>IF(AND(DN$10&gt;='Torrance Inputs'!$H45,DN$10&lt;'Torrance Inputs'!$I45),'Torrance Inputs'!$I37/DATEDIF('Torrance Inputs'!$H45,'Torrance Inputs'!$I45,"m"),0)</f>
        <v>0</v>
      </c>
      <c r="DO69" s="266">
        <f>IF(AND(DO$10&gt;='Torrance Inputs'!$H45,DO$10&lt;'Torrance Inputs'!$I45),'Torrance Inputs'!$I37/DATEDIF('Torrance Inputs'!$H45,'Torrance Inputs'!$I45,"m"),0)</f>
        <v>0</v>
      </c>
      <c r="DP69" s="266">
        <f>IF(AND(DP$10&gt;='Torrance Inputs'!$H45,DP$10&lt;'Torrance Inputs'!$I45),'Torrance Inputs'!$I37/DATEDIF('Torrance Inputs'!$H45,'Torrance Inputs'!$I45,"m"),0)</f>
        <v>0</v>
      </c>
      <c r="DQ69" s="266">
        <f>IF(AND(DQ$10&gt;='Torrance Inputs'!$H45,DQ$10&lt;'Torrance Inputs'!$I45),'Torrance Inputs'!$I37/DATEDIF('Torrance Inputs'!$H45,'Torrance Inputs'!$I45,"m"),0)</f>
        <v>0</v>
      </c>
      <c r="DR69" s="266">
        <f>IF(AND(DR$10&gt;='Torrance Inputs'!$H45,DR$10&lt;'Torrance Inputs'!$I45),'Torrance Inputs'!$I37/DATEDIF('Torrance Inputs'!$H45,'Torrance Inputs'!$I45,"m"),0)</f>
        <v>0</v>
      </c>
      <c r="DS69" s="266">
        <f>IF(AND(DS$10&gt;='Torrance Inputs'!$H45,DS$10&lt;'Torrance Inputs'!$I45),'Torrance Inputs'!$I37/DATEDIF('Torrance Inputs'!$H45,'Torrance Inputs'!$I45,"m"),0)</f>
        <v>0</v>
      </c>
      <c r="DT69" s="266">
        <f>IF(AND(DT$10&gt;='Torrance Inputs'!$H45,DT$10&lt;'Torrance Inputs'!$I45),'Torrance Inputs'!$I37/DATEDIF('Torrance Inputs'!$H45,'Torrance Inputs'!$I45,"m"),0)</f>
        <v>0</v>
      </c>
      <c r="DU69" s="266">
        <f>IF(AND(DU$10&gt;='Torrance Inputs'!$H45,DU$10&lt;'Torrance Inputs'!$I45),'Torrance Inputs'!$I37/DATEDIF('Torrance Inputs'!$H45,'Torrance Inputs'!$I45,"m"),0)</f>
        <v>0</v>
      </c>
      <c r="DV69" s="266">
        <f>IF(AND(DV$10&gt;='Torrance Inputs'!$H45,DV$10&lt;'Torrance Inputs'!$I45),'Torrance Inputs'!$I37/DATEDIF('Torrance Inputs'!$H45,'Torrance Inputs'!$I45,"m"),0)</f>
        <v>0</v>
      </c>
      <c r="DW69" s="266">
        <f>IF(AND(DW$10&gt;='Torrance Inputs'!$H45,DW$10&lt;'Torrance Inputs'!$I45),'Torrance Inputs'!$I37/DATEDIF('Torrance Inputs'!$H45,'Torrance Inputs'!$I45,"m"),0)</f>
        <v>0</v>
      </c>
      <c r="DX69" s="266">
        <f>IF(AND(DX$10&gt;='Torrance Inputs'!$H45,DX$10&lt;'Torrance Inputs'!$I45),'Torrance Inputs'!$I37/DATEDIF('Torrance Inputs'!$H45,'Torrance Inputs'!$I45,"m"),0)</f>
        <v>0</v>
      </c>
      <c r="DY69" s="266">
        <f>IF(AND(DY$10&gt;='Torrance Inputs'!$H45,DY$10&lt;'Torrance Inputs'!$I45),'Torrance Inputs'!$I37/DATEDIF('Torrance Inputs'!$H45,'Torrance Inputs'!$I45,"m"),0)</f>
        <v>0</v>
      </c>
      <c r="DZ69" s="266">
        <f>IF(AND(DZ$10&gt;='Torrance Inputs'!$H45,DZ$10&lt;'Torrance Inputs'!$I45),'Torrance Inputs'!$I37/DATEDIF('Torrance Inputs'!$H45,'Torrance Inputs'!$I45,"m"),0)</f>
        <v>0</v>
      </c>
      <c r="EA69" s="266">
        <f>IF(AND(EA$10&gt;='Torrance Inputs'!$H45,EA$10&lt;'Torrance Inputs'!$I45),'Torrance Inputs'!$I37/DATEDIF('Torrance Inputs'!$H45,'Torrance Inputs'!$I45,"m"),0)</f>
        <v>0</v>
      </c>
      <c r="EB69" s="266">
        <f>IF(AND(EB$10&gt;='Torrance Inputs'!$H45,EB$10&lt;'Torrance Inputs'!$I45),'Torrance Inputs'!$I37/DATEDIF('Torrance Inputs'!$H45,'Torrance Inputs'!$I45,"m"),0)</f>
        <v>0</v>
      </c>
      <c r="EC69" s="266">
        <f>IF(AND(EC$10&gt;='Torrance Inputs'!$H45,EC$10&lt;'Torrance Inputs'!$I45),'Torrance Inputs'!$I37/DATEDIF('Torrance Inputs'!$H45,'Torrance Inputs'!$I45,"m"),0)</f>
        <v>0</v>
      </c>
      <c r="ED69" s="266">
        <f>IF(AND(ED$10&gt;='Torrance Inputs'!$H45,ED$10&lt;'Torrance Inputs'!$I45),'Torrance Inputs'!$I37/DATEDIF('Torrance Inputs'!$H45,'Torrance Inputs'!$I45,"m"),0)</f>
        <v>0</v>
      </c>
    </row>
    <row r="70" spans="1:134" ht="19.149999999999999" customHeight="1" x14ac:dyDescent="0.4">
      <c r="A70" s="265" t="s">
        <v>61</v>
      </c>
      <c r="B70" s="264"/>
      <c r="C70" s="266">
        <f>IF(AND(C$10&gt;='Torrance Inputs'!$H46,C$10&lt;'Torrance Inputs'!$I46),'Torrance Inputs'!$I38/DATEDIF('Torrance Inputs'!$H46,'Torrance Inputs'!$I46,"m"),0)</f>
        <v>0</v>
      </c>
      <c r="D70" s="266">
        <f>IF(AND(D$10&gt;='Torrance Inputs'!$H46,D$10&lt;'Torrance Inputs'!$I46),'Torrance Inputs'!$I38/DATEDIF('Torrance Inputs'!$H46,'Torrance Inputs'!$I46,"m"),0)</f>
        <v>0</v>
      </c>
      <c r="E70" s="266">
        <f>IF(AND(E$10&gt;='Torrance Inputs'!$H46,E$10&lt;'Torrance Inputs'!$I46),'Torrance Inputs'!$I38/DATEDIF('Torrance Inputs'!$H46,'Torrance Inputs'!$I46,"m"),0)</f>
        <v>0</v>
      </c>
      <c r="F70" s="266">
        <f>IF(AND(F$10&gt;='Torrance Inputs'!$H46,F$10&lt;'Torrance Inputs'!$I46),'Torrance Inputs'!$I38/DATEDIF('Torrance Inputs'!$H46,'Torrance Inputs'!$I46,"m"),0)</f>
        <v>0</v>
      </c>
      <c r="G70" s="266">
        <f>IF(AND(G$10&gt;='Torrance Inputs'!$H46,G$10&lt;'Torrance Inputs'!$I46),'Torrance Inputs'!$I38/DATEDIF('Torrance Inputs'!$H46,'Torrance Inputs'!$I46,"m"),0)</f>
        <v>0</v>
      </c>
      <c r="H70" s="266">
        <f>IF(AND(H$10&gt;='Torrance Inputs'!$H46,H$10&lt;'Torrance Inputs'!$I46),'Torrance Inputs'!$I38/DATEDIF('Torrance Inputs'!$H46,'Torrance Inputs'!$I46,"m"),0)</f>
        <v>0</v>
      </c>
      <c r="I70" s="266">
        <f>IF(AND(I$10&gt;='Torrance Inputs'!$H46,I$10&lt;'Torrance Inputs'!$I46),'Torrance Inputs'!$I38/DATEDIF('Torrance Inputs'!$H46,'Torrance Inputs'!$I46,"m"),0)</f>
        <v>0</v>
      </c>
      <c r="J70" s="266">
        <f>IF(AND(J$10&gt;='Torrance Inputs'!$H46,J$10&lt;'Torrance Inputs'!$I46),'Torrance Inputs'!$I38/DATEDIF('Torrance Inputs'!$H46,'Torrance Inputs'!$I46,"m"),0)</f>
        <v>0</v>
      </c>
      <c r="K70" s="266">
        <f>IF(AND(K$10&gt;='Torrance Inputs'!$H46,K$10&lt;'Torrance Inputs'!$I46),'Torrance Inputs'!$I38/DATEDIF('Torrance Inputs'!$H46,'Torrance Inputs'!$I46,"m"),0)</f>
        <v>0</v>
      </c>
      <c r="L70" s="266">
        <f>IF(AND(L$10&gt;='Torrance Inputs'!$H46,L$10&lt;'Torrance Inputs'!$I46),'Torrance Inputs'!$I38/DATEDIF('Torrance Inputs'!$H46,'Torrance Inputs'!$I46,"m"),0)</f>
        <v>0</v>
      </c>
      <c r="M70" s="266">
        <f>IF(AND(M$10&gt;='Torrance Inputs'!$H46,M$10&lt;'Torrance Inputs'!$I46),'Torrance Inputs'!$I38/DATEDIF('Torrance Inputs'!$H46,'Torrance Inputs'!$I46,"m"),0)</f>
        <v>0</v>
      </c>
      <c r="N70" s="266">
        <f>IF(AND(N$10&gt;='Torrance Inputs'!$H46,N$10&lt;'Torrance Inputs'!$I46),'Torrance Inputs'!$I38/DATEDIF('Torrance Inputs'!$H46,'Torrance Inputs'!$I46,"m"),0)</f>
        <v>0</v>
      </c>
      <c r="O70" s="266">
        <f>IF(AND(O$10&gt;='Torrance Inputs'!$H46,O$10&lt;'Torrance Inputs'!$I46),'Torrance Inputs'!$I38/DATEDIF('Torrance Inputs'!$H46,'Torrance Inputs'!$I46,"m"),0)</f>
        <v>0</v>
      </c>
      <c r="P70" s="266">
        <f>IF(AND(P$10&gt;='Torrance Inputs'!$H46,P$10&lt;'Torrance Inputs'!$I46),'Torrance Inputs'!$I38/DATEDIF('Torrance Inputs'!$H46,'Torrance Inputs'!$I46,"m"),0)</f>
        <v>0</v>
      </c>
      <c r="Q70" s="266">
        <f>IF(AND(Q$10&gt;='Torrance Inputs'!$H46,Q$10&lt;'Torrance Inputs'!$I46),'Torrance Inputs'!$I38/DATEDIF('Torrance Inputs'!$H46,'Torrance Inputs'!$I46,"m"),0)</f>
        <v>0</v>
      </c>
      <c r="R70" s="266">
        <f>IF(AND(R$10&gt;='Torrance Inputs'!$H46,R$10&lt;'Torrance Inputs'!$I46),'Torrance Inputs'!$I38/DATEDIF('Torrance Inputs'!$H46,'Torrance Inputs'!$I46,"m"),0)</f>
        <v>0</v>
      </c>
      <c r="S70" s="266">
        <f>IF(AND(S$10&gt;='Torrance Inputs'!$H46,S$10&lt;'Torrance Inputs'!$I46),'Torrance Inputs'!$I38/DATEDIF('Torrance Inputs'!$H46,'Torrance Inputs'!$I46,"m"),0)</f>
        <v>0</v>
      </c>
      <c r="T70" s="266">
        <f>IF(AND(T$10&gt;='Torrance Inputs'!$H46,T$10&lt;'Torrance Inputs'!$I46),'Torrance Inputs'!$I38/DATEDIF('Torrance Inputs'!$H46,'Torrance Inputs'!$I46,"m"),0)</f>
        <v>0</v>
      </c>
      <c r="U70" s="266">
        <f>IF(AND(U$10&gt;='Torrance Inputs'!$H46,U$10&lt;'Torrance Inputs'!$I46),'Torrance Inputs'!$I38/DATEDIF('Torrance Inputs'!$H46,'Torrance Inputs'!$I46,"m"),0)</f>
        <v>0</v>
      </c>
      <c r="V70" s="266">
        <f>IF(AND(V$10&gt;='Torrance Inputs'!$H46,V$10&lt;'Torrance Inputs'!$I46),'Torrance Inputs'!$I38/DATEDIF('Torrance Inputs'!$H46,'Torrance Inputs'!$I46,"m"),0)</f>
        <v>0</v>
      </c>
      <c r="W70" s="266">
        <f>IF(AND(W$10&gt;='Torrance Inputs'!$H46,W$10&lt;'Torrance Inputs'!$I46),'Torrance Inputs'!$I38/DATEDIF('Torrance Inputs'!$H46,'Torrance Inputs'!$I46,"m"),0)</f>
        <v>0</v>
      </c>
      <c r="X70" s="266">
        <f>IF(AND(X$10&gt;='Torrance Inputs'!$H46,X$10&lt;'Torrance Inputs'!$I46),'Torrance Inputs'!$I38/DATEDIF('Torrance Inputs'!$H46,'Torrance Inputs'!$I46,"m"),0)</f>
        <v>0</v>
      </c>
      <c r="Y70" s="266">
        <f>IF(AND(Y$10&gt;='Torrance Inputs'!$H46,Y$10&lt;'Torrance Inputs'!$I46),'Torrance Inputs'!$I38/DATEDIF('Torrance Inputs'!$H46,'Torrance Inputs'!$I46,"m"),0)</f>
        <v>0</v>
      </c>
      <c r="Z70" s="266">
        <f>IF(AND(Z$10&gt;='Torrance Inputs'!$H46,Z$10&lt;'Torrance Inputs'!$I46),'Torrance Inputs'!$I38/DATEDIF('Torrance Inputs'!$H46,'Torrance Inputs'!$I46,"m"),0)</f>
        <v>0</v>
      </c>
      <c r="AA70" s="266">
        <f>IF(AND(AA$10&gt;='Torrance Inputs'!$H46,AA$10&lt;'Torrance Inputs'!$I46),'Torrance Inputs'!$I38/DATEDIF('Torrance Inputs'!$H46,'Torrance Inputs'!$I46,"m"),0)</f>
        <v>0</v>
      </c>
      <c r="AB70" s="266">
        <f>IF(AND(AB$10&gt;='Torrance Inputs'!$H46,AB$10&lt;'Torrance Inputs'!$I46),'Torrance Inputs'!$I38/DATEDIF('Torrance Inputs'!$H46,'Torrance Inputs'!$I46,"m"),0)</f>
        <v>0</v>
      </c>
      <c r="AC70" s="266">
        <f>IF(AND(AC$10&gt;='Torrance Inputs'!$H46,AC$10&lt;'Torrance Inputs'!$I46),'Torrance Inputs'!$I38/DATEDIF('Torrance Inputs'!$H46,'Torrance Inputs'!$I46,"m"),0)</f>
        <v>0</v>
      </c>
      <c r="AD70" s="266">
        <f>IF(AND(AD$10&gt;='Torrance Inputs'!$H46,AD$10&lt;'Torrance Inputs'!$I46),'Torrance Inputs'!$I38/DATEDIF('Torrance Inputs'!$H46,'Torrance Inputs'!$I46,"m"),0)</f>
        <v>0</v>
      </c>
      <c r="AE70" s="266">
        <f>IF(AND(AE$10&gt;='Torrance Inputs'!$H46,AE$10&lt;'Torrance Inputs'!$I46),'Torrance Inputs'!$I38/DATEDIF('Torrance Inputs'!$H46,'Torrance Inputs'!$I46,"m"),0)</f>
        <v>0</v>
      </c>
      <c r="AF70" s="266">
        <f>IF(AND(AF$10&gt;='Torrance Inputs'!$H46,AF$10&lt;'Torrance Inputs'!$I46),'Torrance Inputs'!$I38/DATEDIF('Torrance Inputs'!$H46,'Torrance Inputs'!$I46,"m"),0)</f>
        <v>0</v>
      </c>
      <c r="AG70" s="266">
        <f>IF(AND(AG$10&gt;='Torrance Inputs'!$H46,AG$10&lt;'Torrance Inputs'!$I46),'Torrance Inputs'!$I38/DATEDIF('Torrance Inputs'!$H46,'Torrance Inputs'!$I46,"m"),0)</f>
        <v>0</v>
      </c>
      <c r="AH70" s="266">
        <f>IF(AND(AH$10&gt;='Torrance Inputs'!$H46,AH$10&lt;'Torrance Inputs'!$I46),'Torrance Inputs'!$I38/DATEDIF('Torrance Inputs'!$H46,'Torrance Inputs'!$I46,"m"),0)</f>
        <v>0</v>
      </c>
      <c r="AI70" s="266">
        <f>IF(AND(AI$10&gt;='Torrance Inputs'!$H46,AI$10&lt;'Torrance Inputs'!$I46),'Torrance Inputs'!$I38/DATEDIF('Torrance Inputs'!$H46,'Torrance Inputs'!$I46,"m"),0)</f>
        <v>0</v>
      </c>
      <c r="AJ70" s="266">
        <f>IF(AND(AJ$10&gt;='Torrance Inputs'!$H46,AJ$10&lt;'Torrance Inputs'!$I46),'Torrance Inputs'!$I38/DATEDIF('Torrance Inputs'!$H46,'Torrance Inputs'!$I46,"m"),0)</f>
        <v>0</v>
      </c>
      <c r="AK70" s="266">
        <f>IF(AND(AK$10&gt;='Torrance Inputs'!$H46,AK$10&lt;'Torrance Inputs'!$I46),'Torrance Inputs'!$I38/DATEDIF('Torrance Inputs'!$H46,'Torrance Inputs'!$I46,"m"),0)</f>
        <v>0</v>
      </c>
      <c r="AL70" s="266">
        <f>IF(AND(AL$10&gt;='Torrance Inputs'!$H46,AL$10&lt;'Torrance Inputs'!$I46),'Torrance Inputs'!$I38/DATEDIF('Torrance Inputs'!$H46,'Torrance Inputs'!$I46,"m"),0)</f>
        <v>0</v>
      </c>
      <c r="AM70" s="266">
        <f>IF(AND(AM$10&gt;='Torrance Inputs'!$H46,AM$10&lt;'Torrance Inputs'!$I46),'Torrance Inputs'!$I38/DATEDIF('Torrance Inputs'!$H46,'Torrance Inputs'!$I46,"m"),0)</f>
        <v>0</v>
      </c>
      <c r="AN70" s="266">
        <f>IF(AND(AN$10&gt;='Torrance Inputs'!$H46,AN$10&lt;'Torrance Inputs'!$I46),'Torrance Inputs'!$I38/DATEDIF('Torrance Inputs'!$H46,'Torrance Inputs'!$I46,"m"),0)</f>
        <v>0</v>
      </c>
      <c r="AO70" s="266">
        <f>IF(AND(AO$10&gt;='Torrance Inputs'!$H46,AO$10&lt;'Torrance Inputs'!$I46),'Torrance Inputs'!$I38/DATEDIF('Torrance Inputs'!$H46,'Torrance Inputs'!$I46,"m"),0)</f>
        <v>0</v>
      </c>
      <c r="AP70" s="266">
        <f>IF(AND(AP$10&gt;='Torrance Inputs'!$H46,AP$10&lt;'Torrance Inputs'!$I46),'Torrance Inputs'!$I38/DATEDIF('Torrance Inputs'!$H46,'Torrance Inputs'!$I46,"m"),0)</f>
        <v>0</v>
      </c>
      <c r="AQ70" s="266">
        <f>IF(AND(AQ$10&gt;='Torrance Inputs'!$H46,AQ$10&lt;'Torrance Inputs'!$I46),'Torrance Inputs'!$I38/DATEDIF('Torrance Inputs'!$H46,'Torrance Inputs'!$I46,"m"),0)</f>
        <v>0</v>
      </c>
      <c r="AR70" s="266">
        <f>IF(AND(AR$10&gt;='Torrance Inputs'!$H46,AR$10&lt;'Torrance Inputs'!$I46),'Torrance Inputs'!$I38/DATEDIF('Torrance Inputs'!$H46,'Torrance Inputs'!$I46,"m"),0)</f>
        <v>0</v>
      </c>
      <c r="AS70" s="266">
        <f>IF(AND(AS$10&gt;='Torrance Inputs'!$H46,AS$10&lt;'Torrance Inputs'!$I46),'Torrance Inputs'!$I38/DATEDIF('Torrance Inputs'!$H46,'Torrance Inputs'!$I46,"m"),0)</f>
        <v>0</v>
      </c>
      <c r="AT70" s="266">
        <f>IF(AND(AT$10&gt;='Torrance Inputs'!$H46,AT$10&lt;'Torrance Inputs'!$I46),'Torrance Inputs'!$I38/DATEDIF('Torrance Inputs'!$H46,'Torrance Inputs'!$I46,"m"),0)</f>
        <v>0</v>
      </c>
      <c r="AU70" s="266">
        <f>IF(AND(AU$10&gt;='Torrance Inputs'!$H46,AU$10&lt;'Torrance Inputs'!$I46),'Torrance Inputs'!$I38/DATEDIF('Torrance Inputs'!$H46,'Torrance Inputs'!$I46,"m"),0)</f>
        <v>0</v>
      </c>
      <c r="AV70" s="266">
        <f>IF(AND(AV$10&gt;='Torrance Inputs'!$H46,AV$10&lt;'Torrance Inputs'!$I46),'Torrance Inputs'!$I38/DATEDIF('Torrance Inputs'!$H46,'Torrance Inputs'!$I46,"m"),0)</f>
        <v>0</v>
      </c>
      <c r="AW70" s="266">
        <f>IF(AND(AW$10&gt;='Torrance Inputs'!$H46,AW$10&lt;'Torrance Inputs'!$I46),'Torrance Inputs'!$I38/DATEDIF('Torrance Inputs'!$H46,'Torrance Inputs'!$I46,"m"),0)</f>
        <v>0</v>
      </c>
      <c r="AX70" s="266">
        <f>IF(AND(AX$10&gt;='Torrance Inputs'!$H46,AX$10&lt;'Torrance Inputs'!$I46),'Torrance Inputs'!$I38/DATEDIF('Torrance Inputs'!$H46,'Torrance Inputs'!$I46,"m"),0)</f>
        <v>0</v>
      </c>
      <c r="AY70" s="266">
        <f>IF(AND(AY$10&gt;='Torrance Inputs'!$H46,AY$10&lt;'Torrance Inputs'!$I46),'Torrance Inputs'!$I38/DATEDIF('Torrance Inputs'!$H46,'Torrance Inputs'!$I46,"m"),0)</f>
        <v>0</v>
      </c>
      <c r="AZ70" s="266">
        <f>IF(AND(AZ$10&gt;='Torrance Inputs'!$H46,AZ$10&lt;'Torrance Inputs'!$I46),'Torrance Inputs'!$I38/DATEDIF('Torrance Inputs'!$H46,'Torrance Inputs'!$I46,"m"),0)</f>
        <v>0</v>
      </c>
      <c r="BA70" s="266">
        <f>IF(AND(BA$10&gt;='Torrance Inputs'!$H46,BA$10&lt;'Torrance Inputs'!$I46),'Torrance Inputs'!$I38/DATEDIF('Torrance Inputs'!$H46,'Torrance Inputs'!$I46,"m"),0)</f>
        <v>0</v>
      </c>
      <c r="BB70" s="266">
        <f>IF(AND(BB$10&gt;='Torrance Inputs'!$H46,BB$10&lt;'Torrance Inputs'!$I46),'Torrance Inputs'!$I38/DATEDIF('Torrance Inputs'!$H46,'Torrance Inputs'!$I46,"m"),0)</f>
        <v>0</v>
      </c>
      <c r="BC70" s="266">
        <f>IF(AND(BC$10&gt;='Torrance Inputs'!$H46,BC$10&lt;'Torrance Inputs'!$I46),'Torrance Inputs'!$I38/DATEDIF('Torrance Inputs'!$H46,'Torrance Inputs'!$I46,"m"),0)</f>
        <v>0</v>
      </c>
      <c r="BD70" s="266">
        <f>IF(AND(BD$10&gt;='Torrance Inputs'!$H46,BD$10&lt;'Torrance Inputs'!$I46),'Torrance Inputs'!$I38/DATEDIF('Torrance Inputs'!$H46,'Torrance Inputs'!$I46,"m"),0)</f>
        <v>0</v>
      </c>
      <c r="BE70" s="266">
        <f>IF(AND(BE$10&gt;='Torrance Inputs'!$H46,BE$10&lt;'Torrance Inputs'!$I46),'Torrance Inputs'!$I38/DATEDIF('Torrance Inputs'!$H46,'Torrance Inputs'!$I46,"m"),0)</f>
        <v>0</v>
      </c>
      <c r="BF70" s="266">
        <f>IF(AND(BF$10&gt;='Torrance Inputs'!$H46,BF$10&lt;'Torrance Inputs'!$I46),'Torrance Inputs'!$I38/DATEDIF('Torrance Inputs'!$H46,'Torrance Inputs'!$I46,"m"),0)</f>
        <v>0</v>
      </c>
      <c r="BG70" s="266">
        <f>IF(AND(BG$10&gt;='Torrance Inputs'!$H46,BG$10&lt;'Torrance Inputs'!$I46),'Torrance Inputs'!$I38/DATEDIF('Torrance Inputs'!$H46,'Torrance Inputs'!$I46,"m"),0)</f>
        <v>0</v>
      </c>
      <c r="BH70" s="266">
        <f>IF(AND(BH$10&gt;='Torrance Inputs'!$H46,BH$10&lt;'Torrance Inputs'!$I46),'Torrance Inputs'!$I38/DATEDIF('Torrance Inputs'!$H46,'Torrance Inputs'!$I46,"m"),0)</f>
        <v>0</v>
      </c>
      <c r="BI70" s="266">
        <f>IF(AND(BI$10&gt;='Torrance Inputs'!$H46,BI$10&lt;'Torrance Inputs'!$I46),'Torrance Inputs'!$I38/DATEDIF('Torrance Inputs'!$H46,'Torrance Inputs'!$I46,"m"),0)</f>
        <v>0</v>
      </c>
      <c r="BJ70" s="266">
        <f>IF(AND(BJ$10&gt;='Torrance Inputs'!$H46,BJ$10&lt;'Torrance Inputs'!$I46),'Torrance Inputs'!$I38/DATEDIF('Torrance Inputs'!$H46,'Torrance Inputs'!$I46,"m"),0)</f>
        <v>0</v>
      </c>
      <c r="BK70" s="266">
        <f>IF(AND(BK$10&gt;='Torrance Inputs'!$H46,BK$10&lt;'Torrance Inputs'!$I46),'Torrance Inputs'!$I38/DATEDIF('Torrance Inputs'!$H46,'Torrance Inputs'!$I46,"m"),0)</f>
        <v>0</v>
      </c>
      <c r="BL70" s="266">
        <f>IF(AND(BL$10&gt;='Torrance Inputs'!$H46,BL$10&lt;'Torrance Inputs'!$I46),'Torrance Inputs'!$I38/DATEDIF('Torrance Inputs'!$H46,'Torrance Inputs'!$I46,"m"),0)</f>
        <v>0</v>
      </c>
      <c r="BM70" s="266">
        <f>IF(AND(BM$10&gt;='Torrance Inputs'!$H46,BM$10&lt;'Torrance Inputs'!$I46),'Torrance Inputs'!$I38/DATEDIF('Torrance Inputs'!$H46,'Torrance Inputs'!$I46,"m"),0)</f>
        <v>0</v>
      </c>
      <c r="BN70" s="266">
        <f>IF(AND(BN$10&gt;='Torrance Inputs'!$H46,BN$10&lt;'Torrance Inputs'!$I46),'Torrance Inputs'!$I38/DATEDIF('Torrance Inputs'!$H46,'Torrance Inputs'!$I46,"m"),0)</f>
        <v>0</v>
      </c>
      <c r="BO70" s="266">
        <f>IF(AND(BO$10&gt;='Torrance Inputs'!$H46,BO$10&lt;'Torrance Inputs'!$I46),'Torrance Inputs'!$I38/DATEDIF('Torrance Inputs'!$H46,'Torrance Inputs'!$I46,"m"),0)</f>
        <v>0</v>
      </c>
      <c r="BP70" s="266">
        <f>IF(AND(BP$10&gt;='Torrance Inputs'!$H46,BP$10&lt;'Torrance Inputs'!$I46),'Torrance Inputs'!$I38/DATEDIF('Torrance Inputs'!$H46,'Torrance Inputs'!$I46,"m"),0)</f>
        <v>0</v>
      </c>
      <c r="BQ70" s="266">
        <f>IF(AND(BQ$10&gt;='Torrance Inputs'!$H46,BQ$10&lt;'Torrance Inputs'!$I46),'Torrance Inputs'!$I38/DATEDIF('Torrance Inputs'!$H46,'Torrance Inputs'!$I46,"m"),0)</f>
        <v>0</v>
      </c>
      <c r="BR70" s="266">
        <f>IF(AND(BR$10&gt;='Torrance Inputs'!$H46,BR$10&lt;'Torrance Inputs'!$I46),'Torrance Inputs'!$I38/DATEDIF('Torrance Inputs'!$H46,'Torrance Inputs'!$I46,"m"),0)</f>
        <v>0</v>
      </c>
      <c r="BS70" s="266">
        <f>IF(AND(BS$10&gt;='Torrance Inputs'!$H46,BS$10&lt;'Torrance Inputs'!$I46),'Torrance Inputs'!$I38/DATEDIF('Torrance Inputs'!$H46,'Torrance Inputs'!$I46,"m"),0)</f>
        <v>0</v>
      </c>
      <c r="BT70" s="266">
        <f>IF(AND(BT$10&gt;='Torrance Inputs'!$H46,BT$10&lt;'Torrance Inputs'!$I46),'Torrance Inputs'!$I38/DATEDIF('Torrance Inputs'!$H46,'Torrance Inputs'!$I46,"m"),0)</f>
        <v>0</v>
      </c>
      <c r="BU70" s="266">
        <f>IF(AND(BU$10&gt;='Torrance Inputs'!$H46,BU$10&lt;'Torrance Inputs'!$I46),'Torrance Inputs'!$I38/DATEDIF('Torrance Inputs'!$H46,'Torrance Inputs'!$I46,"m"),0)</f>
        <v>0</v>
      </c>
      <c r="BV70" s="266">
        <f>IF(AND(BV$10&gt;='Torrance Inputs'!$H46,BV$10&lt;'Torrance Inputs'!$I46),'Torrance Inputs'!$I38/DATEDIF('Torrance Inputs'!$H46,'Torrance Inputs'!$I46,"m"),0)</f>
        <v>0</v>
      </c>
      <c r="BW70" s="266">
        <f>IF(AND(BW$10&gt;='Torrance Inputs'!$H46,BW$10&lt;'Torrance Inputs'!$I46),'Torrance Inputs'!$I38/DATEDIF('Torrance Inputs'!$H46,'Torrance Inputs'!$I46,"m"),0)</f>
        <v>0</v>
      </c>
      <c r="BX70" s="266">
        <f>IF(AND(BX$10&gt;='Torrance Inputs'!$H46,BX$10&lt;'Torrance Inputs'!$I46),'Torrance Inputs'!$I38/DATEDIF('Torrance Inputs'!$H46,'Torrance Inputs'!$I46,"m"),0)</f>
        <v>2083333.3333333333</v>
      </c>
      <c r="BY70" s="266">
        <f>IF(AND(BY$10&gt;='Torrance Inputs'!$H46,BY$10&lt;'Torrance Inputs'!$I46),'Torrance Inputs'!$I38/DATEDIF('Torrance Inputs'!$H46,'Torrance Inputs'!$I46,"m"),0)</f>
        <v>2083333.3333333333</v>
      </c>
      <c r="BZ70" s="266">
        <f>IF(AND(BZ$10&gt;='Torrance Inputs'!$H46,BZ$10&lt;'Torrance Inputs'!$I46),'Torrance Inputs'!$I38/DATEDIF('Torrance Inputs'!$H46,'Torrance Inputs'!$I46,"m"),0)</f>
        <v>2083333.3333333333</v>
      </c>
      <c r="CA70" s="266">
        <f>IF(AND(CA$10&gt;='Torrance Inputs'!$H46,CA$10&lt;'Torrance Inputs'!$I46),'Torrance Inputs'!$I38/DATEDIF('Torrance Inputs'!$H46,'Torrance Inputs'!$I46,"m"),0)</f>
        <v>2083333.3333333333</v>
      </c>
      <c r="CB70" s="266">
        <f>IF(AND(CB$10&gt;='Torrance Inputs'!$H46,CB$10&lt;'Torrance Inputs'!$I46),'Torrance Inputs'!$I38/DATEDIF('Torrance Inputs'!$H46,'Torrance Inputs'!$I46,"m"),0)</f>
        <v>2083333.3333333333</v>
      </c>
      <c r="CC70" s="266">
        <f>IF(AND(CC$10&gt;='Torrance Inputs'!$H46,CC$10&lt;'Torrance Inputs'!$I46),'Torrance Inputs'!$I38/DATEDIF('Torrance Inputs'!$H46,'Torrance Inputs'!$I46,"m"),0)</f>
        <v>2083333.3333333333</v>
      </c>
      <c r="CD70" s="266">
        <f>IF(AND(CD$10&gt;='Torrance Inputs'!$H46,CD$10&lt;'Torrance Inputs'!$I46),'Torrance Inputs'!$I38/DATEDIF('Torrance Inputs'!$H46,'Torrance Inputs'!$I46,"m"),0)</f>
        <v>0</v>
      </c>
      <c r="CE70" s="266">
        <f>IF(AND(CE$10&gt;='Torrance Inputs'!$H46,CE$10&lt;'Torrance Inputs'!$I46),'Torrance Inputs'!$I38/DATEDIF('Torrance Inputs'!$H46,'Torrance Inputs'!$I46,"m"),0)</f>
        <v>0</v>
      </c>
      <c r="CF70" s="266">
        <f>IF(AND(CF$10&gt;='Torrance Inputs'!$H46,CF$10&lt;'Torrance Inputs'!$I46),'Torrance Inputs'!$I38/DATEDIF('Torrance Inputs'!$H46,'Torrance Inputs'!$I46,"m"),0)</f>
        <v>0</v>
      </c>
      <c r="CG70" s="266">
        <f>IF(AND(CG$10&gt;='Torrance Inputs'!$H46,CG$10&lt;'Torrance Inputs'!$I46),'Torrance Inputs'!$I38/DATEDIF('Torrance Inputs'!$H46,'Torrance Inputs'!$I46,"m"),0)</f>
        <v>0</v>
      </c>
      <c r="CH70" s="266">
        <f>IF(AND(CH$10&gt;='Torrance Inputs'!$H46,CH$10&lt;'Torrance Inputs'!$I46),'Torrance Inputs'!$I38/DATEDIF('Torrance Inputs'!$H46,'Torrance Inputs'!$I46,"m"),0)</f>
        <v>0</v>
      </c>
      <c r="CI70" s="266">
        <f>IF(AND(CI$10&gt;='Torrance Inputs'!$H46,CI$10&lt;'Torrance Inputs'!$I46),'Torrance Inputs'!$I38/DATEDIF('Torrance Inputs'!$H46,'Torrance Inputs'!$I46,"m"),0)</f>
        <v>0</v>
      </c>
      <c r="CJ70" s="266">
        <f>IF(AND(CJ$10&gt;='Torrance Inputs'!$H46,CJ$10&lt;'Torrance Inputs'!$I46),'Torrance Inputs'!$I38/DATEDIF('Torrance Inputs'!$H46,'Torrance Inputs'!$I46,"m"),0)</f>
        <v>0</v>
      </c>
      <c r="CK70" s="266">
        <f>IF(AND(CK$10&gt;='Torrance Inputs'!$H46,CK$10&lt;'Torrance Inputs'!$I46),'Torrance Inputs'!$I38/DATEDIF('Torrance Inputs'!$H46,'Torrance Inputs'!$I46,"m"),0)</f>
        <v>0</v>
      </c>
      <c r="CL70" s="266">
        <f>IF(AND(CL$10&gt;='Torrance Inputs'!$H46,CL$10&lt;'Torrance Inputs'!$I46),'Torrance Inputs'!$I38/DATEDIF('Torrance Inputs'!$H46,'Torrance Inputs'!$I46,"m"),0)</f>
        <v>0</v>
      </c>
      <c r="CM70" s="266">
        <f>IF(AND(CM$10&gt;='Torrance Inputs'!$H46,CM$10&lt;'Torrance Inputs'!$I46),'Torrance Inputs'!$I38/DATEDIF('Torrance Inputs'!$H46,'Torrance Inputs'!$I46,"m"),0)</f>
        <v>0</v>
      </c>
      <c r="CN70" s="266">
        <f>IF(AND(CN$10&gt;='Torrance Inputs'!$H46,CN$10&lt;'Torrance Inputs'!$I46),'Torrance Inputs'!$I38/DATEDIF('Torrance Inputs'!$H46,'Torrance Inputs'!$I46,"m"),0)</f>
        <v>0</v>
      </c>
      <c r="CO70" s="266">
        <f>IF(AND(CO$10&gt;='Torrance Inputs'!$H46,CO$10&lt;'Torrance Inputs'!$I46),'Torrance Inputs'!$I38/DATEDIF('Torrance Inputs'!$H46,'Torrance Inputs'!$I46,"m"),0)</f>
        <v>0</v>
      </c>
      <c r="CP70" s="266">
        <f>IF(AND(CP$10&gt;='Torrance Inputs'!$H46,CP$10&lt;'Torrance Inputs'!$I46),'Torrance Inputs'!$I38/DATEDIF('Torrance Inputs'!$H46,'Torrance Inputs'!$I46,"m"),0)</f>
        <v>0</v>
      </c>
      <c r="CQ70" s="266">
        <f>IF(AND(CQ$10&gt;='Torrance Inputs'!$H46,CQ$10&lt;'Torrance Inputs'!$I46),'Torrance Inputs'!$I38/DATEDIF('Torrance Inputs'!$H46,'Torrance Inputs'!$I46,"m"),0)</f>
        <v>0</v>
      </c>
      <c r="CR70" s="266">
        <f>IF(AND(CR$10&gt;='Torrance Inputs'!$H46,CR$10&lt;'Torrance Inputs'!$I46),'Torrance Inputs'!$I38/DATEDIF('Torrance Inputs'!$H46,'Torrance Inputs'!$I46,"m"),0)</f>
        <v>0</v>
      </c>
      <c r="CS70" s="266">
        <f>IF(AND(CS$10&gt;='Torrance Inputs'!$H46,CS$10&lt;'Torrance Inputs'!$I46),'Torrance Inputs'!$I38/DATEDIF('Torrance Inputs'!$H46,'Torrance Inputs'!$I46,"m"),0)</f>
        <v>0</v>
      </c>
      <c r="CT70" s="266">
        <f>IF(AND(CT$10&gt;='Torrance Inputs'!$H46,CT$10&lt;'Torrance Inputs'!$I46),'Torrance Inputs'!$I38/DATEDIF('Torrance Inputs'!$H46,'Torrance Inputs'!$I46,"m"),0)</f>
        <v>0</v>
      </c>
      <c r="CU70" s="266">
        <f>IF(AND(CU$10&gt;='Torrance Inputs'!$H46,CU$10&lt;'Torrance Inputs'!$I46),'Torrance Inputs'!$I38/DATEDIF('Torrance Inputs'!$H46,'Torrance Inputs'!$I46,"m"),0)</f>
        <v>0</v>
      </c>
      <c r="CV70" s="266">
        <f>IF(AND(CV$10&gt;='Torrance Inputs'!$H46,CV$10&lt;'Torrance Inputs'!$I46),'Torrance Inputs'!$I38/DATEDIF('Torrance Inputs'!$H46,'Torrance Inputs'!$I46,"m"),0)</f>
        <v>0</v>
      </c>
      <c r="CW70" s="266">
        <f>IF(AND(CW$10&gt;='Torrance Inputs'!$H46,CW$10&lt;'Torrance Inputs'!$I46),'Torrance Inputs'!$I38/DATEDIF('Torrance Inputs'!$H46,'Torrance Inputs'!$I46,"m"),0)</f>
        <v>0</v>
      </c>
      <c r="CX70" s="266">
        <f>IF(AND(CX$10&gt;='Torrance Inputs'!$H46,CX$10&lt;'Torrance Inputs'!$I46),'Torrance Inputs'!$I38/DATEDIF('Torrance Inputs'!$H46,'Torrance Inputs'!$I46,"m"),0)</f>
        <v>0</v>
      </c>
      <c r="CY70" s="266">
        <f>IF(AND(CY$10&gt;='Torrance Inputs'!$H46,CY$10&lt;'Torrance Inputs'!$I46),'Torrance Inputs'!$I38/DATEDIF('Torrance Inputs'!$H46,'Torrance Inputs'!$I46,"m"),0)</f>
        <v>0</v>
      </c>
      <c r="CZ70" s="266">
        <f>IF(AND(CZ$10&gt;='Torrance Inputs'!$H46,CZ$10&lt;'Torrance Inputs'!$I46),'Torrance Inputs'!$I38/DATEDIF('Torrance Inputs'!$H46,'Torrance Inputs'!$I46,"m"),0)</f>
        <v>0</v>
      </c>
      <c r="DA70" s="266">
        <f>IF(AND(DA$10&gt;='Torrance Inputs'!$H46,DA$10&lt;'Torrance Inputs'!$I46),'Torrance Inputs'!$I38/DATEDIF('Torrance Inputs'!$H46,'Torrance Inputs'!$I46,"m"),0)</f>
        <v>0</v>
      </c>
      <c r="DB70" s="266">
        <f>IF(AND(DB$10&gt;='Torrance Inputs'!$H46,DB$10&lt;'Torrance Inputs'!$I46),'Torrance Inputs'!$I38/DATEDIF('Torrance Inputs'!$H46,'Torrance Inputs'!$I46,"m"),0)</f>
        <v>0</v>
      </c>
      <c r="DC70" s="266">
        <f>IF(AND(DC$10&gt;='Torrance Inputs'!$H46,DC$10&lt;'Torrance Inputs'!$I46),'Torrance Inputs'!$I38/DATEDIF('Torrance Inputs'!$H46,'Torrance Inputs'!$I46,"m"),0)</f>
        <v>0</v>
      </c>
      <c r="DD70" s="266">
        <f>IF(AND(DD$10&gt;='Torrance Inputs'!$H46,DD$10&lt;'Torrance Inputs'!$I46),'Torrance Inputs'!$I38/DATEDIF('Torrance Inputs'!$H46,'Torrance Inputs'!$I46,"m"),0)</f>
        <v>0</v>
      </c>
      <c r="DE70" s="266">
        <f>IF(AND(DE$10&gt;='Torrance Inputs'!$H46,DE$10&lt;'Torrance Inputs'!$I46),'Torrance Inputs'!$I38/DATEDIF('Torrance Inputs'!$H46,'Torrance Inputs'!$I46,"m"),0)</f>
        <v>0</v>
      </c>
      <c r="DF70" s="266">
        <f>IF(AND(DF$10&gt;='Torrance Inputs'!$H46,DF$10&lt;'Torrance Inputs'!$I46),'Torrance Inputs'!$I38/DATEDIF('Torrance Inputs'!$H46,'Torrance Inputs'!$I46,"m"),0)</f>
        <v>0</v>
      </c>
      <c r="DG70" s="266">
        <f>IF(AND(DG$10&gt;='Torrance Inputs'!$H46,DG$10&lt;'Torrance Inputs'!$I46),'Torrance Inputs'!$I38/DATEDIF('Torrance Inputs'!$H46,'Torrance Inputs'!$I46,"m"),0)</f>
        <v>0</v>
      </c>
      <c r="DH70" s="266">
        <f>IF(AND(DH$10&gt;='Torrance Inputs'!$H46,DH$10&lt;'Torrance Inputs'!$I46),'Torrance Inputs'!$I38/DATEDIF('Torrance Inputs'!$H46,'Torrance Inputs'!$I46,"m"),0)</f>
        <v>0</v>
      </c>
      <c r="DI70" s="266">
        <f>IF(AND(DI$10&gt;='Torrance Inputs'!$H46,DI$10&lt;'Torrance Inputs'!$I46),'Torrance Inputs'!$I38/DATEDIF('Torrance Inputs'!$H46,'Torrance Inputs'!$I46,"m"),0)</f>
        <v>0</v>
      </c>
      <c r="DJ70" s="266">
        <f>IF(AND(DJ$10&gt;='Torrance Inputs'!$H46,DJ$10&lt;'Torrance Inputs'!$I46),'Torrance Inputs'!$I38/DATEDIF('Torrance Inputs'!$H46,'Torrance Inputs'!$I46,"m"),0)</f>
        <v>0</v>
      </c>
      <c r="DK70" s="266">
        <f>IF(AND(DK$10&gt;='Torrance Inputs'!$H46,DK$10&lt;'Torrance Inputs'!$I46),'Torrance Inputs'!$I38/DATEDIF('Torrance Inputs'!$H46,'Torrance Inputs'!$I46,"m"),0)</f>
        <v>0</v>
      </c>
      <c r="DL70" s="266">
        <f>IF(AND(DL$10&gt;='Torrance Inputs'!$H46,DL$10&lt;'Torrance Inputs'!$I46),'Torrance Inputs'!$I38/DATEDIF('Torrance Inputs'!$H46,'Torrance Inputs'!$I46,"m"),0)</f>
        <v>0</v>
      </c>
      <c r="DM70" s="266">
        <f>IF(AND(DM$10&gt;='Torrance Inputs'!$H46,DM$10&lt;'Torrance Inputs'!$I46),'Torrance Inputs'!$I38/DATEDIF('Torrance Inputs'!$H46,'Torrance Inputs'!$I46,"m"),0)</f>
        <v>0</v>
      </c>
      <c r="DN70" s="266">
        <f>IF(AND(DN$10&gt;='Torrance Inputs'!$H46,DN$10&lt;'Torrance Inputs'!$I46),'Torrance Inputs'!$I38/DATEDIF('Torrance Inputs'!$H46,'Torrance Inputs'!$I46,"m"),0)</f>
        <v>0</v>
      </c>
      <c r="DO70" s="266">
        <f>IF(AND(DO$10&gt;='Torrance Inputs'!$H46,DO$10&lt;'Torrance Inputs'!$I46),'Torrance Inputs'!$I38/DATEDIF('Torrance Inputs'!$H46,'Torrance Inputs'!$I46,"m"),0)</f>
        <v>0</v>
      </c>
      <c r="DP70" s="266">
        <f>IF(AND(DP$10&gt;='Torrance Inputs'!$H46,DP$10&lt;'Torrance Inputs'!$I46),'Torrance Inputs'!$I38/DATEDIF('Torrance Inputs'!$H46,'Torrance Inputs'!$I46,"m"),0)</f>
        <v>0</v>
      </c>
      <c r="DQ70" s="266">
        <f>IF(AND(DQ$10&gt;='Torrance Inputs'!$H46,DQ$10&lt;'Torrance Inputs'!$I46),'Torrance Inputs'!$I38/DATEDIF('Torrance Inputs'!$H46,'Torrance Inputs'!$I46,"m"),0)</f>
        <v>0</v>
      </c>
      <c r="DR70" s="266">
        <f>IF(AND(DR$10&gt;='Torrance Inputs'!$H46,DR$10&lt;'Torrance Inputs'!$I46),'Torrance Inputs'!$I38/DATEDIF('Torrance Inputs'!$H46,'Torrance Inputs'!$I46,"m"),0)</f>
        <v>0</v>
      </c>
      <c r="DS70" s="266">
        <f>IF(AND(DS$10&gt;='Torrance Inputs'!$H46,DS$10&lt;'Torrance Inputs'!$I46),'Torrance Inputs'!$I38/DATEDIF('Torrance Inputs'!$H46,'Torrance Inputs'!$I46,"m"),0)</f>
        <v>0</v>
      </c>
      <c r="DT70" s="266">
        <f>IF(AND(DT$10&gt;='Torrance Inputs'!$H46,DT$10&lt;'Torrance Inputs'!$I46),'Torrance Inputs'!$I38/DATEDIF('Torrance Inputs'!$H46,'Torrance Inputs'!$I46,"m"),0)</f>
        <v>0</v>
      </c>
      <c r="DU70" s="266">
        <f>IF(AND(DU$10&gt;='Torrance Inputs'!$H46,DU$10&lt;'Torrance Inputs'!$I46),'Torrance Inputs'!$I38/DATEDIF('Torrance Inputs'!$H46,'Torrance Inputs'!$I46,"m"),0)</f>
        <v>0</v>
      </c>
      <c r="DV70" s="266">
        <f>IF(AND(DV$10&gt;='Torrance Inputs'!$H46,DV$10&lt;'Torrance Inputs'!$I46),'Torrance Inputs'!$I38/DATEDIF('Torrance Inputs'!$H46,'Torrance Inputs'!$I46,"m"),0)</f>
        <v>0</v>
      </c>
      <c r="DW70" s="266">
        <f>IF(AND(DW$10&gt;='Torrance Inputs'!$H46,DW$10&lt;'Torrance Inputs'!$I46),'Torrance Inputs'!$I38/DATEDIF('Torrance Inputs'!$H46,'Torrance Inputs'!$I46,"m"),0)</f>
        <v>0</v>
      </c>
      <c r="DX70" s="266">
        <f>IF(AND(DX$10&gt;='Torrance Inputs'!$H46,DX$10&lt;'Torrance Inputs'!$I46),'Torrance Inputs'!$I38/DATEDIF('Torrance Inputs'!$H46,'Torrance Inputs'!$I46,"m"),0)</f>
        <v>0</v>
      </c>
      <c r="DY70" s="266">
        <f>IF(AND(DY$10&gt;='Torrance Inputs'!$H46,DY$10&lt;'Torrance Inputs'!$I46),'Torrance Inputs'!$I38/DATEDIF('Torrance Inputs'!$H46,'Torrance Inputs'!$I46,"m"),0)</f>
        <v>0</v>
      </c>
      <c r="DZ70" s="266">
        <f>IF(AND(DZ$10&gt;='Torrance Inputs'!$H46,DZ$10&lt;'Torrance Inputs'!$I46),'Torrance Inputs'!$I38/DATEDIF('Torrance Inputs'!$H46,'Torrance Inputs'!$I46,"m"),0)</f>
        <v>0</v>
      </c>
      <c r="EA70" s="266">
        <f>IF(AND(EA$10&gt;='Torrance Inputs'!$H46,EA$10&lt;'Torrance Inputs'!$I46),'Torrance Inputs'!$I38/DATEDIF('Torrance Inputs'!$H46,'Torrance Inputs'!$I46,"m"),0)</f>
        <v>0</v>
      </c>
      <c r="EB70" s="266">
        <f>IF(AND(EB$10&gt;='Torrance Inputs'!$H46,EB$10&lt;'Torrance Inputs'!$I46),'Torrance Inputs'!$I38/DATEDIF('Torrance Inputs'!$H46,'Torrance Inputs'!$I46,"m"),0)</f>
        <v>0</v>
      </c>
      <c r="EC70" s="266">
        <f>IF(AND(EC$10&gt;='Torrance Inputs'!$H46,EC$10&lt;'Torrance Inputs'!$I46),'Torrance Inputs'!$I38/DATEDIF('Torrance Inputs'!$H46,'Torrance Inputs'!$I46,"m"),0)</f>
        <v>0</v>
      </c>
      <c r="ED70" s="266">
        <f>IF(AND(ED$10&gt;='Torrance Inputs'!$H46,ED$10&lt;'Torrance Inputs'!$I46),'Torrance Inputs'!$I38/DATEDIF('Torrance Inputs'!$H46,'Torrance Inputs'!$I46,"m"),0)</f>
        <v>0</v>
      </c>
    </row>
    <row r="71" spans="1:134" ht="19.149999999999999" customHeight="1" x14ac:dyDescent="0.4">
      <c r="A71" s="265" t="s">
        <v>59</v>
      </c>
      <c r="B71" s="264"/>
      <c r="C71" s="266">
        <f>IF(AND(C$10&gt;='Torrance Inputs'!$H47,C$10&lt;'Torrance Inputs'!$I47),'Torrance Inputs'!$I39/DATEDIF('Torrance Inputs'!$H47,'Torrance Inputs'!$I47,"m"),0)</f>
        <v>0</v>
      </c>
      <c r="D71" s="266">
        <f>IF(AND(D$10&gt;='Torrance Inputs'!$H47,D$10&lt;'Torrance Inputs'!$I47),'Torrance Inputs'!$I39/DATEDIF('Torrance Inputs'!$H47,'Torrance Inputs'!$I47,"m"),0)</f>
        <v>0</v>
      </c>
      <c r="E71" s="266">
        <f>IF(AND(E$10&gt;='Torrance Inputs'!$H47,E$10&lt;'Torrance Inputs'!$I47),'Torrance Inputs'!$I39/DATEDIF('Torrance Inputs'!$H47,'Torrance Inputs'!$I47,"m"),0)</f>
        <v>0</v>
      </c>
      <c r="F71" s="266">
        <f>IF(AND(F$10&gt;='Torrance Inputs'!$H47,F$10&lt;'Torrance Inputs'!$I47),'Torrance Inputs'!$I39/DATEDIF('Torrance Inputs'!$H47,'Torrance Inputs'!$I47,"m"),0)</f>
        <v>0</v>
      </c>
      <c r="G71" s="266">
        <f>IF(AND(G$10&gt;='Torrance Inputs'!$H47,G$10&lt;'Torrance Inputs'!$I47),'Torrance Inputs'!$I39/DATEDIF('Torrance Inputs'!$H47,'Torrance Inputs'!$I47,"m"),0)</f>
        <v>0</v>
      </c>
      <c r="H71" s="266">
        <f>IF(AND(H$10&gt;='Torrance Inputs'!$H47,H$10&lt;'Torrance Inputs'!$I47),'Torrance Inputs'!$I39/DATEDIF('Torrance Inputs'!$H47,'Torrance Inputs'!$I47,"m"),0)</f>
        <v>0</v>
      </c>
      <c r="I71" s="266">
        <f>IF(AND(I$10&gt;='Torrance Inputs'!$H47,I$10&lt;'Torrance Inputs'!$I47),'Torrance Inputs'!$I39/DATEDIF('Torrance Inputs'!$H47,'Torrance Inputs'!$I47,"m"),0)</f>
        <v>0</v>
      </c>
      <c r="J71" s="266">
        <f>IF(AND(J$10&gt;='Torrance Inputs'!$H47,J$10&lt;'Torrance Inputs'!$I47),'Torrance Inputs'!$I39/DATEDIF('Torrance Inputs'!$H47,'Torrance Inputs'!$I47,"m"),0)</f>
        <v>0</v>
      </c>
      <c r="K71" s="266">
        <f>IF(AND(K$10&gt;='Torrance Inputs'!$H47,K$10&lt;'Torrance Inputs'!$I47),'Torrance Inputs'!$I39/DATEDIF('Torrance Inputs'!$H47,'Torrance Inputs'!$I47,"m"),0)</f>
        <v>0</v>
      </c>
      <c r="L71" s="266">
        <f>IF(AND(L$10&gt;='Torrance Inputs'!$H47,L$10&lt;'Torrance Inputs'!$I47),'Torrance Inputs'!$I39/DATEDIF('Torrance Inputs'!$H47,'Torrance Inputs'!$I47,"m"),0)</f>
        <v>0</v>
      </c>
      <c r="M71" s="266">
        <f>IF(AND(M$10&gt;='Torrance Inputs'!$H47,M$10&lt;'Torrance Inputs'!$I47),'Torrance Inputs'!$I39/DATEDIF('Torrance Inputs'!$H47,'Torrance Inputs'!$I47,"m"),0)</f>
        <v>0</v>
      </c>
      <c r="N71" s="266">
        <f>IF(AND(N$10&gt;='Torrance Inputs'!$H47,N$10&lt;'Torrance Inputs'!$I47),'Torrance Inputs'!$I39/DATEDIF('Torrance Inputs'!$H47,'Torrance Inputs'!$I47,"m"),0)</f>
        <v>0</v>
      </c>
      <c r="O71" s="266">
        <f>IF(AND(O$10&gt;='Torrance Inputs'!$H47,O$10&lt;'Torrance Inputs'!$I47),'Torrance Inputs'!$I39/DATEDIF('Torrance Inputs'!$H47,'Torrance Inputs'!$I47,"m"),0)</f>
        <v>0</v>
      </c>
      <c r="P71" s="266">
        <f>IF(AND(P$10&gt;='Torrance Inputs'!$H47,P$10&lt;'Torrance Inputs'!$I47),'Torrance Inputs'!$I39/DATEDIF('Torrance Inputs'!$H47,'Torrance Inputs'!$I47,"m"),0)</f>
        <v>0</v>
      </c>
      <c r="Q71" s="266">
        <f>IF(AND(Q$10&gt;='Torrance Inputs'!$H47,Q$10&lt;'Torrance Inputs'!$I47),'Torrance Inputs'!$I39/DATEDIF('Torrance Inputs'!$H47,'Torrance Inputs'!$I47,"m"),0)</f>
        <v>0</v>
      </c>
      <c r="R71" s="266">
        <f>IF(AND(R$10&gt;='Torrance Inputs'!$H47,R$10&lt;'Torrance Inputs'!$I47),'Torrance Inputs'!$I39/DATEDIF('Torrance Inputs'!$H47,'Torrance Inputs'!$I47,"m"),0)</f>
        <v>0</v>
      </c>
      <c r="S71" s="266">
        <f>IF(AND(S$10&gt;='Torrance Inputs'!$H47,S$10&lt;'Torrance Inputs'!$I47),'Torrance Inputs'!$I39/DATEDIF('Torrance Inputs'!$H47,'Torrance Inputs'!$I47,"m"),0)</f>
        <v>0</v>
      </c>
      <c r="T71" s="266">
        <f>IF(AND(T$10&gt;='Torrance Inputs'!$H47,T$10&lt;'Torrance Inputs'!$I47),'Torrance Inputs'!$I39/DATEDIF('Torrance Inputs'!$H47,'Torrance Inputs'!$I47,"m"),0)</f>
        <v>0</v>
      </c>
      <c r="U71" s="266">
        <f>IF(AND(U$10&gt;='Torrance Inputs'!$H47,U$10&lt;'Torrance Inputs'!$I47),'Torrance Inputs'!$I39/DATEDIF('Torrance Inputs'!$H47,'Torrance Inputs'!$I47,"m"),0)</f>
        <v>0</v>
      </c>
      <c r="V71" s="266">
        <f>IF(AND(V$10&gt;='Torrance Inputs'!$H47,V$10&lt;'Torrance Inputs'!$I47),'Torrance Inputs'!$I39/DATEDIF('Torrance Inputs'!$H47,'Torrance Inputs'!$I47,"m"),0)</f>
        <v>0</v>
      </c>
      <c r="W71" s="266">
        <f>IF(AND(W$10&gt;='Torrance Inputs'!$H47,W$10&lt;'Torrance Inputs'!$I47),'Torrance Inputs'!$I39/DATEDIF('Torrance Inputs'!$H47,'Torrance Inputs'!$I47,"m"),0)</f>
        <v>0</v>
      </c>
      <c r="X71" s="266">
        <f>IF(AND(X$10&gt;='Torrance Inputs'!$H47,X$10&lt;'Torrance Inputs'!$I47),'Torrance Inputs'!$I39/DATEDIF('Torrance Inputs'!$H47,'Torrance Inputs'!$I47,"m"),0)</f>
        <v>0</v>
      </c>
      <c r="Y71" s="266">
        <f>IF(AND(Y$10&gt;='Torrance Inputs'!$H47,Y$10&lt;'Torrance Inputs'!$I47),'Torrance Inputs'!$I39/DATEDIF('Torrance Inputs'!$H47,'Torrance Inputs'!$I47,"m"),0)</f>
        <v>0</v>
      </c>
      <c r="Z71" s="266">
        <f>IF(AND(Z$10&gt;='Torrance Inputs'!$H47,Z$10&lt;'Torrance Inputs'!$I47),'Torrance Inputs'!$I39/DATEDIF('Torrance Inputs'!$H47,'Torrance Inputs'!$I47,"m"),0)</f>
        <v>0</v>
      </c>
      <c r="AA71" s="266">
        <f>IF(AND(AA$10&gt;='Torrance Inputs'!$H47,AA$10&lt;'Torrance Inputs'!$I47),'Torrance Inputs'!$I39/DATEDIF('Torrance Inputs'!$H47,'Torrance Inputs'!$I47,"m"),0)</f>
        <v>0</v>
      </c>
      <c r="AB71" s="266">
        <f>IF(AND(AB$10&gt;='Torrance Inputs'!$H47,AB$10&lt;'Torrance Inputs'!$I47),'Torrance Inputs'!$I39/DATEDIF('Torrance Inputs'!$H47,'Torrance Inputs'!$I47,"m"),0)</f>
        <v>0</v>
      </c>
      <c r="AC71" s="266">
        <f>IF(AND(AC$10&gt;='Torrance Inputs'!$H47,AC$10&lt;'Torrance Inputs'!$I47),'Torrance Inputs'!$I39/DATEDIF('Torrance Inputs'!$H47,'Torrance Inputs'!$I47,"m"),0)</f>
        <v>0</v>
      </c>
      <c r="AD71" s="266">
        <f>IF(AND(AD$10&gt;='Torrance Inputs'!$H47,AD$10&lt;'Torrance Inputs'!$I47),'Torrance Inputs'!$I39/DATEDIF('Torrance Inputs'!$H47,'Torrance Inputs'!$I47,"m"),0)</f>
        <v>0</v>
      </c>
      <c r="AE71" s="266">
        <f>IF(AND(AE$10&gt;='Torrance Inputs'!$H47,AE$10&lt;'Torrance Inputs'!$I47),'Torrance Inputs'!$I39/DATEDIF('Torrance Inputs'!$H47,'Torrance Inputs'!$I47,"m"),0)</f>
        <v>0</v>
      </c>
      <c r="AF71" s="266">
        <f>IF(AND(AF$10&gt;='Torrance Inputs'!$H47,AF$10&lt;'Torrance Inputs'!$I47),'Torrance Inputs'!$I39/DATEDIF('Torrance Inputs'!$H47,'Torrance Inputs'!$I47,"m"),0)</f>
        <v>0</v>
      </c>
      <c r="AG71" s="266">
        <f>IF(AND(AG$10&gt;='Torrance Inputs'!$H47,AG$10&lt;'Torrance Inputs'!$I47),'Torrance Inputs'!$I39/DATEDIF('Torrance Inputs'!$H47,'Torrance Inputs'!$I47,"m"),0)</f>
        <v>0</v>
      </c>
      <c r="AH71" s="266">
        <f>IF(AND(AH$10&gt;='Torrance Inputs'!$H47,AH$10&lt;'Torrance Inputs'!$I47),'Torrance Inputs'!$I39/DATEDIF('Torrance Inputs'!$H47,'Torrance Inputs'!$I47,"m"),0)</f>
        <v>0</v>
      </c>
      <c r="AI71" s="266">
        <f>IF(AND(AI$10&gt;='Torrance Inputs'!$H47,AI$10&lt;'Torrance Inputs'!$I47),'Torrance Inputs'!$I39/DATEDIF('Torrance Inputs'!$H47,'Torrance Inputs'!$I47,"m"),0)</f>
        <v>0</v>
      </c>
      <c r="AJ71" s="266">
        <f>IF(AND(AJ$10&gt;='Torrance Inputs'!$H47,AJ$10&lt;'Torrance Inputs'!$I47),'Torrance Inputs'!$I39/DATEDIF('Torrance Inputs'!$H47,'Torrance Inputs'!$I47,"m"),0)</f>
        <v>0</v>
      </c>
      <c r="AK71" s="266">
        <f>IF(AND(AK$10&gt;='Torrance Inputs'!$H47,AK$10&lt;'Torrance Inputs'!$I47),'Torrance Inputs'!$I39/DATEDIF('Torrance Inputs'!$H47,'Torrance Inputs'!$I47,"m"),0)</f>
        <v>0</v>
      </c>
      <c r="AL71" s="266">
        <f>IF(AND(AL$10&gt;='Torrance Inputs'!$H47,AL$10&lt;'Torrance Inputs'!$I47),'Torrance Inputs'!$I39/DATEDIF('Torrance Inputs'!$H47,'Torrance Inputs'!$I47,"m"),0)</f>
        <v>0</v>
      </c>
      <c r="AM71" s="266">
        <f>IF(AND(AM$10&gt;='Torrance Inputs'!$H47,AM$10&lt;'Torrance Inputs'!$I47),'Torrance Inputs'!$I39/DATEDIF('Torrance Inputs'!$H47,'Torrance Inputs'!$I47,"m"),0)</f>
        <v>0</v>
      </c>
      <c r="AN71" s="266">
        <f>IF(AND(AN$10&gt;='Torrance Inputs'!$H47,AN$10&lt;'Torrance Inputs'!$I47),'Torrance Inputs'!$I39/DATEDIF('Torrance Inputs'!$H47,'Torrance Inputs'!$I47,"m"),0)</f>
        <v>0</v>
      </c>
      <c r="AO71" s="266">
        <f>IF(AND(AO$10&gt;='Torrance Inputs'!$H47,AO$10&lt;'Torrance Inputs'!$I47),'Torrance Inputs'!$I39/DATEDIF('Torrance Inputs'!$H47,'Torrance Inputs'!$I47,"m"),0)</f>
        <v>0</v>
      </c>
      <c r="AP71" s="266">
        <f>IF(AND(AP$10&gt;='Torrance Inputs'!$H47,AP$10&lt;'Torrance Inputs'!$I47),'Torrance Inputs'!$I39/DATEDIF('Torrance Inputs'!$H47,'Torrance Inputs'!$I47,"m"),0)</f>
        <v>0</v>
      </c>
      <c r="AQ71" s="266">
        <f>IF(AND(AQ$10&gt;='Torrance Inputs'!$H47,AQ$10&lt;'Torrance Inputs'!$I47),'Torrance Inputs'!$I39/DATEDIF('Torrance Inputs'!$H47,'Torrance Inputs'!$I47,"m"),0)</f>
        <v>0</v>
      </c>
      <c r="AR71" s="266">
        <f>IF(AND(AR$10&gt;='Torrance Inputs'!$H47,AR$10&lt;'Torrance Inputs'!$I47),'Torrance Inputs'!$I39/DATEDIF('Torrance Inputs'!$H47,'Torrance Inputs'!$I47,"m"),0)</f>
        <v>0</v>
      </c>
      <c r="AS71" s="266">
        <f>IF(AND(AS$10&gt;='Torrance Inputs'!$H47,AS$10&lt;'Torrance Inputs'!$I47),'Torrance Inputs'!$I39/DATEDIF('Torrance Inputs'!$H47,'Torrance Inputs'!$I47,"m"),0)</f>
        <v>0</v>
      </c>
      <c r="AT71" s="266">
        <f>IF(AND(AT$10&gt;='Torrance Inputs'!$H47,AT$10&lt;'Torrance Inputs'!$I47),'Torrance Inputs'!$I39/DATEDIF('Torrance Inputs'!$H47,'Torrance Inputs'!$I47,"m"),0)</f>
        <v>0</v>
      </c>
      <c r="AU71" s="266">
        <f>IF(AND(AU$10&gt;='Torrance Inputs'!$H47,AU$10&lt;'Torrance Inputs'!$I47),'Torrance Inputs'!$I39/DATEDIF('Torrance Inputs'!$H47,'Torrance Inputs'!$I47,"m"),0)</f>
        <v>0</v>
      </c>
      <c r="AV71" s="266">
        <f>IF(AND(AV$10&gt;='Torrance Inputs'!$H47,AV$10&lt;'Torrance Inputs'!$I47),'Torrance Inputs'!$I39/DATEDIF('Torrance Inputs'!$H47,'Torrance Inputs'!$I47,"m"),0)</f>
        <v>0</v>
      </c>
      <c r="AW71" s="266">
        <f>IF(AND(AW$10&gt;='Torrance Inputs'!$H47,AW$10&lt;'Torrance Inputs'!$I47),'Torrance Inputs'!$I39/DATEDIF('Torrance Inputs'!$H47,'Torrance Inputs'!$I47,"m"),0)</f>
        <v>0</v>
      </c>
      <c r="AX71" s="266">
        <f>IF(AND(AX$10&gt;='Torrance Inputs'!$H47,AX$10&lt;'Torrance Inputs'!$I47),'Torrance Inputs'!$I39/DATEDIF('Torrance Inputs'!$H47,'Torrance Inputs'!$I47,"m"),0)</f>
        <v>0</v>
      </c>
      <c r="AY71" s="266">
        <f>IF(AND(AY$10&gt;='Torrance Inputs'!$H47,AY$10&lt;'Torrance Inputs'!$I47),'Torrance Inputs'!$I39/DATEDIF('Torrance Inputs'!$H47,'Torrance Inputs'!$I47,"m"),0)</f>
        <v>0</v>
      </c>
      <c r="AZ71" s="266">
        <f>IF(AND(AZ$10&gt;='Torrance Inputs'!$H47,AZ$10&lt;'Torrance Inputs'!$I47),'Torrance Inputs'!$I39/DATEDIF('Torrance Inputs'!$H47,'Torrance Inputs'!$I47,"m"),0)</f>
        <v>0</v>
      </c>
      <c r="BA71" s="266">
        <f>IF(AND(BA$10&gt;='Torrance Inputs'!$H47,BA$10&lt;'Torrance Inputs'!$I47),'Torrance Inputs'!$I39/DATEDIF('Torrance Inputs'!$H47,'Torrance Inputs'!$I47,"m"),0)</f>
        <v>0</v>
      </c>
      <c r="BB71" s="266">
        <f>IF(AND(BB$10&gt;='Torrance Inputs'!$H47,BB$10&lt;'Torrance Inputs'!$I47),'Torrance Inputs'!$I39/DATEDIF('Torrance Inputs'!$H47,'Torrance Inputs'!$I47,"m"),0)</f>
        <v>0</v>
      </c>
      <c r="BC71" s="266">
        <f>IF(AND(BC$10&gt;='Torrance Inputs'!$H47,BC$10&lt;'Torrance Inputs'!$I47),'Torrance Inputs'!$I39/DATEDIF('Torrance Inputs'!$H47,'Torrance Inputs'!$I47,"m"),0)</f>
        <v>0</v>
      </c>
      <c r="BD71" s="266">
        <f>IF(AND(BD$10&gt;='Torrance Inputs'!$H47,BD$10&lt;'Torrance Inputs'!$I47),'Torrance Inputs'!$I39/DATEDIF('Torrance Inputs'!$H47,'Torrance Inputs'!$I47,"m"),0)</f>
        <v>0</v>
      </c>
      <c r="BE71" s="266">
        <f>IF(AND(BE$10&gt;='Torrance Inputs'!$H47,BE$10&lt;'Torrance Inputs'!$I47),'Torrance Inputs'!$I39/DATEDIF('Torrance Inputs'!$H47,'Torrance Inputs'!$I47,"m"),0)</f>
        <v>0</v>
      </c>
      <c r="BF71" s="266">
        <f>IF(AND(BF$10&gt;='Torrance Inputs'!$H47,BF$10&lt;'Torrance Inputs'!$I47),'Torrance Inputs'!$I39/DATEDIF('Torrance Inputs'!$H47,'Torrance Inputs'!$I47,"m"),0)</f>
        <v>0</v>
      </c>
      <c r="BG71" s="266">
        <f>IF(AND(BG$10&gt;='Torrance Inputs'!$H47,BG$10&lt;'Torrance Inputs'!$I47),'Torrance Inputs'!$I39/DATEDIF('Torrance Inputs'!$H47,'Torrance Inputs'!$I47,"m"),0)</f>
        <v>0</v>
      </c>
      <c r="BH71" s="266">
        <f>IF(AND(BH$10&gt;='Torrance Inputs'!$H47,BH$10&lt;'Torrance Inputs'!$I47),'Torrance Inputs'!$I39/DATEDIF('Torrance Inputs'!$H47,'Torrance Inputs'!$I47,"m"),0)</f>
        <v>0</v>
      </c>
      <c r="BI71" s="266">
        <f>IF(AND(BI$10&gt;='Torrance Inputs'!$H47,BI$10&lt;'Torrance Inputs'!$I47),'Torrance Inputs'!$I39/DATEDIF('Torrance Inputs'!$H47,'Torrance Inputs'!$I47,"m"),0)</f>
        <v>0</v>
      </c>
      <c r="BJ71" s="266">
        <f>IF(AND(BJ$10&gt;='Torrance Inputs'!$H47,BJ$10&lt;'Torrance Inputs'!$I47),'Torrance Inputs'!$I39/DATEDIF('Torrance Inputs'!$H47,'Torrance Inputs'!$I47,"m"),0)</f>
        <v>0</v>
      </c>
      <c r="BK71" s="266">
        <f>IF(AND(BK$10&gt;='Torrance Inputs'!$H47,BK$10&lt;'Torrance Inputs'!$I47),'Torrance Inputs'!$I39/DATEDIF('Torrance Inputs'!$H47,'Torrance Inputs'!$I47,"m"),0)</f>
        <v>0</v>
      </c>
      <c r="BL71" s="266">
        <f>IF(AND(BL$10&gt;='Torrance Inputs'!$H47,BL$10&lt;'Torrance Inputs'!$I47),'Torrance Inputs'!$I39/DATEDIF('Torrance Inputs'!$H47,'Torrance Inputs'!$I47,"m"),0)</f>
        <v>0</v>
      </c>
      <c r="BM71" s="266">
        <f>IF(AND(BM$10&gt;='Torrance Inputs'!$H47,BM$10&lt;'Torrance Inputs'!$I47),'Torrance Inputs'!$I39/DATEDIF('Torrance Inputs'!$H47,'Torrance Inputs'!$I47,"m"),0)</f>
        <v>0</v>
      </c>
      <c r="BN71" s="266">
        <f>IF(AND(BN$10&gt;='Torrance Inputs'!$H47,BN$10&lt;'Torrance Inputs'!$I47),'Torrance Inputs'!$I39/DATEDIF('Torrance Inputs'!$H47,'Torrance Inputs'!$I47,"m"),0)</f>
        <v>0</v>
      </c>
      <c r="BO71" s="266">
        <f>IF(AND(BO$10&gt;='Torrance Inputs'!$H47,BO$10&lt;'Torrance Inputs'!$I47),'Torrance Inputs'!$I39/DATEDIF('Torrance Inputs'!$H47,'Torrance Inputs'!$I47,"m"),0)</f>
        <v>0</v>
      </c>
      <c r="BP71" s="266">
        <f>IF(AND(BP$10&gt;='Torrance Inputs'!$H47,BP$10&lt;'Torrance Inputs'!$I47),'Torrance Inputs'!$I39/DATEDIF('Torrance Inputs'!$H47,'Torrance Inputs'!$I47,"m"),0)</f>
        <v>0</v>
      </c>
      <c r="BQ71" s="266">
        <f>IF(AND(BQ$10&gt;='Torrance Inputs'!$H47,BQ$10&lt;'Torrance Inputs'!$I47),'Torrance Inputs'!$I39/DATEDIF('Torrance Inputs'!$H47,'Torrance Inputs'!$I47,"m"),0)</f>
        <v>0</v>
      </c>
      <c r="BR71" s="266">
        <f>IF(AND(BR$10&gt;='Torrance Inputs'!$H47,BR$10&lt;'Torrance Inputs'!$I47),'Torrance Inputs'!$I39/DATEDIF('Torrance Inputs'!$H47,'Torrance Inputs'!$I47,"m"),0)</f>
        <v>0</v>
      </c>
      <c r="BS71" s="266">
        <f>IF(AND(BS$10&gt;='Torrance Inputs'!$H47,BS$10&lt;'Torrance Inputs'!$I47),'Torrance Inputs'!$I39/DATEDIF('Torrance Inputs'!$H47,'Torrance Inputs'!$I47,"m"),0)</f>
        <v>0</v>
      </c>
      <c r="BT71" s="266">
        <f>IF(AND(BT$10&gt;='Torrance Inputs'!$H47,BT$10&lt;'Torrance Inputs'!$I47),'Torrance Inputs'!$I39/DATEDIF('Torrance Inputs'!$H47,'Torrance Inputs'!$I47,"m"),0)</f>
        <v>0</v>
      </c>
      <c r="BU71" s="266">
        <f>IF(AND(BU$10&gt;='Torrance Inputs'!$H47,BU$10&lt;'Torrance Inputs'!$I47),'Torrance Inputs'!$I39/DATEDIF('Torrance Inputs'!$H47,'Torrance Inputs'!$I47,"m"),0)</f>
        <v>0</v>
      </c>
      <c r="BV71" s="266">
        <f>IF(AND(BV$10&gt;='Torrance Inputs'!$H47,BV$10&lt;'Torrance Inputs'!$I47),'Torrance Inputs'!$I39/DATEDIF('Torrance Inputs'!$H47,'Torrance Inputs'!$I47,"m"),0)</f>
        <v>0</v>
      </c>
      <c r="BW71" s="266">
        <f>IF(AND(BW$10&gt;='Torrance Inputs'!$H47,BW$10&lt;'Torrance Inputs'!$I47),'Torrance Inputs'!$I39/DATEDIF('Torrance Inputs'!$H47,'Torrance Inputs'!$I47,"m"),0)</f>
        <v>0</v>
      </c>
      <c r="BX71" s="266">
        <f>IF(AND(BX$10&gt;='Torrance Inputs'!$H47,BX$10&lt;'Torrance Inputs'!$I47),'Torrance Inputs'!$I39/DATEDIF('Torrance Inputs'!$H47,'Torrance Inputs'!$I47,"m"),0)</f>
        <v>0</v>
      </c>
      <c r="BY71" s="266">
        <f>IF(AND(BY$10&gt;='Torrance Inputs'!$H47,BY$10&lt;'Torrance Inputs'!$I47),'Torrance Inputs'!$I39/DATEDIF('Torrance Inputs'!$H47,'Torrance Inputs'!$I47,"m"),0)</f>
        <v>0</v>
      </c>
      <c r="BZ71" s="266">
        <f>IF(AND(BZ$10&gt;='Torrance Inputs'!$H47,BZ$10&lt;'Torrance Inputs'!$I47),'Torrance Inputs'!$I39/DATEDIF('Torrance Inputs'!$H47,'Torrance Inputs'!$I47,"m"),0)</f>
        <v>0</v>
      </c>
      <c r="CA71" s="266">
        <f>IF(AND(CA$10&gt;='Torrance Inputs'!$H47,CA$10&lt;'Torrance Inputs'!$I47),'Torrance Inputs'!$I39/DATEDIF('Torrance Inputs'!$H47,'Torrance Inputs'!$I47,"m"),0)</f>
        <v>0</v>
      </c>
      <c r="CB71" s="266">
        <f>IF(AND(CB$10&gt;='Torrance Inputs'!$H47,CB$10&lt;'Torrance Inputs'!$I47),'Torrance Inputs'!$I39/DATEDIF('Torrance Inputs'!$H47,'Torrance Inputs'!$I47,"m"),0)</f>
        <v>0</v>
      </c>
      <c r="CC71" s="266">
        <f>IF(AND(CC$10&gt;='Torrance Inputs'!$H47,CC$10&lt;'Torrance Inputs'!$I47),'Torrance Inputs'!$I39/DATEDIF('Torrance Inputs'!$H47,'Torrance Inputs'!$I47,"m"),0)</f>
        <v>0</v>
      </c>
      <c r="CD71" s="266">
        <f>IF(AND(CD$10&gt;='Torrance Inputs'!$H47,CD$10&lt;'Torrance Inputs'!$I47),'Torrance Inputs'!$I39/DATEDIF('Torrance Inputs'!$H47,'Torrance Inputs'!$I47,"m"),0)</f>
        <v>200000</v>
      </c>
      <c r="CE71" s="266">
        <f>IF(AND(CE$10&gt;='Torrance Inputs'!$H47,CE$10&lt;'Torrance Inputs'!$I47),'Torrance Inputs'!$I39/DATEDIF('Torrance Inputs'!$H47,'Torrance Inputs'!$I47,"m"),0)</f>
        <v>200000</v>
      </c>
      <c r="CF71" s="266">
        <f>IF(AND(CF$10&gt;='Torrance Inputs'!$H47,CF$10&lt;'Torrance Inputs'!$I47),'Torrance Inputs'!$I39/DATEDIF('Torrance Inputs'!$H47,'Torrance Inputs'!$I47,"m"),0)</f>
        <v>0</v>
      </c>
      <c r="CG71" s="266">
        <f>IF(AND(CG$10&gt;='Torrance Inputs'!$H47,CG$10&lt;'Torrance Inputs'!$I47),'Torrance Inputs'!$I39/DATEDIF('Torrance Inputs'!$H47,'Torrance Inputs'!$I47,"m"),0)</f>
        <v>0</v>
      </c>
      <c r="CH71" s="266">
        <f>IF(AND(CH$10&gt;='Torrance Inputs'!$H47,CH$10&lt;'Torrance Inputs'!$I47),'Torrance Inputs'!$I39/DATEDIF('Torrance Inputs'!$H47,'Torrance Inputs'!$I47,"m"),0)</f>
        <v>0</v>
      </c>
      <c r="CI71" s="266">
        <f>IF(AND(CI$10&gt;='Torrance Inputs'!$H47,CI$10&lt;'Torrance Inputs'!$I47),'Torrance Inputs'!$I39/DATEDIF('Torrance Inputs'!$H47,'Torrance Inputs'!$I47,"m"),0)</f>
        <v>0</v>
      </c>
      <c r="CJ71" s="266">
        <f>IF(AND(CJ$10&gt;='Torrance Inputs'!$H47,CJ$10&lt;'Torrance Inputs'!$I47),'Torrance Inputs'!$I39/DATEDIF('Torrance Inputs'!$H47,'Torrance Inputs'!$I47,"m"),0)</f>
        <v>0</v>
      </c>
      <c r="CK71" s="266">
        <f>IF(AND(CK$10&gt;='Torrance Inputs'!$H47,CK$10&lt;'Torrance Inputs'!$I47),'Torrance Inputs'!$I39/DATEDIF('Torrance Inputs'!$H47,'Torrance Inputs'!$I47,"m"),0)</f>
        <v>0</v>
      </c>
      <c r="CL71" s="266">
        <f>IF(AND(CL$10&gt;='Torrance Inputs'!$H47,CL$10&lt;'Torrance Inputs'!$I47),'Torrance Inputs'!$I39/DATEDIF('Torrance Inputs'!$H47,'Torrance Inputs'!$I47,"m"),0)</f>
        <v>0</v>
      </c>
      <c r="CM71" s="266">
        <f>IF(AND(CM$10&gt;='Torrance Inputs'!$H47,CM$10&lt;'Torrance Inputs'!$I47),'Torrance Inputs'!$I39/DATEDIF('Torrance Inputs'!$H47,'Torrance Inputs'!$I47,"m"),0)</f>
        <v>0</v>
      </c>
      <c r="CN71" s="266">
        <f>IF(AND(CN$10&gt;='Torrance Inputs'!$H47,CN$10&lt;'Torrance Inputs'!$I47),'Torrance Inputs'!$I39/DATEDIF('Torrance Inputs'!$H47,'Torrance Inputs'!$I47,"m"),0)</f>
        <v>0</v>
      </c>
      <c r="CO71" s="266">
        <f>IF(AND(CO$10&gt;='Torrance Inputs'!$H47,CO$10&lt;'Torrance Inputs'!$I47),'Torrance Inputs'!$I39/DATEDIF('Torrance Inputs'!$H47,'Torrance Inputs'!$I47,"m"),0)</f>
        <v>0</v>
      </c>
      <c r="CP71" s="266">
        <f>IF(AND(CP$10&gt;='Torrance Inputs'!$H47,CP$10&lt;'Torrance Inputs'!$I47),'Torrance Inputs'!$I39/DATEDIF('Torrance Inputs'!$H47,'Torrance Inputs'!$I47,"m"),0)</f>
        <v>0</v>
      </c>
      <c r="CQ71" s="266">
        <f>IF(AND(CQ$10&gt;='Torrance Inputs'!$H47,CQ$10&lt;'Torrance Inputs'!$I47),'Torrance Inputs'!$I39/DATEDIF('Torrance Inputs'!$H47,'Torrance Inputs'!$I47,"m"),0)</f>
        <v>0</v>
      </c>
      <c r="CR71" s="266">
        <f>IF(AND(CR$10&gt;='Torrance Inputs'!$H47,CR$10&lt;'Torrance Inputs'!$I47),'Torrance Inputs'!$I39/DATEDIF('Torrance Inputs'!$H47,'Torrance Inputs'!$I47,"m"),0)</f>
        <v>0</v>
      </c>
      <c r="CS71" s="266">
        <f>IF(AND(CS$10&gt;='Torrance Inputs'!$H47,CS$10&lt;'Torrance Inputs'!$I47),'Torrance Inputs'!$I39/DATEDIF('Torrance Inputs'!$H47,'Torrance Inputs'!$I47,"m"),0)</f>
        <v>0</v>
      </c>
      <c r="CT71" s="266">
        <f>IF(AND(CT$10&gt;='Torrance Inputs'!$H47,CT$10&lt;'Torrance Inputs'!$I47),'Torrance Inputs'!$I39/DATEDIF('Torrance Inputs'!$H47,'Torrance Inputs'!$I47,"m"),0)</f>
        <v>0</v>
      </c>
      <c r="CU71" s="266">
        <f>IF(AND(CU$10&gt;='Torrance Inputs'!$H47,CU$10&lt;'Torrance Inputs'!$I47),'Torrance Inputs'!$I39/DATEDIF('Torrance Inputs'!$H47,'Torrance Inputs'!$I47,"m"),0)</f>
        <v>0</v>
      </c>
      <c r="CV71" s="266">
        <f>IF(AND(CV$10&gt;='Torrance Inputs'!$H47,CV$10&lt;'Torrance Inputs'!$I47),'Torrance Inputs'!$I39/DATEDIF('Torrance Inputs'!$H47,'Torrance Inputs'!$I47,"m"),0)</f>
        <v>0</v>
      </c>
      <c r="CW71" s="266">
        <f>IF(AND(CW$10&gt;='Torrance Inputs'!$H47,CW$10&lt;'Torrance Inputs'!$I47),'Torrance Inputs'!$I39/DATEDIF('Torrance Inputs'!$H47,'Torrance Inputs'!$I47,"m"),0)</f>
        <v>0</v>
      </c>
      <c r="CX71" s="266">
        <f>IF(AND(CX$10&gt;='Torrance Inputs'!$H47,CX$10&lt;'Torrance Inputs'!$I47),'Torrance Inputs'!$I39/DATEDIF('Torrance Inputs'!$H47,'Torrance Inputs'!$I47,"m"),0)</f>
        <v>0</v>
      </c>
      <c r="CY71" s="266">
        <f>IF(AND(CY$10&gt;='Torrance Inputs'!$H47,CY$10&lt;'Torrance Inputs'!$I47),'Torrance Inputs'!$I39/DATEDIF('Torrance Inputs'!$H47,'Torrance Inputs'!$I47,"m"),0)</f>
        <v>0</v>
      </c>
      <c r="CZ71" s="266">
        <f>IF(AND(CZ$10&gt;='Torrance Inputs'!$H47,CZ$10&lt;'Torrance Inputs'!$I47),'Torrance Inputs'!$I39/DATEDIF('Torrance Inputs'!$H47,'Torrance Inputs'!$I47,"m"),0)</f>
        <v>0</v>
      </c>
      <c r="DA71" s="266">
        <f>IF(AND(DA$10&gt;='Torrance Inputs'!$H47,DA$10&lt;'Torrance Inputs'!$I47),'Torrance Inputs'!$I39/DATEDIF('Torrance Inputs'!$H47,'Torrance Inputs'!$I47,"m"),0)</f>
        <v>0</v>
      </c>
      <c r="DB71" s="266">
        <f>IF(AND(DB$10&gt;='Torrance Inputs'!$H47,DB$10&lt;'Torrance Inputs'!$I47),'Torrance Inputs'!$I39/DATEDIF('Torrance Inputs'!$H47,'Torrance Inputs'!$I47,"m"),0)</f>
        <v>0</v>
      </c>
      <c r="DC71" s="266">
        <f>IF(AND(DC$10&gt;='Torrance Inputs'!$H47,DC$10&lt;'Torrance Inputs'!$I47),'Torrance Inputs'!$I39/DATEDIF('Torrance Inputs'!$H47,'Torrance Inputs'!$I47,"m"),0)</f>
        <v>0</v>
      </c>
      <c r="DD71" s="266">
        <f>IF(AND(DD$10&gt;='Torrance Inputs'!$H47,DD$10&lt;'Torrance Inputs'!$I47),'Torrance Inputs'!$I39/DATEDIF('Torrance Inputs'!$H47,'Torrance Inputs'!$I47,"m"),0)</f>
        <v>0</v>
      </c>
      <c r="DE71" s="266">
        <f>IF(AND(DE$10&gt;='Torrance Inputs'!$H47,DE$10&lt;'Torrance Inputs'!$I47),'Torrance Inputs'!$I39/DATEDIF('Torrance Inputs'!$H47,'Torrance Inputs'!$I47,"m"),0)</f>
        <v>0</v>
      </c>
      <c r="DF71" s="266">
        <f>IF(AND(DF$10&gt;='Torrance Inputs'!$H47,DF$10&lt;'Torrance Inputs'!$I47),'Torrance Inputs'!$I39/DATEDIF('Torrance Inputs'!$H47,'Torrance Inputs'!$I47,"m"),0)</f>
        <v>0</v>
      </c>
      <c r="DG71" s="266">
        <f>IF(AND(DG$10&gt;='Torrance Inputs'!$H47,DG$10&lt;'Torrance Inputs'!$I47),'Torrance Inputs'!$I39/DATEDIF('Torrance Inputs'!$H47,'Torrance Inputs'!$I47,"m"),0)</f>
        <v>0</v>
      </c>
      <c r="DH71" s="266">
        <f>IF(AND(DH$10&gt;='Torrance Inputs'!$H47,DH$10&lt;'Torrance Inputs'!$I47),'Torrance Inputs'!$I39/DATEDIF('Torrance Inputs'!$H47,'Torrance Inputs'!$I47,"m"),0)</f>
        <v>0</v>
      </c>
      <c r="DI71" s="266">
        <f>IF(AND(DI$10&gt;='Torrance Inputs'!$H47,DI$10&lt;'Torrance Inputs'!$I47),'Torrance Inputs'!$I39/DATEDIF('Torrance Inputs'!$H47,'Torrance Inputs'!$I47,"m"),0)</f>
        <v>0</v>
      </c>
      <c r="DJ71" s="266">
        <f>IF(AND(DJ$10&gt;='Torrance Inputs'!$H47,DJ$10&lt;'Torrance Inputs'!$I47),'Torrance Inputs'!$I39/DATEDIF('Torrance Inputs'!$H47,'Torrance Inputs'!$I47,"m"),0)</f>
        <v>0</v>
      </c>
      <c r="DK71" s="266">
        <f>IF(AND(DK$10&gt;='Torrance Inputs'!$H47,DK$10&lt;'Torrance Inputs'!$I47),'Torrance Inputs'!$I39/DATEDIF('Torrance Inputs'!$H47,'Torrance Inputs'!$I47,"m"),0)</f>
        <v>0</v>
      </c>
      <c r="DL71" s="266">
        <f>IF(AND(DL$10&gt;='Torrance Inputs'!$H47,DL$10&lt;'Torrance Inputs'!$I47),'Torrance Inputs'!$I39/DATEDIF('Torrance Inputs'!$H47,'Torrance Inputs'!$I47,"m"),0)</f>
        <v>0</v>
      </c>
      <c r="DM71" s="266">
        <f>IF(AND(DM$10&gt;='Torrance Inputs'!$H47,DM$10&lt;'Torrance Inputs'!$I47),'Torrance Inputs'!$I39/DATEDIF('Torrance Inputs'!$H47,'Torrance Inputs'!$I47,"m"),0)</f>
        <v>0</v>
      </c>
      <c r="DN71" s="266">
        <f>IF(AND(DN$10&gt;='Torrance Inputs'!$H47,DN$10&lt;'Torrance Inputs'!$I47),'Torrance Inputs'!$I39/DATEDIF('Torrance Inputs'!$H47,'Torrance Inputs'!$I47,"m"),0)</f>
        <v>0</v>
      </c>
      <c r="DO71" s="266">
        <f>IF(AND(DO$10&gt;='Torrance Inputs'!$H47,DO$10&lt;'Torrance Inputs'!$I47),'Torrance Inputs'!$I39/DATEDIF('Torrance Inputs'!$H47,'Torrance Inputs'!$I47,"m"),0)</f>
        <v>0</v>
      </c>
      <c r="DP71" s="266">
        <f>IF(AND(DP$10&gt;='Torrance Inputs'!$H47,DP$10&lt;'Torrance Inputs'!$I47),'Torrance Inputs'!$I39/DATEDIF('Torrance Inputs'!$H47,'Torrance Inputs'!$I47,"m"),0)</f>
        <v>0</v>
      </c>
      <c r="DQ71" s="266">
        <f>IF(AND(DQ$10&gt;='Torrance Inputs'!$H47,DQ$10&lt;'Torrance Inputs'!$I47),'Torrance Inputs'!$I39/DATEDIF('Torrance Inputs'!$H47,'Torrance Inputs'!$I47,"m"),0)</f>
        <v>0</v>
      </c>
      <c r="DR71" s="266">
        <f>IF(AND(DR$10&gt;='Torrance Inputs'!$H47,DR$10&lt;'Torrance Inputs'!$I47),'Torrance Inputs'!$I39/DATEDIF('Torrance Inputs'!$H47,'Torrance Inputs'!$I47,"m"),0)</f>
        <v>0</v>
      </c>
      <c r="DS71" s="266">
        <f>IF(AND(DS$10&gt;='Torrance Inputs'!$H47,DS$10&lt;'Torrance Inputs'!$I47),'Torrance Inputs'!$I39/DATEDIF('Torrance Inputs'!$H47,'Torrance Inputs'!$I47,"m"),0)</f>
        <v>0</v>
      </c>
      <c r="DT71" s="266">
        <f>IF(AND(DT$10&gt;='Torrance Inputs'!$H47,DT$10&lt;'Torrance Inputs'!$I47),'Torrance Inputs'!$I39/DATEDIF('Torrance Inputs'!$H47,'Torrance Inputs'!$I47,"m"),0)</f>
        <v>0</v>
      </c>
      <c r="DU71" s="266">
        <f>IF(AND(DU$10&gt;='Torrance Inputs'!$H47,DU$10&lt;'Torrance Inputs'!$I47),'Torrance Inputs'!$I39/DATEDIF('Torrance Inputs'!$H47,'Torrance Inputs'!$I47,"m"),0)</f>
        <v>0</v>
      </c>
      <c r="DV71" s="266">
        <f>IF(AND(DV$10&gt;='Torrance Inputs'!$H47,DV$10&lt;'Torrance Inputs'!$I47),'Torrance Inputs'!$I39/DATEDIF('Torrance Inputs'!$H47,'Torrance Inputs'!$I47,"m"),0)</f>
        <v>0</v>
      </c>
      <c r="DW71" s="266">
        <f>IF(AND(DW$10&gt;='Torrance Inputs'!$H47,DW$10&lt;'Torrance Inputs'!$I47),'Torrance Inputs'!$I39/DATEDIF('Torrance Inputs'!$H47,'Torrance Inputs'!$I47,"m"),0)</f>
        <v>0</v>
      </c>
      <c r="DX71" s="266">
        <f>IF(AND(DX$10&gt;='Torrance Inputs'!$H47,DX$10&lt;'Torrance Inputs'!$I47),'Torrance Inputs'!$I39/DATEDIF('Torrance Inputs'!$H47,'Torrance Inputs'!$I47,"m"),0)</f>
        <v>0</v>
      </c>
      <c r="DY71" s="266">
        <f>IF(AND(DY$10&gt;='Torrance Inputs'!$H47,DY$10&lt;'Torrance Inputs'!$I47),'Torrance Inputs'!$I39/DATEDIF('Torrance Inputs'!$H47,'Torrance Inputs'!$I47,"m"),0)</f>
        <v>0</v>
      </c>
      <c r="DZ71" s="266">
        <f>IF(AND(DZ$10&gt;='Torrance Inputs'!$H47,DZ$10&lt;'Torrance Inputs'!$I47),'Torrance Inputs'!$I39/DATEDIF('Torrance Inputs'!$H47,'Torrance Inputs'!$I47,"m"),0)</f>
        <v>0</v>
      </c>
      <c r="EA71" s="266">
        <f>IF(AND(EA$10&gt;='Torrance Inputs'!$H47,EA$10&lt;'Torrance Inputs'!$I47),'Torrance Inputs'!$I39/DATEDIF('Torrance Inputs'!$H47,'Torrance Inputs'!$I47,"m"),0)</f>
        <v>0</v>
      </c>
      <c r="EB71" s="266">
        <f>IF(AND(EB$10&gt;='Torrance Inputs'!$H47,EB$10&lt;'Torrance Inputs'!$I47),'Torrance Inputs'!$I39/DATEDIF('Torrance Inputs'!$H47,'Torrance Inputs'!$I47,"m"),0)</f>
        <v>0</v>
      </c>
      <c r="EC71" s="266">
        <f>IF(AND(EC$10&gt;='Torrance Inputs'!$H47,EC$10&lt;'Torrance Inputs'!$I47),'Torrance Inputs'!$I39/DATEDIF('Torrance Inputs'!$H47,'Torrance Inputs'!$I47,"m"),0)</f>
        <v>0</v>
      </c>
      <c r="ED71" s="266">
        <f>IF(AND(ED$10&gt;='Torrance Inputs'!$H47,ED$10&lt;'Torrance Inputs'!$I47),'Torrance Inputs'!$I39/DATEDIF('Torrance Inputs'!$H47,'Torrance Inputs'!$I47,"m"),0)</f>
        <v>0</v>
      </c>
    </row>
    <row r="72" spans="1:134" ht="19.149999999999999" customHeight="1" x14ac:dyDescent="0.4">
      <c r="A72" s="265" t="s">
        <v>58</v>
      </c>
      <c r="B72" s="264"/>
      <c r="C72" s="266">
        <f>IF(AND(C$10&gt;='Torrance Inputs'!$H48,C$10&lt;'Torrance Inputs'!$I48),'Torrance Inputs'!$I40/DATEDIF('Torrance Inputs'!$H48,'Torrance Inputs'!$I48,"m"),0)</f>
        <v>0</v>
      </c>
      <c r="D72" s="266">
        <f>IF(AND(D$10&gt;='Torrance Inputs'!$H48,D$10&lt;'Torrance Inputs'!$I48),'Torrance Inputs'!$I40/DATEDIF('Torrance Inputs'!$H48,'Torrance Inputs'!$I48,"m"),0)</f>
        <v>0</v>
      </c>
      <c r="E72" s="266">
        <f>IF(AND(E$10&gt;='Torrance Inputs'!$H48,E$10&lt;'Torrance Inputs'!$I48),'Torrance Inputs'!$I40/DATEDIF('Torrance Inputs'!$H48,'Torrance Inputs'!$I48,"m"),0)</f>
        <v>0</v>
      </c>
      <c r="F72" s="266">
        <f>IF(AND(F$10&gt;='Torrance Inputs'!$H48,F$10&lt;'Torrance Inputs'!$I48),'Torrance Inputs'!$I40/DATEDIF('Torrance Inputs'!$H48,'Torrance Inputs'!$I48,"m"),0)</f>
        <v>0</v>
      </c>
      <c r="G72" s="266">
        <f>IF(AND(G$10&gt;='Torrance Inputs'!$H48,G$10&lt;'Torrance Inputs'!$I48),'Torrance Inputs'!$I40/DATEDIF('Torrance Inputs'!$H48,'Torrance Inputs'!$I48,"m"),0)</f>
        <v>0</v>
      </c>
      <c r="H72" s="266">
        <f>IF(AND(H$10&gt;='Torrance Inputs'!$H48,H$10&lt;'Torrance Inputs'!$I48),'Torrance Inputs'!$I40/DATEDIF('Torrance Inputs'!$H48,'Torrance Inputs'!$I48,"m"),0)</f>
        <v>0</v>
      </c>
      <c r="I72" s="266">
        <f>IF(AND(I$10&gt;='Torrance Inputs'!$H48,I$10&lt;'Torrance Inputs'!$I48),'Torrance Inputs'!$I40/DATEDIF('Torrance Inputs'!$H48,'Torrance Inputs'!$I48,"m"),0)</f>
        <v>0</v>
      </c>
      <c r="J72" s="266">
        <f>IF(AND(J$10&gt;='Torrance Inputs'!$H48,J$10&lt;'Torrance Inputs'!$I48),'Torrance Inputs'!$I40/DATEDIF('Torrance Inputs'!$H48,'Torrance Inputs'!$I48,"m"),0)</f>
        <v>0</v>
      </c>
      <c r="K72" s="266">
        <f>IF(AND(K$10&gt;='Torrance Inputs'!$H48,K$10&lt;'Torrance Inputs'!$I48),'Torrance Inputs'!$I40/DATEDIF('Torrance Inputs'!$H48,'Torrance Inputs'!$I48,"m"),0)</f>
        <v>0</v>
      </c>
      <c r="L72" s="266">
        <f>IF(AND(L$10&gt;='Torrance Inputs'!$H48,L$10&lt;'Torrance Inputs'!$I48),'Torrance Inputs'!$I40/DATEDIF('Torrance Inputs'!$H48,'Torrance Inputs'!$I48,"m"),0)</f>
        <v>0</v>
      </c>
      <c r="M72" s="266">
        <f>IF(AND(M$10&gt;='Torrance Inputs'!$H48,M$10&lt;'Torrance Inputs'!$I48),'Torrance Inputs'!$I40/DATEDIF('Torrance Inputs'!$H48,'Torrance Inputs'!$I48,"m"),0)</f>
        <v>0</v>
      </c>
      <c r="N72" s="266">
        <f>IF(AND(N$10&gt;='Torrance Inputs'!$H48,N$10&lt;'Torrance Inputs'!$I48),'Torrance Inputs'!$I40/DATEDIF('Torrance Inputs'!$H48,'Torrance Inputs'!$I48,"m"),0)</f>
        <v>0</v>
      </c>
      <c r="O72" s="266">
        <f>IF(AND(O$10&gt;='Torrance Inputs'!$H48,O$10&lt;'Torrance Inputs'!$I48),'Torrance Inputs'!$I40/DATEDIF('Torrance Inputs'!$H48,'Torrance Inputs'!$I48,"m"),0)</f>
        <v>0</v>
      </c>
      <c r="P72" s="266">
        <f>IF(AND(P$10&gt;='Torrance Inputs'!$H48,P$10&lt;'Torrance Inputs'!$I48),'Torrance Inputs'!$I40/DATEDIF('Torrance Inputs'!$H48,'Torrance Inputs'!$I48,"m"),0)</f>
        <v>0</v>
      </c>
      <c r="Q72" s="266">
        <f>IF(AND(Q$10&gt;='Torrance Inputs'!$H48,Q$10&lt;'Torrance Inputs'!$I48),'Torrance Inputs'!$I40/DATEDIF('Torrance Inputs'!$H48,'Torrance Inputs'!$I48,"m"),0)</f>
        <v>0</v>
      </c>
      <c r="R72" s="266">
        <f>IF(AND(R$10&gt;='Torrance Inputs'!$H48,R$10&lt;'Torrance Inputs'!$I48),'Torrance Inputs'!$I40/DATEDIF('Torrance Inputs'!$H48,'Torrance Inputs'!$I48,"m"),0)</f>
        <v>0</v>
      </c>
      <c r="S72" s="266">
        <f>IF(AND(S$10&gt;='Torrance Inputs'!$H48,S$10&lt;'Torrance Inputs'!$I48),'Torrance Inputs'!$I40/DATEDIF('Torrance Inputs'!$H48,'Torrance Inputs'!$I48,"m"),0)</f>
        <v>0</v>
      </c>
      <c r="T72" s="266">
        <f>IF(AND(T$10&gt;='Torrance Inputs'!$H48,T$10&lt;'Torrance Inputs'!$I48),'Torrance Inputs'!$I40/DATEDIF('Torrance Inputs'!$H48,'Torrance Inputs'!$I48,"m"),0)</f>
        <v>0</v>
      </c>
      <c r="U72" s="266">
        <f>IF(AND(U$10&gt;='Torrance Inputs'!$H48,U$10&lt;'Torrance Inputs'!$I48),'Torrance Inputs'!$I40/DATEDIF('Torrance Inputs'!$H48,'Torrance Inputs'!$I48,"m"),0)</f>
        <v>0</v>
      </c>
      <c r="V72" s="266">
        <f>IF(AND(V$10&gt;='Torrance Inputs'!$H48,V$10&lt;'Torrance Inputs'!$I48),'Torrance Inputs'!$I40/DATEDIF('Torrance Inputs'!$H48,'Torrance Inputs'!$I48,"m"),0)</f>
        <v>0</v>
      </c>
      <c r="W72" s="266">
        <f>IF(AND(W$10&gt;='Torrance Inputs'!$H48,W$10&lt;'Torrance Inputs'!$I48),'Torrance Inputs'!$I40/DATEDIF('Torrance Inputs'!$H48,'Torrance Inputs'!$I48,"m"),0)</f>
        <v>0</v>
      </c>
      <c r="X72" s="266">
        <f>IF(AND(X$10&gt;='Torrance Inputs'!$H48,X$10&lt;'Torrance Inputs'!$I48),'Torrance Inputs'!$I40/DATEDIF('Torrance Inputs'!$H48,'Torrance Inputs'!$I48,"m"),0)</f>
        <v>0</v>
      </c>
      <c r="Y72" s="266">
        <f>IF(AND(Y$10&gt;='Torrance Inputs'!$H48,Y$10&lt;'Torrance Inputs'!$I48),'Torrance Inputs'!$I40/DATEDIF('Torrance Inputs'!$H48,'Torrance Inputs'!$I48,"m"),0)</f>
        <v>0</v>
      </c>
      <c r="Z72" s="266">
        <f>IF(AND(Z$10&gt;='Torrance Inputs'!$H48,Z$10&lt;'Torrance Inputs'!$I48),'Torrance Inputs'!$I40/DATEDIF('Torrance Inputs'!$H48,'Torrance Inputs'!$I48,"m"),0)</f>
        <v>0</v>
      </c>
      <c r="AA72" s="266">
        <f>IF(AND(AA$10&gt;='Torrance Inputs'!$H48,AA$10&lt;'Torrance Inputs'!$I48),'Torrance Inputs'!$I40/DATEDIF('Torrance Inputs'!$H48,'Torrance Inputs'!$I48,"m"),0)</f>
        <v>0</v>
      </c>
      <c r="AB72" s="266">
        <f>IF(AND(AB$10&gt;='Torrance Inputs'!$H48,AB$10&lt;'Torrance Inputs'!$I48),'Torrance Inputs'!$I40/DATEDIF('Torrance Inputs'!$H48,'Torrance Inputs'!$I48,"m"),0)</f>
        <v>0</v>
      </c>
      <c r="AC72" s="266">
        <f>IF(AND(AC$10&gt;='Torrance Inputs'!$H48,AC$10&lt;'Torrance Inputs'!$I48),'Torrance Inputs'!$I40/DATEDIF('Torrance Inputs'!$H48,'Torrance Inputs'!$I48,"m"),0)</f>
        <v>0</v>
      </c>
      <c r="AD72" s="266">
        <f>IF(AND(AD$10&gt;='Torrance Inputs'!$H48,AD$10&lt;'Torrance Inputs'!$I48),'Torrance Inputs'!$I40/DATEDIF('Torrance Inputs'!$H48,'Torrance Inputs'!$I48,"m"),0)</f>
        <v>0</v>
      </c>
      <c r="AE72" s="266">
        <f>IF(AND(AE$10&gt;='Torrance Inputs'!$H48,AE$10&lt;'Torrance Inputs'!$I48),'Torrance Inputs'!$I40/DATEDIF('Torrance Inputs'!$H48,'Torrance Inputs'!$I48,"m"),0)</f>
        <v>0</v>
      </c>
      <c r="AF72" s="266">
        <f>IF(AND(AF$10&gt;='Torrance Inputs'!$H48,AF$10&lt;'Torrance Inputs'!$I48),'Torrance Inputs'!$I40/DATEDIF('Torrance Inputs'!$H48,'Torrance Inputs'!$I48,"m"),0)</f>
        <v>0</v>
      </c>
      <c r="AG72" s="266">
        <f>IF(AND(AG$10&gt;='Torrance Inputs'!$H48,AG$10&lt;'Torrance Inputs'!$I48),'Torrance Inputs'!$I40/DATEDIF('Torrance Inputs'!$H48,'Torrance Inputs'!$I48,"m"),0)</f>
        <v>0</v>
      </c>
      <c r="AH72" s="266">
        <f>IF(AND(AH$10&gt;='Torrance Inputs'!$H48,AH$10&lt;'Torrance Inputs'!$I48),'Torrance Inputs'!$I40/DATEDIF('Torrance Inputs'!$H48,'Torrance Inputs'!$I48,"m"),0)</f>
        <v>0</v>
      </c>
      <c r="AI72" s="266">
        <f>IF(AND(AI$10&gt;='Torrance Inputs'!$H48,AI$10&lt;'Torrance Inputs'!$I48),'Torrance Inputs'!$I40/DATEDIF('Torrance Inputs'!$H48,'Torrance Inputs'!$I48,"m"),0)</f>
        <v>0</v>
      </c>
      <c r="AJ72" s="266">
        <f>IF(AND(AJ$10&gt;='Torrance Inputs'!$H48,AJ$10&lt;'Torrance Inputs'!$I48),'Torrance Inputs'!$I40/DATEDIF('Torrance Inputs'!$H48,'Torrance Inputs'!$I48,"m"),0)</f>
        <v>0</v>
      </c>
      <c r="AK72" s="266">
        <f>IF(AND(AK$10&gt;='Torrance Inputs'!$H48,AK$10&lt;'Torrance Inputs'!$I48),'Torrance Inputs'!$I40/DATEDIF('Torrance Inputs'!$H48,'Torrance Inputs'!$I48,"m"),0)</f>
        <v>0</v>
      </c>
      <c r="AL72" s="266">
        <f>IF(AND(AL$10&gt;='Torrance Inputs'!$H48,AL$10&lt;'Torrance Inputs'!$I48),'Torrance Inputs'!$I40/DATEDIF('Torrance Inputs'!$H48,'Torrance Inputs'!$I48,"m"),0)</f>
        <v>0</v>
      </c>
      <c r="AM72" s="266">
        <f>IF(AND(AM$10&gt;='Torrance Inputs'!$H48,AM$10&lt;'Torrance Inputs'!$I48),'Torrance Inputs'!$I40/DATEDIF('Torrance Inputs'!$H48,'Torrance Inputs'!$I48,"m"),0)</f>
        <v>0</v>
      </c>
      <c r="AN72" s="266">
        <f>IF(AND(AN$10&gt;='Torrance Inputs'!$H48,AN$10&lt;'Torrance Inputs'!$I48),'Torrance Inputs'!$I40/DATEDIF('Torrance Inputs'!$H48,'Torrance Inputs'!$I48,"m"),0)</f>
        <v>0</v>
      </c>
      <c r="AO72" s="266">
        <f>IF(AND(AO$10&gt;='Torrance Inputs'!$H48,AO$10&lt;'Torrance Inputs'!$I48),'Torrance Inputs'!$I40/DATEDIF('Torrance Inputs'!$H48,'Torrance Inputs'!$I48,"m"),0)</f>
        <v>0</v>
      </c>
      <c r="AP72" s="266">
        <f>IF(AND(AP$10&gt;='Torrance Inputs'!$H48,AP$10&lt;'Torrance Inputs'!$I48),'Torrance Inputs'!$I40/DATEDIF('Torrance Inputs'!$H48,'Torrance Inputs'!$I48,"m"),0)</f>
        <v>0</v>
      </c>
      <c r="AQ72" s="266">
        <f>IF(AND(AQ$10&gt;='Torrance Inputs'!$H48,AQ$10&lt;'Torrance Inputs'!$I48),'Torrance Inputs'!$I40/DATEDIF('Torrance Inputs'!$H48,'Torrance Inputs'!$I48,"m"),0)</f>
        <v>0</v>
      </c>
      <c r="AR72" s="266">
        <f>IF(AND(AR$10&gt;='Torrance Inputs'!$H48,AR$10&lt;'Torrance Inputs'!$I48),'Torrance Inputs'!$I40/DATEDIF('Torrance Inputs'!$H48,'Torrance Inputs'!$I48,"m"),0)</f>
        <v>0</v>
      </c>
      <c r="AS72" s="266">
        <f>IF(AND(AS$10&gt;='Torrance Inputs'!$H48,AS$10&lt;'Torrance Inputs'!$I48),'Torrance Inputs'!$I40/DATEDIF('Torrance Inputs'!$H48,'Torrance Inputs'!$I48,"m"),0)</f>
        <v>0</v>
      </c>
      <c r="AT72" s="266">
        <f>IF(AND(AT$10&gt;='Torrance Inputs'!$H48,AT$10&lt;'Torrance Inputs'!$I48),'Torrance Inputs'!$I40/DATEDIF('Torrance Inputs'!$H48,'Torrance Inputs'!$I48,"m"),0)</f>
        <v>0</v>
      </c>
      <c r="AU72" s="266">
        <f>IF(AND(AU$10&gt;='Torrance Inputs'!$H48,AU$10&lt;'Torrance Inputs'!$I48),'Torrance Inputs'!$I40/DATEDIF('Torrance Inputs'!$H48,'Torrance Inputs'!$I48,"m"),0)</f>
        <v>0</v>
      </c>
      <c r="AV72" s="266">
        <f>IF(AND(AV$10&gt;='Torrance Inputs'!$H48,AV$10&lt;'Torrance Inputs'!$I48),'Torrance Inputs'!$I40/DATEDIF('Torrance Inputs'!$H48,'Torrance Inputs'!$I48,"m"),0)</f>
        <v>0</v>
      </c>
      <c r="AW72" s="266">
        <f>IF(AND(AW$10&gt;='Torrance Inputs'!$H48,AW$10&lt;'Torrance Inputs'!$I48),'Torrance Inputs'!$I40/DATEDIF('Torrance Inputs'!$H48,'Torrance Inputs'!$I48,"m"),0)</f>
        <v>0</v>
      </c>
      <c r="AX72" s="266">
        <f>IF(AND(AX$10&gt;='Torrance Inputs'!$H48,AX$10&lt;'Torrance Inputs'!$I48),'Torrance Inputs'!$I40/DATEDIF('Torrance Inputs'!$H48,'Torrance Inputs'!$I48,"m"),0)</f>
        <v>0</v>
      </c>
      <c r="AY72" s="266">
        <f>IF(AND(AY$10&gt;='Torrance Inputs'!$H48,AY$10&lt;'Torrance Inputs'!$I48),'Torrance Inputs'!$I40/DATEDIF('Torrance Inputs'!$H48,'Torrance Inputs'!$I48,"m"),0)</f>
        <v>0</v>
      </c>
      <c r="AZ72" s="266">
        <f>IF(AND(AZ$10&gt;='Torrance Inputs'!$H48,AZ$10&lt;'Torrance Inputs'!$I48),'Torrance Inputs'!$I40/DATEDIF('Torrance Inputs'!$H48,'Torrance Inputs'!$I48,"m"),0)</f>
        <v>0</v>
      </c>
      <c r="BA72" s="266">
        <f>IF(AND(BA$10&gt;='Torrance Inputs'!$H48,BA$10&lt;'Torrance Inputs'!$I48),'Torrance Inputs'!$I40/DATEDIF('Torrance Inputs'!$H48,'Torrance Inputs'!$I48,"m"),0)</f>
        <v>0</v>
      </c>
      <c r="BB72" s="266">
        <f>IF(AND(BB$10&gt;='Torrance Inputs'!$H48,BB$10&lt;'Torrance Inputs'!$I48),'Torrance Inputs'!$I40/DATEDIF('Torrance Inputs'!$H48,'Torrance Inputs'!$I48,"m"),0)</f>
        <v>0</v>
      </c>
      <c r="BC72" s="266">
        <f>IF(AND(BC$10&gt;='Torrance Inputs'!$H48,BC$10&lt;'Torrance Inputs'!$I48),'Torrance Inputs'!$I40/DATEDIF('Torrance Inputs'!$H48,'Torrance Inputs'!$I48,"m"),0)</f>
        <v>0</v>
      </c>
      <c r="BD72" s="266">
        <f>IF(AND(BD$10&gt;='Torrance Inputs'!$H48,BD$10&lt;'Torrance Inputs'!$I48),'Torrance Inputs'!$I40/DATEDIF('Torrance Inputs'!$H48,'Torrance Inputs'!$I48,"m"),0)</f>
        <v>0</v>
      </c>
      <c r="BE72" s="266">
        <f>IF(AND(BE$10&gt;='Torrance Inputs'!$H48,BE$10&lt;'Torrance Inputs'!$I48),'Torrance Inputs'!$I40/DATEDIF('Torrance Inputs'!$H48,'Torrance Inputs'!$I48,"m"),0)</f>
        <v>0</v>
      </c>
      <c r="BF72" s="266">
        <f>IF(AND(BF$10&gt;='Torrance Inputs'!$H48,BF$10&lt;'Torrance Inputs'!$I48),'Torrance Inputs'!$I40/DATEDIF('Torrance Inputs'!$H48,'Torrance Inputs'!$I48,"m"),0)</f>
        <v>0</v>
      </c>
      <c r="BG72" s="266">
        <f>IF(AND(BG$10&gt;='Torrance Inputs'!$H48,BG$10&lt;'Torrance Inputs'!$I48),'Torrance Inputs'!$I40/DATEDIF('Torrance Inputs'!$H48,'Torrance Inputs'!$I48,"m"),0)</f>
        <v>0</v>
      </c>
      <c r="BH72" s="266">
        <f>IF(AND(BH$10&gt;='Torrance Inputs'!$H48,BH$10&lt;'Torrance Inputs'!$I48),'Torrance Inputs'!$I40/DATEDIF('Torrance Inputs'!$H48,'Torrance Inputs'!$I48,"m"),0)</f>
        <v>0</v>
      </c>
      <c r="BI72" s="266">
        <f>IF(AND(BI$10&gt;='Torrance Inputs'!$H48,BI$10&lt;'Torrance Inputs'!$I48),'Torrance Inputs'!$I40/DATEDIF('Torrance Inputs'!$H48,'Torrance Inputs'!$I48,"m"),0)</f>
        <v>0</v>
      </c>
      <c r="BJ72" s="266">
        <f>IF(AND(BJ$10&gt;='Torrance Inputs'!$H48,BJ$10&lt;'Torrance Inputs'!$I48),'Torrance Inputs'!$I40/DATEDIF('Torrance Inputs'!$H48,'Torrance Inputs'!$I48,"m"),0)</f>
        <v>0</v>
      </c>
      <c r="BK72" s="266">
        <f>IF(AND(BK$10&gt;='Torrance Inputs'!$H48,BK$10&lt;'Torrance Inputs'!$I48),'Torrance Inputs'!$I40/DATEDIF('Torrance Inputs'!$H48,'Torrance Inputs'!$I48,"m"),0)</f>
        <v>0</v>
      </c>
      <c r="BL72" s="266">
        <f>IF(AND(BL$10&gt;='Torrance Inputs'!$H48,BL$10&lt;'Torrance Inputs'!$I48),'Torrance Inputs'!$I40/DATEDIF('Torrance Inputs'!$H48,'Torrance Inputs'!$I48,"m"),0)</f>
        <v>0</v>
      </c>
      <c r="BM72" s="266">
        <f>IF(AND(BM$10&gt;='Torrance Inputs'!$H48,BM$10&lt;'Torrance Inputs'!$I48),'Torrance Inputs'!$I40/DATEDIF('Torrance Inputs'!$H48,'Torrance Inputs'!$I48,"m"),0)</f>
        <v>0</v>
      </c>
      <c r="BN72" s="266">
        <f>IF(AND(BN$10&gt;='Torrance Inputs'!$H48,BN$10&lt;'Torrance Inputs'!$I48),'Torrance Inputs'!$I40/DATEDIF('Torrance Inputs'!$H48,'Torrance Inputs'!$I48,"m"),0)</f>
        <v>0</v>
      </c>
      <c r="BO72" s="266">
        <f>IF(AND(BO$10&gt;='Torrance Inputs'!$H48,BO$10&lt;'Torrance Inputs'!$I48),'Torrance Inputs'!$I40/DATEDIF('Torrance Inputs'!$H48,'Torrance Inputs'!$I48,"m"),0)</f>
        <v>0</v>
      </c>
      <c r="BP72" s="266">
        <f>IF(AND(BP$10&gt;='Torrance Inputs'!$H48,BP$10&lt;'Torrance Inputs'!$I48),'Torrance Inputs'!$I40/DATEDIF('Torrance Inputs'!$H48,'Torrance Inputs'!$I48,"m"),0)</f>
        <v>0</v>
      </c>
      <c r="BQ72" s="266">
        <f>IF(AND(BQ$10&gt;='Torrance Inputs'!$H48,BQ$10&lt;'Torrance Inputs'!$I48),'Torrance Inputs'!$I40/DATEDIF('Torrance Inputs'!$H48,'Torrance Inputs'!$I48,"m"),0)</f>
        <v>0</v>
      </c>
      <c r="BR72" s="266">
        <f>IF(AND(BR$10&gt;='Torrance Inputs'!$H48,BR$10&lt;'Torrance Inputs'!$I48),'Torrance Inputs'!$I40/DATEDIF('Torrance Inputs'!$H48,'Torrance Inputs'!$I48,"m"),0)</f>
        <v>0</v>
      </c>
      <c r="BS72" s="266">
        <f>IF(AND(BS$10&gt;='Torrance Inputs'!$H48,BS$10&lt;'Torrance Inputs'!$I48),'Torrance Inputs'!$I40/DATEDIF('Torrance Inputs'!$H48,'Torrance Inputs'!$I48,"m"),0)</f>
        <v>0</v>
      </c>
      <c r="BT72" s="266">
        <f>IF(AND(BT$10&gt;='Torrance Inputs'!$H48,BT$10&lt;'Torrance Inputs'!$I48),'Torrance Inputs'!$I40/DATEDIF('Torrance Inputs'!$H48,'Torrance Inputs'!$I48,"m"),0)</f>
        <v>0</v>
      </c>
      <c r="BU72" s="266">
        <f>IF(AND(BU$10&gt;='Torrance Inputs'!$H48,BU$10&lt;'Torrance Inputs'!$I48),'Torrance Inputs'!$I40/DATEDIF('Torrance Inputs'!$H48,'Torrance Inputs'!$I48,"m"),0)</f>
        <v>0</v>
      </c>
      <c r="BV72" s="266">
        <f>IF(AND(BV$10&gt;='Torrance Inputs'!$H48,BV$10&lt;'Torrance Inputs'!$I48),'Torrance Inputs'!$I40/DATEDIF('Torrance Inputs'!$H48,'Torrance Inputs'!$I48,"m"),0)</f>
        <v>0</v>
      </c>
      <c r="BW72" s="266">
        <f>IF(AND(BW$10&gt;='Torrance Inputs'!$H48,BW$10&lt;'Torrance Inputs'!$I48),'Torrance Inputs'!$I40/DATEDIF('Torrance Inputs'!$H48,'Torrance Inputs'!$I48,"m"),0)</f>
        <v>0</v>
      </c>
      <c r="BX72" s="266">
        <f>IF(AND(BX$10&gt;='Torrance Inputs'!$H48,BX$10&lt;'Torrance Inputs'!$I48),'Torrance Inputs'!$I40/DATEDIF('Torrance Inputs'!$H48,'Torrance Inputs'!$I48,"m"),0)</f>
        <v>0</v>
      </c>
      <c r="BY72" s="266">
        <f>IF(AND(BY$10&gt;='Torrance Inputs'!$H48,BY$10&lt;'Torrance Inputs'!$I48),'Torrance Inputs'!$I40/DATEDIF('Torrance Inputs'!$H48,'Torrance Inputs'!$I48,"m"),0)</f>
        <v>0</v>
      </c>
      <c r="BZ72" s="266">
        <f>IF(AND(BZ$10&gt;='Torrance Inputs'!$H48,BZ$10&lt;'Torrance Inputs'!$I48),'Torrance Inputs'!$I40/DATEDIF('Torrance Inputs'!$H48,'Torrance Inputs'!$I48,"m"),0)</f>
        <v>0</v>
      </c>
      <c r="CA72" s="266">
        <f>IF(AND(CA$10&gt;='Torrance Inputs'!$H48,CA$10&lt;'Torrance Inputs'!$I48),'Torrance Inputs'!$I40/DATEDIF('Torrance Inputs'!$H48,'Torrance Inputs'!$I48,"m"),0)</f>
        <v>0</v>
      </c>
      <c r="CB72" s="266">
        <f>IF(AND(CB$10&gt;='Torrance Inputs'!$H48,CB$10&lt;'Torrance Inputs'!$I48),'Torrance Inputs'!$I40/DATEDIF('Torrance Inputs'!$H48,'Torrance Inputs'!$I48,"m"),0)</f>
        <v>0</v>
      </c>
      <c r="CC72" s="266">
        <f>IF(AND(CC$10&gt;='Torrance Inputs'!$H48,CC$10&lt;'Torrance Inputs'!$I48),'Torrance Inputs'!$I40/DATEDIF('Torrance Inputs'!$H48,'Torrance Inputs'!$I48,"m"),0)</f>
        <v>0</v>
      </c>
      <c r="CD72" s="266">
        <f>IF(AND(CD$10&gt;='Torrance Inputs'!$H48,CD$10&lt;'Torrance Inputs'!$I48),'Torrance Inputs'!$I40/DATEDIF('Torrance Inputs'!$H48,'Torrance Inputs'!$I48,"m"),0)</f>
        <v>0</v>
      </c>
      <c r="CE72" s="266">
        <f>IF(AND(CE$10&gt;='Torrance Inputs'!$H48,CE$10&lt;'Torrance Inputs'!$I48),'Torrance Inputs'!$I40/DATEDIF('Torrance Inputs'!$H48,'Torrance Inputs'!$I48,"m"),0)</f>
        <v>0</v>
      </c>
      <c r="CF72" s="266">
        <f>IF(AND(CF$10&gt;='Torrance Inputs'!$H48,CF$10&lt;'Torrance Inputs'!$I48),'Torrance Inputs'!$I40/DATEDIF('Torrance Inputs'!$H48,'Torrance Inputs'!$I48,"m"),0)</f>
        <v>33333.333333333336</v>
      </c>
      <c r="CG72" s="266">
        <f>IF(AND(CG$10&gt;='Torrance Inputs'!$H48,CG$10&lt;'Torrance Inputs'!$I48),'Torrance Inputs'!$I40/DATEDIF('Torrance Inputs'!$H48,'Torrance Inputs'!$I48,"m"),0)</f>
        <v>33333.333333333336</v>
      </c>
      <c r="CH72" s="266">
        <f>IF(AND(CH$10&gt;='Torrance Inputs'!$H48,CH$10&lt;'Torrance Inputs'!$I48),'Torrance Inputs'!$I40/DATEDIF('Torrance Inputs'!$H48,'Torrance Inputs'!$I48,"m"),0)</f>
        <v>33333.333333333336</v>
      </c>
      <c r="CI72" s="266">
        <f>IF(AND(CI$10&gt;='Torrance Inputs'!$H48,CI$10&lt;'Torrance Inputs'!$I48),'Torrance Inputs'!$I40/DATEDIF('Torrance Inputs'!$H48,'Torrance Inputs'!$I48,"m"),0)</f>
        <v>0</v>
      </c>
      <c r="CJ72" s="266">
        <f>IF(AND(CJ$10&gt;='Torrance Inputs'!$H48,CJ$10&lt;'Torrance Inputs'!$I48),'Torrance Inputs'!$I40/DATEDIF('Torrance Inputs'!$H48,'Torrance Inputs'!$I48,"m"),0)</f>
        <v>0</v>
      </c>
      <c r="CK72" s="266">
        <f>IF(AND(CK$10&gt;='Torrance Inputs'!$H48,CK$10&lt;'Torrance Inputs'!$I48),'Torrance Inputs'!$I40/DATEDIF('Torrance Inputs'!$H48,'Torrance Inputs'!$I48,"m"),0)</f>
        <v>0</v>
      </c>
      <c r="CL72" s="266">
        <f>IF(AND(CL$10&gt;='Torrance Inputs'!$H48,CL$10&lt;'Torrance Inputs'!$I48),'Torrance Inputs'!$I40/DATEDIF('Torrance Inputs'!$H48,'Torrance Inputs'!$I48,"m"),0)</f>
        <v>0</v>
      </c>
      <c r="CM72" s="266">
        <f>IF(AND(CM$10&gt;='Torrance Inputs'!$H48,CM$10&lt;'Torrance Inputs'!$I48),'Torrance Inputs'!$I40/DATEDIF('Torrance Inputs'!$H48,'Torrance Inputs'!$I48,"m"),0)</f>
        <v>0</v>
      </c>
      <c r="CN72" s="266">
        <f>IF(AND(CN$10&gt;='Torrance Inputs'!$H48,CN$10&lt;'Torrance Inputs'!$I48),'Torrance Inputs'!$I40/DATEDIF('Torrance Inputs'!$H48,'Torrance Inputs'!$I48,"m"),0)</f>
        <v>0</v>
      </c>
      <c r="CO72" s="266">
        <f>IF(AND(CO$10&gt;='Torrance Inputs'!$H48,CO$10&lt;'Torrance Inputs'!$I48),'Torrance Inputs'!$I40/DATEDIF('Torrance Inputs'!$H48,'Torrance Inputs'!$I48,"m"),0)</f>
        <v>0</v>
      </c>
      <c r="CP72" s="266">
        <f>IF(AND(CP$10&gt;='Torrance Inputs'!$H48,CP$10&lt;'Torrance Inputs'!$I48),'Torrance Inputs'!$I40/DATEDIF('Torrance Inputs'!$H48,'Torrance Inputs'!$I48,"m"),0)</f>
        <v>0</v>
      </c>
      <c r="CQ72" s="266">
        <f>IF(AND(CQ$10&gt;='Torrance Inputs'!$H48,CQ$10&lt;'Torrance Inputs'!$I48),'Torrance Inputs'!$I40/DATEDIF('Torrance Inputs'!$H48,'Torrance Inputs'!$I48,"m"),0)</f>
        <v>0</v>
      </c>
      <c r="CR72" s="266">
        <f>IF(AND(CR$10&gt;='Torrance Inputs'!$H48,CR$10&lt;'Torrance Inputs'!$I48),'Torrance Inputs'!$I40/DATEDIF('Torrance Inputs'!$H48,'Torrance Inputs'!$I48,"m"),0)</f>
        <v>0</v>
      </c>
      <c r="CS72" s="266">
        <f>IF(AND(CS$10&gt;='Torrance Inputs'!$H48,CS$10&lt;'Torrance Inputs'!$I48),'Torrance Inputs'!$I40/DATEDIF('Torrance Inputs'!$H48,'Torrance Inputs'!$I48,"m"),0)</f>
        <v>0</v>
      </c>
      <c r="CT72" s="266">
        <f>IF(AND(CT$10&gt;='Torrance Inputs'!$H48,CT$10&lt;'Torrance Inputs'!$I48),'Torrance Inputs'!$I40/DATEDIF('Torrance Inputs'!$H48,'Torrance Inputs'!$I48,"m"),0)</f>
        <v>0</v>
      </c>
      <c r="CU72" s="266">
        <f>IF(AND(CU$10&gt;='Torrance Inputs'!$H48,CU$10&lt;'Torrance Inputs'!$I48),'Torrance Inputs'!$I40/DATEDIF('Torrance Inputs'!$H48,'Torrance Inputs'!$I48,"m"),0)</f>
        <v>0</v>
      </c>
      <c r="CV72" s="266">
        <f>IF(AND(CV$10&gt;='Torrance Inputs'!$H48,CV$10&lt;'Torrance Inputs'!$I48),'Torrance Inputs'!$I40/DATEDIF('Torrance Inputs'!$H48,'Torrance Inputs'!$I48,"m"),0)</f>
        <v>0</v>
      </c>
      <c r="CW72" s="266">
        <f>IF(AND(CW$10&gt;='Torrance Inputs'!$H48,CW$10&lt;'Torrance Inputs'!$I48),'Torrance Inputs'!$I40/DATEDIF('Torrance Inputs'!$H48,'Torrance Inputs'!$I48,"m"),0)</f>
        <v>0</v>
      </c>
      <c r="CX72" s="266">
        <f>IF(AND(CX$10&gt;='Torrance Inputs'!$H48,CX$10&lt;'Torrance Inputs'!$I48),'Torrance Inputs'!$I40/DATEDIF('Torrance Inputs'!$H48,'Torrance Inputs'!$I48,"m"),0)</f>
        <v>0</v>
      </c>
      <c r="CY72" s="266">
        <f>IF(AND(CY$10&gt;='Torrance Inputs'!$H48,CY$10&lt;'Torrance Inputs'!$I48),'Torrance Inputs'!$I40/DATEDIF('Torrance Inputs'!$H48,'Torrance Inputs'!$I48,"m"),0)</f>
        <v>0</v>
      </c>
      <c r="CZ72" s="266">
        <f>IF(AND(CZ$10&gt;='Torrance Inputs'!$H48,CZ$10&lt;'Torrance Inputs'!$I48),'Torrance Inputs'!$I40/DATEDIF('Torrance Inputs'!$H48,'Torrance Inputs'!$I48,"m"),0)</f>
        <v>0</v>
      </c>
      <c r="DA72" s="266">
        <f>IF(AND(DA$10&gt;='Torrance Inputs'!$H48,DA$10&lt;'Torrance Inputs'!$I48),'Torrance Inputs'!$I40/DATEDIF('Torrance Inputs'!$H48,'Torrance Inputs'!$I48,"m"),0)</f>
        <v>0</v>
      </c>
      <c r="DB72" s="266">
        <f>IF(AND(DB$10&gt;='Torrance Inputs'!$H48,DB$10&lt;'Torrance Inputs'!$I48),'Torrance Inputs'!$I40/DATEDIF('Torrance Inputs'!$H48,'Torrance Inputs'!$I48,"m"),0)</f>
        <v>0</v>
      </c>
      <c r="DC72" s="266">
        <f>IF(AND(DC$10&gt;='Torrance Inputs'!$H48,DC$10&lt;'Torrance Inputs'!$I48),'Torrance Inputs'!$I40/DATEDIF('Torrance Inputs'!$H48,'Torrance Inputs'!$I48,"m"),0)</f>
        <v>0</v>
      </c>
      <c r="DD72" s="266">
        <f>IF(AND(DD$10&gt;='Torrance Inputs'!$H48,DD$10&lt;'Torrance Inputs'!$I48),'Torrance Inputs'!$I40/DATEDIF('Torrance Inputs'!$H48,'Torrance Inputs'!$I48,"m"),0)</f>
        <v>0</v>
      </c>
      <c r="DE72" s="266">
        <f>IF(AND(DE$10&gt;='Torrance Inputs'!$H48,DE$10&lt;'Torrance Inputs'!$I48),'Torrance Inputs'!$I40/DATEDIF('Torrance Inputs'!$H48,'Torrance Inputs'!$I48,"m"),0)</f>
        <v>0</v>
      </c>
      <c r="DF72" s="266">
        <f>IF(AND(DF$10&gt;='Torrance Inputs'!$H48,DF$10&lt;'Torrance Inputs'!$I48),'Torrance Inputs'!$I40/DATEDIF('Torrance Inputs'!$H48,'Torrance Inputs'!$I48,"m"),0)</f>
        <v>0</v>
      </c>
      <c r="DG72" s="266">
        <f>IF(AND(DG$10&gt;='Torrance Inputs'!$H48,DG$10&lt;'Torrance Inputs'!$I48),'Torrance Inputs'!$I40/DATEDIF('Torrance Inputs'!$H48,'Torrance Inputs'!$I48,"m"),0)</f>
        <v>0</v>
      </c>
      <c r="DH72" s="266">
        <f>IF(AND(DH$10&gt;='Torrance Inputs'!$H48,DH$10&lt;'Torrance Inputs'!$I48),'Torrance Inputs'!$I40/DATEDIF('Torrance Inputs'!$H48,'Torrance Inputs'!$I48,"m"),0)</f>
        <v>0</v>
      </c>
      <c r="DI72" s="266">
        <f>IF(AND(DI$10&gt;='Torrance Inputs'!$H48,DI$10&lt;'Torrance Inputs'!$I48),'Torrance Inputs'!$I40/DATEDIF('Torrance Inputs'!$H48,'Torrance Inputs'!$I48,"m"),0)</f>
        <v>0</v>
      </c>
      <c r="DJ72" s="266">
        <f>IF(AND(DJ$10&gt;='Torrance Inputs'!$H48,DJ$10&lt;'Torrance Inputs'!$I48),'Torrance Inputs'!$I40/DATEDIF('Torrance Inputs'!$H48,'Torrance Inputs'!$I48,"m"),0)</f>
        <v>0</v>
      </c>
      <c r="DK72" s="266">
        <f>IF(AND(DK$10&gt;='Torrance Inputs'!$H48,DK$10&lt;'Torrance Inputs'!$I48),'Torrance Inputs'!$I40/DATEDIF('Torrance Inputs'!$H48,'Torrance Inputs'!$I48,"m"),0)</f>
        <v>0</v>
      </c>
      <c r="DL72" s="266">
        <f>IF(AND(DL$10&gt;='Torrance Inputs'!$H48,DL$10&lt;'Torrance Inputs'!$I48),'Torrance Inputs'!$I40/DATEDIF('Torrance Inputs'!$H48,'Torrance Inputs'!$I48,"m"),0)</f>
        <v>0</v>
      </c>
      <c r="DM72" s="266">
        <f>IF(AND(DM$10&gt;='Torrance Inputs'!$H48,DM$10&lt;'Torrance Inputs'!$I48),'Torrance Inputs'!$I40/DATEDIF('Torrance Inputs'!$H48,'Torrance Inputs'!$I48,"m"),0)</f>
        <v>0</v>
      </c>
      <c r="DN72" s="266">
        <f>IF(AND(DN$10&gt;='Torrance Inputs'!$H48,DN$10&lt;'Torrance Inputs'!$I48),'Torrance Inputs'!$I40/DATEDIF('Torrance Inputs'!$H48,'Torrance Inputs'!$I48,"m"),0)</f>
        <v>0</v>
      </c>
      <c r="DO72" s="266">
        <f>IF(AND(DO$10&gt;='Torrance Inputs'!$H48,DO$10&lt;'Torrance Inputs'!$I48),'Torrance Inputs'!$I40/DATEDIF('Torrance Inputs'!$H48,'Torrance Inputs'!$I48,"m"),0)</f>
        <v>0</v>
      </c>
      <c r="DP72" s="266">
        <f>IF(AND(DP$10&gt;='Torrance Inputs'!$H48,DP$10&lt;'Torrance Inputs'!$I48),'Torrance Inputs'!$I40/DATEDIF('Torrance Inputs'!$H48,'Torrance Inputs'!$I48,"m"),0)</f>
        <v>0</v>
      </c>
      <c r="DQ72" s="266">
        <f>IF(AND(DQ$10&gt;='Torrance Inputs'!$H48,DQ$10&lt;'Torrance Inputs'!$I48),'Torrance Inputs'!$I40/DATEDIF('Torrance Inputs'!$H48,'Torrance Inputs'!$I48,"m"),0)</f>
        <v>0</v>
      </c>
      <c r="DR72" s="266">
        <f>IF(AND(DR$10&gt;='Torrance Inputs'!$H48,DR$10&lt;'Torrance Inputs'!$I48),'Torrance Inputs'!$I40/DATEDIF('Torrance Inputs'!$H48,'Torrance Inputs'!$I48,"m"),0)</f>
        <v>0</v>
      </c>
      <c r="DS72" s="266">
        <f>IF(AND(DS$10&gt;='Torrance Inputs'!$H48,DS$10&lt;'Torrance Inputs'!$I48),'Torrance Inputs'!$I40/DATEDIF('Torrance Inputs'!$H48,'Torrance Inputs'!$I48,"m"),0)</f>
        <v>0</v>
      </c>
      <c r="DT72" s="266">
        <f>IF(AND(DT$10&gt;='Torrance Inputs'!$H48,DT$10&lt;'Torrance Inputs'!$I48),'Torrance Inputs'!$I40/DATEDIF('Torrance Inputs'!$H48,'Torrance Inputs'!$I48,"m"),0)</f>
        <v>0</v>
      </c>
      <c r="DU72" s="266">
        <f>IF(AND(DU$10&gt;='Torrance Inputs'!$H48,DU$10&lt;'Torrance Inputs'!$I48),'Torrance Inputs'!$I40/DATEDIF('Torrance Inputs'!$H48,'Torrance Inputs'!$I48,"m"),0)</f>
        <v>0</v>
      </c>
      <c r="DV72" s="266">
        <f>IF(AND(DV$10&gt;='Torrance Inputs'!$H48,DV$10&lt;'Torrance Inputs'!$I48),'Torrance Inputs'!$I40/DATEDIF('Torrance Inputs'!$H48,'Torrance Inputs'!$I48,"m"),0)</f>
        <v>0</v>
      </c>
      <c r="DW72" s="266">
        <f>IF(AND(DW$10&gt;='Torrance Inputs'!$H48,DW$10&lt;'Torrance Inputs'!$I48),'Torrance Inputs'!$I40/DATEDIF('Torrance Inputs'!$H48,'Torrance Inputs'!$I48,"m"),0)</f>
        <v>0</v>
      </c>
      <c r="DX72" s="266">
        <f>IF(AND(DX$10&gt;='Torrance Inputs'!$H48,DX$10&lt;'Torrance Inputs'!$I48),'Torrance Inputs'!$I40/DATEDIF('Torrance Inputs'!$H48,'Torrance Inputs'!$I48,"m"),0)</f>
        <v>0</v>
      </c>
      <c r="DY72" s="266">
        <f>IF(AND(DY$10&gt;='Torrance Inputs'!$H48,DY$10&lt;'Torrance Inputs'!$I48),'Torrance Inputs'!$I40/DATEDIF('Torrance Inputs'!$H48,'Torrance Inputs'!$I48,"m"),0)</f>
        <v>0</v>
      </c>
      <c r="DZ72" s="266">
        <f>IF(AND(DZ$10&gt;='Torrance Inputs'!$H48,DZ$10&lt;'Torrance Inputs'!$I48),'Torrance Inputs'!$I40/DATEDIF('Torrance Inputs'!$H48,'Torrance Inputs'!$I48,"m"),0)</f>
        <v>0</v>
      </c>
      <c r="EA72" s="266">
        <f>IF(AND(EA$10&gt;='Torrance Inputs'!$H48,EA$10&lt;'Torrance Inputs'!$I48),'Torrance Inputs'!$I40/DATEDIF('Torrance Inputs'!$H48,'Torrance Inputs'!$I48,"m"),0)</f>
        <v>0</v>
      </c>
      <c r="EB72" s="266">
        <f>IF(AND(EB$10&gt;='Torrance Inputs'!$H48,EB$10&lt;'Torrance Inputs'!$I48),'Torrance Inputs'!$I40/DATEDIF('Torrance Inputs'!$H48,'Torrance Inputs'!$I48,"m"),0)</f>
        <v>0</v>
      </c>
      <c r="EC72" s="266">
        <f>IF(AND(EC$10&gt;='Torrance Inputs'!$H48,EC$10&lt;'Torrance Inputs'!$I48),'Torrance Inputs'!$I40/DATEDIF('Torrance Inputs'!$H48,'Torrance Inputs'!$I48,"m"),0)</f>
        <v>0</v>
      </c>
      <c r="ED72" s="266">
        <f>IF(AND(ED$10&gt;='Torrance Inputs'!$H48,ED$10&lt;'Torrance Inputs'!$I48),'Torrance Inputs'!$I40/DATEDIF('Torrance Inputs'!$H48,'Torrance Inputs'!$I48,"m"),0)</f>
        <v>0</v>
      </c>
    </row>
    <row r="73" spans="1:134" ht="19.149999999999999" customHeight="1" x14ac:dyDescent="0.4">
      <c r="A73" s="264" t="s">
        <v>184</v>
      </c>
      <c r="B73" s="264"/>
      <c r="C73" s="269">
        <f t="shared" ref="C73:AH73" si="83">SUM(C68:C72)</f>
        <v>0</v>
      </c>
      <c r="D73" s="269">
        <f t="shared" si="83"/>
        <v>0</v>
      </c>
      <c r="E73" s="269">
        <f t="shared" si="83"/>
        <v>0</v>
      </c>
      <c r="F73" s="269">
        <f t="shared" si="83"/>
        <v>0</v>
      </c>
      <c r="G73" s="269">
        <f t="shared" si="83"/>
        <v>0</v>
      </c>
      <c r="H73" s="269">
        <f t="shared" si="83"/>
        <v>0</v>
      </c>
      <c r="I73" s="269">
        <f t="shared" si="83"/>
        <v>0</v>
      </c>
      <c r="J73" s="269">
        <f t="shared" si="83"/>
        <v>0</v>
      </c>
      <c r="K73" s="269">
        <f t="shared" si="83"/>
        <v>0</v>
      </c>
      <c r="L73" s="269">
        <f t="shared" si="83"/>
        <v>0</v>
      </c>
      <c r="M73" s="269">
        <f t="shared" si="83"/>
        <v>0</v>
      </c>
      <c r="N73" s="269">
        <f t="shared" si="83"/>
        <v>0</v>
      </c>
      <c r="O73" s="269">
        <f t="shared" si="83"/>
        <v>0</v>
      </c>
      <c r="P73" s="269">
        <f t="shared" si="83"/>
        <v>0</v>
      </c>
      <c r="Q73" s="269">
        <f t="shared" si="83"/>
        <v>0</v>
      </c>
      <c r="R73" s="269">
        <f t="shared" si="83"/>
        <v>0</v>
      </c>
      <c r="S73" s="269">
        <f t="shared" si="83"/>
        <v>0</v>
      </c>
      <c r="T73" s="269">
        <f t="shared" si="83"/>
        <v>0</v>
      </c>
      <c r="U73" s="269">
        <f t="shared" si="83"/>
        <v>0</v>
      </c>
      <c r="V73" s="269">
        <f t="shared" si="83"/>
        <v>0</v>
      </c>
      <c r="W73" s="269">
        <f t="shared" si="83"/>
        <v>0</v>
      </c>
      <c r="X73" s="269">
        <f t="shared" si="83"/>
        <v>0</v>
      </c>
      <c r="Y73" s="269">
        <f t="shared" si="83"/>
        <v>0</v>
      </c>
      <c r="Z73" s="269">
        <f t="shared" si="83"/>
        <v>0</v>
      </c>
      <c r="AA73" s="269">
        <f t="shared" si="83"/>
        <v>0</v>
      </c>
      <c r="AB73" s="269">
        <f t="shared" si="83"/>
        <v>0</v>
      </c>
      <c r="AC73" s="269">
        <f t="shared" si="83"/>
        <v>0</v>
      </c>
      <c r="AD73" s="269">
        <f t="shared" si="83"/>
        <v>0</v>
      </c>
      <c r="AE73" s="269">
        <f t="shared" si="83"/>
        <v>0</v>
      </c>
      <c r="AF73" s="269">
        <f t="shared" si="83"/>
        <v>0</v>
      </c>
      <c r="AG73" s="269">
        <f t="shared" si="83"/>
        <v>0</v>
      </c>
      <c r="AH73" s="269">
        <f t="shared" si="83"/>
        <v>0</v>
      </c>
      <c r="AI73" s="269">
        <f t="shared" ref="AI73:BN73" si="84">SUM(AI68:AI72)</f>
        <v>0</v>
      </c>
      <c r="AJ73" s="269">
        <f t="shared" si="84"/>
        <v>0</v>
      </c>
      <c r="AK73" s="269">
        <f t="shared" si="84"/>
        <v>0</v>
      </c>
      <c r="AL73" s="269">
        <f t="shared" si="84"/>
        <v>0</v>
      </c>
      <c r="AM73" s="269">
        <f t="shared" si="84"/>
        <v>0</v>
      </c>
      <c r="AN73" s="269">
        <f t="shared" si="84"/>
        <v>0</v>
      </c>
      <c r="AO73" s="269">
        <f t="shared" si="84"/>
        <v>0</v>
      </c>
      <c r="AP73" s="269">
        <f t="shared" si="84"/>
        <v>0</v>
      </c>
      <c r="AQ73" s="269">
        <f t="shared" si="84"/>
        <v>0</v>
      </c>
      <c r="AR73" s="269">
        <f t="shared" si="84"/>
        <v>0</v>
      </c>
      <c r="AS73" s="269">
        <f t="shared" si="84"/>
        <v>0</v>
      </c>
      <c r="AT73" s="269">
        <f t="shared" si="84"/>
        <v>0</v>
      </c>
      <c r="AU73" s="269">
        <f t="shared" si="84"/>
        <v>0</v>
      </c>
      <c r="AV73" s="269">
        <f t="shared" si="84"/>
        <v>0</v>
      </c>
      <c r="AW73" s="269">
        <f t="shared" si="84"/>
        <v>0</v>
      </c>
      <c r="AX73" s="269">
        <f t="shared" si="84"/>
        <v>0</v>
      </c>
      <c r="AY73" s="269">
        <f t="shared" si="84"/>
        <v>125000</v>
      </c>
      <c r="AZ73" s="269">
        <f t="shared" si="84"/>
        <v>125000</v>
      </c>
      <c r="BA73" s="269">
        <f t="shared" si="84"/>
        <v>125000</v>
      </c>
      <c r="BB73" s="269">
        <f t="shared" si="84"/>
        <v>125000</v>
      </c>
      <c r="BC73" s="269">
        <f t="shared" si="84"/>
        <v>125000</v>
      </c>
      <c r="BD73" s="269">
        <f t="shared" si="84"/>
        <v>125000</v>
      </c>
      <c r="BE73" s="269">
        <f t="shared" si="84"/>
        <v>125000</v>
      </c>
      <c r="BF73" s="269">
        <f t="shared" si="84"/>
        <v>125000</v>
      </c>
      <c r="BG73" s="269">
        <f t="shared" si="84"/>
        <v>125000</v>
      </c>
      <c r="BH73" s="269">
        <f t="shared" si="84"/>
        <v>125000</v>
      </c>
      <c r="BI73" s="269">
        <f t="shared" si="84"/>
        <v>125000</v>
      </c>
      <c r="BJ73" s="269">
        <f t="shared" si="84"/>
        <v>125000</v>
      </c>
      <c r="BK73" s="269">
        <f t="shared" si="84"/>
        <v>125000</v>
      </c>
      <c r="BL73" s="269">
        <f t="shared" si="84"/>
        <v>125000</v>
      </c>
      <c r="BM73" s="269">
        <f t="shared" si="84"/>
        <v>125000</v>
      </c>
      <c r="BN73" s="269">
        <f t="shared" si="84"/>
        <v>125000</v>
      </c>
      <c r="BO73" s="269">
        <f t="shared" ref="BO73:CT73" si="85">SUM(BO68:BO72)</f>
        <v>125000</v>
      </c>
      <c r="BP73" s="269">
        <f t="shared" si="85"/>
        <v>125000</v>
      </c>
      <c r="BQ73" s="269">
        <f t="shared" si="85"/>
        <v>125000</v>
      </c>
      <c r="BR73" s="269">
        <f t="shared" si="85"/>
        <v>125000</v>
      </c>
      <c r="BS73" s="269">
        <f t="shared" si="85"/>
        <v>125000</v>
      </c>
      <c r="BT73" s="269">
        <f t="shared" si="85"/>
        <v>125000</v>
      </c>
      <c r="BU73" s="269">
        <f t="shared" si="85"/>
        <v>125000</v>
      </c>
      <c r="BV73" s="269">
        <f t="shared" si="85"/>
        <v>125000</v>
      </c>
      <c r="BW73" s="269">
        <f t="shared" si="85"/>
        <v>1500000</v>
      </c>
      <c r="BX73" s="269">
        <f t="shared" si="85"/>
        <v>2083333.3333333333</v>
      </c>
      <c r="BY73" s="269">
        <f t="shared" si="85"/>
        <v>2083333.3333333333</v>
      </c>
      <c r="BZ73" s="269">
        <f t="shared" si="85"/>
        <v>2083333.3333333333</v>
      </c>
      <c r="CA73" s="269">
        <f t="shared" si="85"/>
        <v>2083333.3333333333</v>
      </c>
      <c r="CB73" s="269">
        <f t="shared" si="85"/>
        <v>2083333.3333333333</v>
      </c>
      <c r="CC73" s="269">
        <f t="shared" si="85"/>
        <v>2083333.3333333333</v>
      </c>
      <c r="CD73" s="269">
        <f t="shared" si="85"/>
        <v>200000</v>
      </c>
      <c r="CE73" s="269">
        <f t="shared" si="85"/>
        <v>200000</v>
      </c>
      <c r="CF73" s="269">
        <f t="shared" si="85"/>
        <v>33333.333333333336</v>
      </c>
      <c r="CG73" s="269">
        <f t="shared" si="85"/>
        <v>33333.333333333336</v>
      </c>
      <c r="CH73" s="269">
        <f t="shared" si="85"/>
        <v>33333.333333333336</v>
      </c>
      <c r="CI73" s="269">
        <f t="shared" si="85"/>
        <v>0</v>
      </c>
      <c r="CJ73" s="269">
        <f t="shared" si="85"/>
        <v>0</v>
      </c>
      <c r="CK73" s="269">
        <f t="shared" si="85"/>
        <v>0</v>
      </c>
      <c r="CL73" s="269">
        <f t="shared" si="85"/>
        <v>0</v>
      </c>
      <c r="CM73" s="269">
        <f t="shared" si="85"/>
        <v>0</v>
      </c>
      <c r="CN73" s="269">
        <f t="shared" si="85"/>
        <v>0</v>
      </c>
      <c r="CO73" s="269">
        <f t="shared" si="85"/>
        <v>0</v>
      </c>
      <c r="CP73" s="269">
        <f t="shared" si="85"/>
        <v>0</v>
      </c>
      <c r="CQ73" s="269">
        <f t="shared" si="85"/>
        <v>0</v>
      </c>
      <c r="CR73" s="269">
        <f t="shared" si="85"/>
        <v>0</v>
      </c>
      <c r="CS73" s="269">
        <f t="shared" si="85"/>
        <v>0</v>
      </c>
      <c r="CT73" s="269">
        <f t="shared" si="85"/>
        <v>0</v>
      </c>
      <c r="CU73" s="269">
        <f t="shared" ref="CU73:DZ73" si="86">SUM(CU68:CU72)</f>
        <v>0</v>
      </c>
      <c r="CV73" s="269">
        <f t="shared" si="86"/>
        <v>0</v>
      </c>
      <c r="CW73" s="269">
        <f t="shared" si="86"/>
        <v>0</v>
      </c>
      <c r="CX73" s="269">
        <f t="shared" si="86"/>
        <v>0</v>
      </c>
      <c r="CY73" s="269">
        <f t="shared" si="86"/>
        <v>0</v>
      </c>
      <c r="CZ73" s="269">
        <f t="shared" si="86"/>
        <v>0</v>
      </c>
      <c r="DA73" s="269">
        <f t="shared" si="86"/>
        <v>0</v>
      </c>
      <c r="DB73" s="269">
        <f t="shared" si="86"/>
        <v>0</v>
      </c>
      <c r="DC73" s="269">
        <f t="shared" si="86"/>
        <v>0</v>
      </c>
      <c r="DD73" s="269">
        <f t="shared" si="86"/>
        <v>0</v>
      </c>
      <c r="DE73" s="269">
        <f t="shared" si="86"/>
        <v>0</v>
      </c>
      <c r="DF73" s="269">
        <f t="shared" si="86"/>
        <v>0</v>
      </c>
      <c r="DG73" s="269">
        <f t="shared" si="86"/>
        <v>0</v>
      </c>
      <c r="DH73" s="269">
        <f t="shared" si="86"/>
        <v>0</v>
      </c>
      <c r="DI73" s="269">
        <f t="shared" si="86"/>
        <v>0</v>
      </c>
      <c r="DJ73" s="269">
        <f t="shared" si="86"/>
        <v>0</v>
      </c>
      <c r="DK73" s="269">
        <f t="shared" si="86"/>
        <v>0</v>
      </c>
      <c r="DL73" s="269">
        <f t="shared" si="86"/>
        <v>0</v>
      </c>
      <c r="DM73" s="269">
        <f t="shared" si="86"/>
        <v>0</v>
      </c>
      <c r="DN73" s="269">
        <f t="shared" si="86"/>
        <v>0</v>
      </c>
      <c r="DO73" s="269">
        <f t="shared" si="86"/>
        <v>0</v>
      </c>
      <c r="DP73" s="269">
        <f t="shared" si="86"/>
        <v>0</v>
      </c>
      <c r="DQ73" s="269">
        <f t="shared" si="86"/>
        <v>0</v>
      </c>
      <c r="DR73" s="269">
        <f t="shared" si="86"/>
        <v>0</v>
      </c>
      <c r="DS73" s="269">
        <f t="shared" si="86"/>
        <v>0</v>
      </c>
      <c r="DT73" s="269">
        <f t="shared" si="86"/>
        <v>0</v>
      </c>
      <c r="DU73" s="269">
        <f t="shared" si="86"/>
        <v>0</v>
      </c>
      <c r="DV73" s="269">
        <f t="shared" si="86"/>
        <v>0</v>
      </c>
      <c r="DW73" s="269">
        <f t="shared" si="86"/>
        <v>0</v>
      </c>
      <c r="DX73" s="269">
        <f t="shared" si="86"/>
        <v>0</v>
      </c>
      <c r="DY73" s="269">
        <f t="shared" si="86"/>
        <v>0</v>
      </c>
      <c r="DZ73" s="269">
        <f t="shared" si="86"/>
        <v>0</v>
      </c>
      <c r="EA73" s="269">
        <f t="shared" ref="EA73:ED73" si="87">SUM(EA68:EA72)</f>
        <v>0</v>
      </c>
      <c r="EB73" s="269">
        <f t="shared" si="87"/>
        <v>0</v>
      </c>
      <c r="EC73" s="269">
        <f t="shared" si="87"/>
        <v>0</v>
      </c>
      <c r="ED73" s="269">
        <f t="shared" si="87"/>
        <v>0</v>
      </c>
    </row>
    <row r="74" spans="1:134" ht="19.149999999999999" customHeight="1" x14ac:dyDescent="0.4">
      <c r="A74" s="259" t="s">
        <v>182</v>
      </c>
      <c r="C74" s="267"/>
      <c r="D74" s="267"/>
      <c r="E74" s="267"/>
      <c r="F74" s="267"/>
      <c r="G74" s="267"/>
      <c r="H74" s="267"/>
      <c r="I74" s="267"/>
      <c r="J74" s="267"/>
      <c r="K74" s="267"/>
      <c r="L74" s="267"/>
      <c r="M74" s="267"/>
      <c r="N74" s="267"/>
      <c r="O74" s="267"/>
      <c r="P74" s="267"/>
      <c r="Q74" s="267"/>
      <c r="R74" s="267"/>
      <c r="S74" s="267"/>
      <c r="T74" s="267"/>
      <c r="U74" s="267"/>
      <c r="V74" s="267"/>
      <c r="W74" s="267"/>
      <c r="X74" s="267"/>
      <c r="Y74" s="267"/>
      <c r="Z74" s="267"/>
      <c r="AA74" s="267"/>
      <c r="AB74" s="267"/>
      <c r="AC74" s="267"/>
      <c r="AD74" s="267"/>
      <c r="AE74" s="267"/>
      <c r="AF74" s="267"/>
      <c r="AG74" s="267"/>
      <c r="AH74" s="267"/>
      <c r="AI74" s="267"/>
      <c r="AJ74" s="267"/>
      <c r="AK74" s="267"/>
      <c r="AL74" s="267"/>
      <c r="AM74" s="267"/>
      <c r="AN74" s="267"/>
      <c r="AO74" s="267"/>
      <c r="AP74" s="267"/>
      <c r="AQ74" s="267"/>
      <c r="AR74" s="267"/>
      <c r="AS74" s="267"/>
      <c r="AT74" s="267"/>
      <c r="AU74" s="267"/>
      <c r="AV74" s="267"/>
      <c r="AW74" s="267"/>
      <c r="AX74" s="267"/>
      <c r="AY74" s="267"/>
      <c r="AZ74" s="267"/>
      <c r="BA74" s="267"/>
      <c r="BB74" s="267"/>
      <c r="BC74" s="267"/>
      <c r="BD74" s="267"/>
      <c r="BE74" s="267"/>
      <c r="BF74" s="267"/>
      <c r="BG74" s="267"/>
      <c r="BH74" s="267"/>
      <c r="BI74" s="267"/>
      <c r="BJ74" s="267"/>
      <c r="BK74" s="267"/>
      <c r="BL74" s="267"/>
      <c r="BM74" s="267"/>
      <c r="BN74" s="267"/>
      <c r="BO74" s="267"/>
      <c r="BP74" s="267"/>
      <c r="BQ74" s="267"/>
      <c r="BR74" s="267"/>
      <c r="BS74" s="267"/>
      <c r="BT74" s="267"/>
      <c r="BU74" s="267"/>
      <c r="BV74" s="267"/>
      <c r="BW74" s="267"/>
      <c r="BX74" s="267"/>
      <c r="BY74" s="267"/>
      <c r="BZ74" s="267"/>
      <c r="CA74" s="267"/>
      <c r="CB74" s="267"/>
      <c r="CC74" s="267"/>
      <c r="CD74" s="267"/>
      <c r="CE74" s="267"/>
      <c r="CF74" s="267"/>
      <c r="CG74" s="267"/>
      <c r="CH74" s="267"/>
      <c r="CI74" s="267"/>
      <c r="CJ74" s="267"/>
      <c r="CK74" s="267"/>
      <c r="CL74" s="267"/>
      <c r="CM74" s="267"/>
      <c r="CN74" s="267"/>
      <c r="CO74" s="267"/>
      <c r="CP74" s="267"/>
      <c r="CQ74" s="267"/>
      <c r="CR74" s="267"/>
      <c r="CS74" s="267"/>
      <c r="CT74" s="267"/>
      <c r="CU74" s="267"/>
      <c r="CV74" s="267"/>
      <c r="CW74" s="267"/>
      <c r="CX74" s="267"/>
      <c r="CY74" s="267"/>
      <c r="CZ74" s="267"/>
      <c r="DA74" s="267"/>
      <c r="DB74" s="267"/>
      <c r="DC74" s="267"/>
      <c r="DD74" s="267"/>
      <c r="DE74" s="267"/>
      <c r="DF74" s="267"/>
      <c r="DG74" s="267"/>
      <c r="DH74" s="267"/>
      <c r="DI74" s="267"/>
      <c r="DJ74" s="267"/>
      <c r="DK74" s="267"/>
      <c r="DL74" s="267"/>
      <c r="DM74" s="267"/>
      <c r="DN74" s="267"/>
      <c r="DO74" s="267"/>
      <c r="DP74" s="267"/>
      <c r="DQ74" s="267"/>
      <c r="DR74" s="267"/>
      <c r="DS74" s="267"/>
      <c r="DT74" s="267"/>
      <c r="DU74" s="267"/>
      <c r="DV74" s="267"/>
      <c r="DW74" s="267"/>
      <c r="DX74" s="267"/>
      <c r="DY74" s="267"/>
      <c r="DZ74" s="267"/>
      <c r="EA74" s="267"/>
      <c r="EB74" s="267"/>
      <c r="EC74" s="267"/>
      <c r="ED74" s="267"/>
    </row>
    <row r="75" spans="1:134" ht="19.149999999999999" customHeight="1" x14ac:dyDescent="0.4">
      <c r="A75" s="264" t="s">
        <v>183</v>
      </c>
      <c r="B75" s="264"/>
      <c r="C75" s="263">
        <f t="shared" ref="C75:AH75" si="88">C53-C65-C73</f>
        <v>80013.388888888905</v>
      </c>
      <c r="D75" s="263">
        <f t="shared" si="88"/>
        <v>76699.038888888899</v>
      </c>
      <c r="E75" s="263">
        <f t="shared" si="88"/>
        <v>76699.038888888899</v>
      </c>
      <c r="F75" s="263">
        <f t="shared" si="88"/>
        <v>76699.038888888899</v>
      </c>
      <c r="G75" s="263">
        <f t="shared" si="88"/>
        <v>76699.038888888899</v>
      </c>
      <c r="H75" s="263">
        <f t="shared" si="88"/>
        <v>76699.038888888899</v>
      </c>
      <c r="I75" s="263">
        <f t="shared" si="88"/>
        <v>76699.038888888899</v>
      </c>
      <c r="J75" s="263">
        <f t="shared" si="88"/>
        <v>76699.038888888899</v>
      </c>
      <c r="K75" s="263">
        <f t="shared" si="88"/>
        <v>76699.038888888899</v>
      </c>
      <c r="L75" s="263">
        <f t="shared" si="88"/>
        <v>76699.038888888899</v>
      </c>
      <c r="M75" s="263">
        <f t="shared" si="88"/>
        <v>76699.038888888899</v>
      </c>
      <c r="N75" s="263">
        <f t="shared" si="88"/>
        <v>76699.038888888899</v>
      </c>
      <c r="O75" s="263">
        <f t="shared" si="88"/>
        <v>78195.76966666666</v>
      </c>
      <c r="P75" s="263">
        <f t="shared" si="88"/>
        <v>78195.76966666666</v>
      </c>
      <c r="Q75" s="263">
        <f t="shared" si="88"/>
        <v>78195.76966666666</v>
      </c>
      <c r="R75" s="263">
        <f t="shared" si="88"/>
        <v>78195.76966666666</v>
      </c>
      <c r="S75" s="263">
        <f t="shared" si="88"/>
        <v>78195.76966666666</v>
      </c>
      <c r="T75" s="263">
        <f t="shared" si="88"/>
        <v>78195.76966666666</v>
      </c>
      <c r="U75" s="263">
        <f t="shared" si="88"/>
        <v>78195.76966666666</v>
      </c>
      <c r="V75" s="263">
        <f t="shared" si="88"/>
        <v>78195.76966666666</v>
      </c>
      <c r="W75" s="263">
        <f t="shared" si="88"/>
        <v>78195.76966666666</v>
      </c>
      <c r="X75" s="263">
        <f t="shared" si="88"/>
        <v>78195.76966666666</v>
      </c>
      <c r="Y75" s="263">
        <f t="shared" si="88"/>
        <v>78195.76966666666</v>
      </c>
      <c r="Z75" s="263">
        <f t="shared" si="88"/>
        <v>78195.76966666666</v>
      </c>
      <c r="AA75" s="263">
        <f t="shared" si="88"/>
        <v>79722.045060000004</v>
      </c>
      <c r="AB75" s="263">
        <f t="shared" si="88"/>
        <v>79722.045060000004</v>
      </c>
      <c r="AC75" s="263">
        <f t="shared" si="88"/>
        <v>79722.045060000004</v>
      </c>
      <c r="AD75" s="263">
        <f t="shared" si="88"/>
        <v>79722.045060000004</v>
      </c>
      <c r="AE75" s="263">
        <f t="shared" si="88"/>
        <v>79722.045060000004</v>
      </c>
      <c r="AF75" s="263">
        <f t="shared" si="88"/>
        <v>79722.045060000004</v>
      </c>
      <c r="AG75" s="263">
        <f t="shared" si="88"/>
        <v>79722.045060000004</v>
      </c>
      <c r="AH75" s="263">
        <f t="shared" si="88"/>
        <v>79722.045060000004</v>
      </c>
      <c r="AI75" s="263">
        <f t="shared" ref="AI75:BN75" si="89">AI53-AI65-AI73</f>
        <v>79722.045060000004</v>
      </c>
      <c r="AJ75" s="263">
        <f t="shared" si="89"/>
        <v>79722.045060000004</v>
      </c>
      <c r="AK75" s="263">
        <f t="shared" si="89"/>
        <v>79722.045060000004</v>
      </c>
      <c r="AL75" s="263">
        <f t="shared" si="89"/>
        <v>79722.045060000004</v>
      </c>
      <c r="AM75" s="263">
        <f t="shared" si="89"/>
        <v>-47054.889072133345</v>
      </c>
      <c r="AN75" s="263">
        <f t="shared" si="89"/>
        <v>-47054.889072133345</v>
      </c>
      <c r="AO75" s="263">
        <f t="shared" si="89"/>
        <v>-47054.889072133345</v>
      </c>
      <c r="AP75" s="263">
        <f t="shared" si="89"/>
        <v>-47054.889072133345</v>
      </c>
      <c r="AQ75" s="263">
        <f t="shared" si="89"/>
        <v>-47054.889072133345</v>
      </c>
      <c r="AR75" s="263">
        <f t="shared" si="89"/>
        <v>-47054.889072133345</v>
      </c>
      <c r="AS75" s="263">
        <f t="shared" si="89"/>
        <v>-47054.889072133345</v>
      </c>
      <c r="AT75" s="263">
        <f t="shared" si="89"/>
        <v>-47054.889072133345</v>
      </c>
      <c r="AU75" s="263">
        <f t="shared" si="89"/>
        <v>-47054.889072133345</v>
      </c>
      <c r="AV75" s="263">
        <f t="shared" si="89"/>
        <v>-47054.889072133345</v>
      </c>
      <c r="AW75" s="263">
        <f t="shared" si="89"/>
        <v>-47054.889072133345</v>
      </c>
      <c r="AX75" s="263">
        <f t="shared" si="89"/>
        <v>-47054.889072133345</v>
      </c>
      <c r="AY75" s="263">
        <f t="shared" si="89"/>
        <v>-154819.14181927999</v>
      </c>
      <c r="AZ75" s="263">
        <f t="shared" si="89"/>
        <v>-154819.14181927999</v>
      </c>
      <c r="BA75" s="263">
        <f t="shared" si="89"/>
        <v>-154819.14181927999</v>
      </c>
      <c r="BB75" s="263">
        <f t="shared" si="89"/>
        <v>-154819.14181927999</v>
      </c>
      <c r="BC75" s="263">
        <f t="shared" si="89"/>
        <v>-154819.14181927999</v>
      </c>
      <c r="BD75" s="263">
        <f t="shared" si="89"/>
        <v>-154819.14181927999</v>
      </c>
      <c r="BE75" s="263">
        <f t="shared" si="89"/>
        <v>-154819.14181927999</v>
      </c>
      <c r="BF75" s="263">
        <f t="shared" si="89"/>
        <v>-154819.14181927999</v>
      </c>
      <c r="BG75" s="263">
        <f t="shared" si="89"/>
        <v>-154819.14181927999</v>
      </c>
      <c r="BH75" s="263">
        <f t="shared" si="89"/>
        <v>-154819.14181927999</v>
      </c>
      <c r="BI75" s="263">
        <f t="shared" si="89"/>
        <v>-154819.14181927999</v>
      </c>
      <c r="BJ75" s="263">
        <f t="shared" si="89"/>
        <v>-472444.14181927999</v>
      </c>
      <c r="BK75" s="263">
        <f t="shared" si="89"/>
        <v>256246.98068528826</v>
      </c>
      <c r="BL75" s="263">
        <f t="shared" si="89"/>
        <v>-232794.68598137837</v>
      </c>
      <c r="BM75" s="263">
        <f t="shared" si="89"/>
        <v>84830.314018621633</v>
      </c>
      <c r="BN75" s="263">
        <f t="shared" si="89"/>
        <v>268163.64735195501</v>
      </c>
      <c r="BO75" s="263">
        <f t="shared" ref="BO75:CT75" si="90">BO53-BO65-BO73</f>
        <v>268163.64735195501</v>
      </c>
      <c r="BP75" s="263">
        <f t="shared" si="90"/>
        <v>268163.64735195501</v>
      </c>
      <c r="BQ75" s="263">
        <f t="shared" si="90"/>
        <v>268163.64735195501</v>
      </c>
      <c r="BR75" s="263">
        <f t="shared" si="90"/>
        <v>268163.64735195501</v>
      </c>
      <c r="BS75" s="263">
        <f t="shared" si="90"/>
        <v>268163.64735195501</v>
      </c>
      <c r="BT75" s="263">
        <f t="shared" si="90"/>
        <v>268163.64735195501</v>
      </c>
      <c r="BU75" s="263">
        <f t="shared" si="90"/>
        <v>268163.64735195501</v>
      </c>
      <c r="BV75" s="263">
        <f t="shared" si="90"/>
        <v>268163.64735195501</v>
      </c>
      <c r="BW75" s="263">
        <f t="shared" si="90"/>
        <v>-1098919.2567822491</v>
      </c>
      <c r="BX75" s="263">
        <f t="shared" si="90"/>
        <v>-1682252.5901155823</v>
      </c>
      <c r="BY75" s="263">
        <f t="shared" si="90"/>
        <v>-1682252.5901155823</v>
      </c>
      <c r="BZ75" s="263">
        <f t="shared" si="90"/>
        <v>-1682252.5901155823</v>
      </c>
      <c r="CA75" s="263">
        <f t="shared" si="90"/>
        <v>-1682252.5901155823</v>
      </c>
      <c r="CB75" s="263">
        <f t="shared" si="90"/>
        <v>-1682252.5901155823</v>
      </c>
      <c r="CC75" s="263">
        <f t="shared" si="90"/>
        <v>-1682252.5901155823</v>
      </c>
      <c r="CD75" s="263">
        <f t="shared" si="90"/>
        <v>201080.74321775092</v>
      </c>
      <c r="CE75" s="263">
        <f t="shared" si="90"/>
        <v>201080.74321775092</v>
      </c>
      <c r="CF75" s="263">
        <f t="shared" si="90"/>
        <v>367747.4098844176</v>
      </c>
      <c r="CG75" s="263">
        <f t="shared" si="90"/>
        <v>367747.4098844176</v>
      </c>
      <c r="CH75" s="263">
        <f t="shared" si="90"/>
        <v>367747.4098844176</v>
      </c>
      <c r="CI75" s="263">
        <f t="shared" si="90"/>
        <v>409155.72888397373</v>
      </c>
      <c r="CJ75" s="263">
        <f t="shared" si="90"/>
        <v>409155.72888397373</v>
      </c>
      <c r="CK75" s="263">
        <f t="shared" si="90"/>
        <v>409155.72888397373</v>
      </c>
      <c r="CL75" s="263">
        <f t="shared" si="90"/>
        <v>409155.72888397373</v>
      </c>
      <c r="CM75" s="263">
        <f t="shared" si="90"/>
        <v>409155.72888397373</v>
      </c>
      <c r="CN75" s="263">
        <f t="shared" si="90"/>
        <v>409155.72888397373</v>
      </c>
      <c r="CO75" s="263">
        <f t="shared" si="90"/>
        <v>409155.72888397373</v>
      </c>
      <c r="CP75" s="263">
        <f t="shared" si="90"/>
        <v>409155.72888397373</v>
      </c>
      <c r="CQ75" s="263">
        <f t="shared" si="90"/>
        <v>409155.72888397373</v>
      </c>
      <c r="CR75" s="263">
        <f t="shared" si="90"/>
        <v>409155.72888397373</v>
      </c>
      <c r="CS75" s="263">
        <f t="shared" si="90"/>
        <v>409155.72888397373</v>
      </c>
      <c r="CT75" s="263">
        <f t="shared" si="90"/>
        <v>409155.72888397373</v>
      </c>
      <c r="CU75" s="263">
        <f t="shared" ref="CU75:ED75" si="91">CU53-CU65-CU73</f>
        <v>417391.74858312553</v>
      </c>
      <c r="CV75" s="263">
        <f t="shared" si="91"/>
        <v>417391.74858312553</v>
      </c>
      <c r="CW75" s="263">
        <f t="shared" si="91"/>
        <v>417391.74858312553</v>
      </c>
      <c r="CX75" s="263">
        <f t="shared" si="91"/>
        <v>417391.74858312553</v>
      </c>
      <c r="CY75" s="263">
        <f t="shared" si="91"/>
        <v>417391.74858312553</v>
      </c>
      <c r="CZ75" s="263">
        <f t="shared" si="91"/>
        <v>417391.74858312553</v>
      </c>
      <c r="DA75" s="263">
        <f t="shared" si="91"/>
        <v>417391.74858312553</v>
      </c>
      <c r="DB75" s="263">
        <f t="shared" si="91"/>
        <v>417391.74858312553</v>
      </c>
      <c r="DC75" s="263">
        <f t="shared" si="91"/>
        <v>417391.74858312553</v>
      </c>
      <c r="DD75" s="263">
        <f t="shared" si="91"/>
        <v>417391.74858312553</v>
      </c>
      <c r="DE75" s="263">
        <f t="shared" si="91"/>
        <v>417391.74858312553</v>
      </c>
      <c r="DF75" s="263">
        <f t="shared" si="91"/>
        <v>417391.74858312553</v>
      </c>
      <c r="DG75" s="263">
        <f t="shared" si="91"/>
        <v>425792.00902545272</v>
      </c>
      <c r="DH75" s="263">
        <f t="shared" si="91"/>
        <v>425792.00902545272</v>
      </c>
      <c r="DI75" s="263">
        <f t="shared" si="91"/>
        <v>425792.00902545272</v>
      </c>
      <c r="DJ75" s="263">
        <f t="shared" si="91"/>
        <v>425792.00902545272</v>
      </c>
      <c r="DK75" s="263">
        <f t="shared" si="91"/>
        <v>425792.00902545272</v>
      </c>
      <c r="DL75" s="263">
        <f t="shared" si="91"/>
        <v>425792.00902545272</v>
      </c>
      <c r="DM75" s="263">
        <f t="shared" si="91"/>
        <v>425792.00902545272</v>
      </c>
      <c r="DN75" s="263">
        <f t="shared" si="91"/>
        <v>425792.00902545272</v>
      </c>
      <c r="DO75" s="263">
        <f t="shared" si="91"/>
        <v>425792.00902545272</v>
      </c>
      <c r="DP75" s="263">
        <f t="shared" si="91"/>
        <v>425792.00902545272</v>
      </c>
      <c r="DQ75" s="263">
        <f t="shared" si="91"/>
        <v>425792.00902545272</v>
      </c>
      <c r="DR75" s="263">
        <f t="shared" si="91"/>
        <v>425792.00902545272</v>
      </c>
      <c r="DS75" s="263">
        <f t="shared" si="91"/>
        <v>434359.78063629486</v>
      </c>
      <c r="DT75" s="263">
        <f t="shared" si="91"/>
        <v>434359.78063629486</v>
      </c>
      <c r="DU75" s="263">
        <f t="shared" si="91"/>
        <v>434359.78063629486</v>
      </c>
      <c r="DV75" s="263">
        <f t="shared" si="91"/>
        <v>434359.78063629486</v>
      </c>
      <c r="DW75" s="263">
        <f t="shared" si="91"/>
        <v>434359.78063629486</v>
      </c>
      <c r="DX75" s="263">
        <f t="shared" si="91"/>
        <v>434359.78063629486</v>
      </c>
      <c r="DY75" s="263">
        <f t="shared" si="91"/>
        <v>434359.78063629486</v>
      </c>
      <c r="DZ75" s="263">
        <f t="shared" si="91"/>
        <v>434359.78063629486</v>
      </c>
      <c r="EA75" s="263">
        <f t="shared" si="91"/>
        <v>434359.78063629486</v>
      </c>
      <c r="EB75" s="263">
        <f t="shared" si="91"/>
        <v>434359.78063629486</v>
      </c>
      <c r="EC75" s="263">
        <f t="shared" si="91"/>
        <v>434359.78063629486</v>
      </c>
      <c r="ED75" s="263">
        <f t="shared" si="91"/>
        <v>434359.78063629486</v>
      </c>
    </row>
    <row r="76" spans="1:134" ht="19.149999999999999" customHeight="1" x14ac:dyDescent="0.4">
      <c r="A76" s="259" t="s">
        <v>182</v>
      </c>
      <c r="C76" s="267"/>
      <c r="D76" s="267"/>
      <c r="E76" s="267"/>
      <c r="F76" s="267"/>
      <c r="G76" s="267"/>
      <c r="H76" s="267"/>
      <c r="I76" s="267"/>
      <c r="J76" s="267"/>
      <c r="K76" s="267"/>
      <c r="L76" s="267"/>
      <c r="M76" s="267"/>
      <c r="N76" s="267"/>
      <c r="O76" s="267"/>
      <c r="P76" s="267"/>
      <c r="Q76" s="267"/>
      <c r="R76" s="267"/>
      <c r="S76" s="267"/>
      <c r="T76" s="267"/>
      <c r="U76" s="267"/>
      <c r="V76" s="267"/>
      <c r="W76" s="267"/>
      <c r="X76" s="267"/>
      <c r="Y76" s="267"/>
      <c r="Z76" s="267"/>
      <c r="AA76" s="267"/>
      <c r="AB76" s="267"/>
      <c r="AC76" s="267"/>
      <c r="AD76" s="267"/>
      <c r="AE76" s="267"/>
      <c r="AF76" s="267"/>
      <c r="AG76" s="267"/>
      <c r="AH76" s="267"/>
      <c r="AI76" s="267"/>
      <c r="AJ76" s="267"/>
      <c r="AK76" s="267"/>
      <c r="AL76" s="267"/>
      <c r="AM76" s="267"/>
      <c r="AN76" s="267"/>
      <c r="AO76" s="267"/>
      <c r="AP76" s="267"/>
      <c r="AQ76" s="267"/>
      <c r="AR76" s="267"/>
      <c r="AS76" s="267"/>
      <c r="AT76" s="267"/>
      <c r="AU76" s="267"/>
      <c r="AV76" s="267"/>
      <c r="AW76" s="267"/>
      <c r="AX76" s="267"/>
      <c r="AY76" s="267"/>
      <c r="AZ76" s="267"/>
      <c r="BA76" s="267"/>
      <c r="BB76" s="267"/>
      <c r="BC76" s="267"/>
      <c r="BD76" s="267"/>
      <c r="BE76" s="267"/>
      <c r="BF76" s="267"/>
      <c r="BG76" s="267"/>
      <c r="BH76" s="267"/>
      <c r="BI76" s="267"/>
      <c r="BJ76" s="267"/>
      <c r="BK76" s="267"/>
      <c r="BL76" s="267"/>
      <c r="BM76" s="267"/>
      <c r="BN76" s="267"/>
      <c r="BO76" s="267"/>
      <c r="BP76" s="267"/>
      <c r="BQ76" s="267"/>
      <c r="BR76" s="267"/>
      <c r="BS76" s="267"/>
      <c r="BT76" s="267"/>
      <c r="BU76" s="267"/>
      <c r="BV76" s="267"/>
      <c r="BW76" s="267"/>
      <c r="BX76" s="267"/>
      <c r="BY76" s="267"/>
      <c r="BZ76" s="267"/>
      <c r="CA76" s="267"/>
      <c r="CB76" s="267"/>
      <c r="CC76" s="267"/>
      <c r="CD76" s="267"/>
      <c r="CE76" s="267"/>
      <c r="CF76" s="267"/>
      <c r="CG76" s="267"/>
      <c r="CH76" s="267"/>
      <c r="CI76" s="267"/>
      <c r="CJ76" s="267"/>
      <c r="CK76" s="267"/>
      <c r="CL76" s="267"/>
      <c r="CM76" s="267"/>
      <c r="CN76" s="267"/>
      <c r="CO76" s="267"/>
      <c r="CP76" s="267"/>
      <c r="CQ76" s="267"/>
      <c r="CR76" s="267"/>
      <c r="CS76" s="267"/>
      <c r="CT76" s="267"/>
      <c r="CU76" s="267"/>
      <c r="CV76" s="267"/>
      <c r="CW76" s="267"/>
      <c r="CX76" s="267"/>
      <c r="CY76" s="267"/>
      <c r="CZ76" s="267"/>
      <c r="DA76" s="267"/>
      <c r="DB76" s="267"/>
      <c r="DC76" s="267"/>
      <c r="DD76" s="267"/>
      <c r="DE76" s="267"/>
      <c r="DF76" s="267"/>
      <c r="DG76" s="267"/>
      <c r="DH76" s="267"/>
      <c r="DI76" s="267"/>
      <c r="DJ76" s="267"/>
      <c r="DK76" s="267"/>
      <c r="DL76" s="267"/>
      <c r="DM76" s="267"/>
      <c r="DN76" s="267"/>
      <c r="DO76" s="267"/>
      <c r="DP76" s="267"/>
      <c r="DQ76" s="267"/>
      <c r="DR76" s="267"/>
      <c r="DS76" s="267"/>
      <c r="DT76" s="267"/>
      <c r="DU76" s="267"/>
      <c r="DV76" s="267"/>
      <c r="DW76" s="267"/>
      <c r="DX76" s="267"/>
      <c r="DY76" s="267"/>
      <c r="DZ76" s="267"/>
      <c r="EA76" s="267"/>
      <c r="EB76" s="267"/>
      <c r="EC76" s="267"/>
      <c r="ED76" s="267"/>
    </row>
    <row r="77" spans="1:134" ht="19.149999999999999" customHeight="1" x14ac:dyDescent="0.4">
      <c r="A77" s="268" t="s">
        <v>181</v>
      </c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7"/>
      <c r="Q77" s="267"/>
      <c r="R77" s="267"/>
      <c r="S77" s="267"/>
      <c r="T77" s="267"/>
      <c r="U77" s="267"/>
      <c r="V77" s="267"/>
      <c r="W77" s="267"/>
      <c r="X77" s="267"/>
      <c r="Y77" s="267"/>
      <c r="Z77" s="267"/>
      <c r="AA77" s="267"/>
      <c r="AB77" s="267"/>
      <c r="AC77" s="267"/>
      <c r="AD77" s="267"/>
      <c r="AE77" s="267"/>
      <c r="AF77" s="267"/>
      <c r="AG77" s="267"/>
      <c r="AH77" s="267"/>
      <c r="AI77" s="267"/>
      <c r="AJ77" s="267"/>
      <c r="AK77" s="267"/>
      <c r="AL77" s="267"/>
      <c r="AM77" s="267"/>
      <c r="AN77" s="267"/>
      <c r="AO77" s="267"/>
      <c r="AP77" s="267"/>
      <c r="AQ77" s="267"/>
      <c r="AR77" s="267"/>
      <c r="AS77" s="267"/>
      <c r="AT77" s="267"/>
      <c r="AU77" s="267"/>
      <c r="AV77" s="267"/>
      <c r="AW77" s="267"/>
      <c r="AX77" s="267"/>
      <c r="AY77" s="267"/>
      <c r="AZ77" s="267"/>
      <c r="BA77" s="267"/>
      <c r="BB77" s="267"/>
      <c r="BC77" s="267"/>
      <c r="BD77" s="267"/>
      <c r="BE77" s="267"/>
      <c r="BF77" s="267"/>
      <c r="BG77" s="267"/>
      <c r="BH77" s="267"/>
      <c r="BI77" s="267"/>
      <c r="BJ77" s="267"/>
      <c r="BK77" s="267"/>
      <c r="BL77" s="267"/>
      <c r="BM77" s="267"/>
      <c r="BN77" s="267"/>
      <c r="BO77" s="267"/>
      <c r="BP77" s="267"/>
      <c r="BQ77" s="267"/>
      <c r="BR77" s="267"/>
      <c r="BS77" s="267"/>
      <c r="BT77" s="267"/>
      <c r="BU77" s="267"/>
      <c r="BV77" s="267"/>
      <c r="BW77" s="267"/>
      <c r="BX77" s="267"/>
      <c r="BY77" s="267"/>
      <c r="BZ77" s="267"/>
      <c r="CA77" s="267"/>
      <c r="CB77" s="267"/>
      <c r="CC77" s="267"/>
      <c r="CD77" s="267"/>
      <c r="CE77" s="267"/>
      <c r="CF77" s="267"/>
      <c r="CG77" s="267"/>
      <c r="CH77" s="267"/>
      <c r="CI77" s="267"/>
      <c r="CJ77" s="267"/>
      <c r="CK77" s="267"/>
      <c r="CL77" s="267"/>
      <c r="CM77" s="267"/>
      <c r="CN77" s="267"/>
      <c r="CO77" s="267"/>
      <c r="CP77" s="267"/>
      <c r="CQ77" s="267"/>
      <c r="CR77" s="267"/>
      <c r="CS77" s="267"/>
      <c r="CT77" s="267"/>
      <c r="CU77" s="267"/>
      <c r="CV77" s="267"/>
      <c r="CW77" s="267"/>
      <c r="CX77" s="267"/>
      <c r="CY77" s="267"/>
      <c r="CZ77" s="267"/>
      <c r="DA77" s="267"/>
      <c r="DB77" s="267"/>
      <c r="DC77" s="267"/>
      <c r="DD77" s="267"/>
      <c r="DE77" s="267"/>
      <c r="DF77" s="267"/>
      <c r="DG77" s="267"/>
      <c r="DH77" s="267"/>
      <c r="DI77" s="267"/>
      <c r="DJ77" s="267"/>
      <c r="DK77" s="267"/>
      <c r="DL77" s="267"/>
      <c r="DM77" s="267"/>
      <c r="DN77" s="267"/>
      <c r="DO77" s="267"/>
      <c r="DP77" s="267"/>
      <c r="DQ77" s="267"/>
      <c r="DR77" s="267"/>
      <c r="DS77" s="267"/>
      <c r="DT77" s="267"/>
      <c r="DU77" s="267"/>
      <c r="DV77" s="267"/>
      <c r="DW77" s="267"/>
      <c r="DX77" s="267"/>
      <c r="DY77" s="267"/>
      <c r="DZ77" s="267"/>
      <c r="EA77" s="267"/>
      <c r="EB77" s="267"/>
      <c r="EC77" s="267"/>
      <c r="ED77" s="267"/>
    </row>
    <row r="78" spans="1:134" ht="19.149999999999999" customHeight="1" x14ac:dyDescent="0.4">
      <c r="A78" s="265" t="s">
        <v>38</v>
      </c>
      <c r="B78" s="266">
        <f>-'Torrance Inputs'!$D$11</f>
        <v>-17552666.666666668</v>
      </c>
      <c r="C78" s="266"/>
      <c r="D78" s="266"/>
      <c r="E78" s="266"/>
      <c r="F78" s="266"/>
      <c r="G78" s="266"/>
      <c r="H78" s="266"/>
      <c r="I78" s="266"/>
      <c r="J78" s="266"/>
      <c r="K78" s="266"/>
      <c r="L78" s="266"/>
      <c r="M78" s="266"/>
      <c r="N78" s="266"/>
      <c r="O78" s="266"/>
      <c r="P78" s="266"/>
      <c r="Q78" s="266"/>
      <c r="R78" s="266"/>
      <c r="S78" s="266"/>
      <c r="T78" s="266"/>
      <c r="U78" s="266"/>
      <c r="V78" s="266"/>
      <c r="W78" s="266"/>
      <c r="X78" s="266"/>
      <c r="Y78" s="266"/>
      <c r="Z78" s="266"/>
      <c r="AA78" s="266"/>
      <c r="AB78" s="266"/>
      <c r="AC78" s="266"/>
      <c r="AD78" s="266"/>
      <c r="AE78" s="266"/>
      <c r="AF78" s="266"/>
      <c r="AG78" s="266"/>
      <c r="AH78" s="266"/>
      <c r="AI78" s="266"/>
      <c r="AJ78" s="266"/>
      <c r="AK78" s="266"/>
      <c r="AL78" s="266"/>
      <c r="AM78" s="266"/>
      <c r="AN78" s="266"/>
      <c r="AO78" s="266"/>
      <c r="AP78" s="266"/>
      <c r="AQ78" s="266"/>
      <c r="AR78" s="266"/>
      <c r="AS78" s="266"/>
      <c r="AT78" s="266"/>
      <c r="AU78" s="266"/>
      <c r="AV78" s="266"/>
      <c r="AW78" s="266"/>
      <c r="AX78" s="266"/>
      <c r="AY78" s="266"/>
      <c r="AZ78" s="266"/>
      <c r="BA78" s="266"/>
      <c r="BB78" s="266"/>
      <c r="BC78" s="266"/>
      <c r="BD78" s="266"/>
      <c r="BE78" s="266"/>
      <c r="BF78" s="266"/>
      <c r="BG78" s="266"/>
      <c r="BH78" s="266"/>
      <c r="BI78" s="266"/>
      <c r="BJ78" s="266"/>
      <c r="BK78" s="266"/>
      <c r="BL78" s="266"/>
      <c r="BM78" s="266"/>
      <c r="BN78" s="266"/>
      <c r="BO78" s="266"/>
      <c r="BP78" s="266"/>
      <c r="BQ78" s="266"/>
      <c r="BR78" s="266"/>
      <c r="BS78" s="266"/>
      <c r="BT78" s="266"/>
      <c r="BU78" s="266"/>
      <c r="BV78" s="266"/>
      <c r="BW78" s="266"/>
      <c r="BX78" s="266"/>
      <c r="BY78" s="266"/>
      <c r="BZ78" s="266"/>
      <c r="CA78" s="266"/>
      <c r="CB78" s="266"/>
      <c r="CC78" s="266"/>
      <c r="CD78" s="266"/>
      <c r="CE78" s="266"/>
      <c r="CF78" s="266"/>
      <c r="CG78" s="266"/>
      <c r="CH78" s="266"/>
      <c r="CI78" s="266"/>
      <c r="CJ78" s="266"/>
      <c r="CK78" s="266"/>
      <c r="CL78" s="266"/>
      <c r="CM78" s="266"/>
      <c r="CN78" s="266"/>
      <c r="CO78" s="266"/>
      <c r="CP78" s="266"/>
      <c r="CQ78" s="266"/>
      <c r="CR78" s="266"/>
      <c r="CS78" s="266"/>
      <c r="CT78" s="266"/>
      <c r="CU78" s="266"/>
      <c r="CV78" s="266"/>
      <c r="CW78" s="266"/>
      <c r="CX78" s="266"/>
      <c r="CY78" s="266"/>
      <c r="CZ78" s="266"/>
      <c r="DA78" s="266"/>
      <c r="DB78" s="266"/>
      <c r="DC78" s="266"/>
      <c r="DD78" s="266"/>
      <c r="DE78" s="266"/>
      <c r="DF78" s="266"/>
      <c r="DG78" s="266"/>
      <c r="DH78" s="266"/>
      <c r="DI78" s="266"/>
      <c r="DJ78" s="266"/>
      <c r="DK78" s="266"/>
      <c r="DL78" s="266"/>
      <c r="DM78" s="266"/>
      <c r="DN78" s="266"/>
      <c r="DO78" s="266"/>
      <c r="DP78" s="266"/>
      <c r="DQ78" s="266"/>
      <c r="DR78" s="266"/>
      <c r="DS78" s="266"/>
      <c r="DT78" s="266"/>
      <c r="DU78" s="266"/>
      <c r="DV78" s="266"/>
      <c r="DW78" s="266"/>
      <c r="DX78" s="266"/>
      <c r="DY78" s="266"/>
      <c r="DZ78" s="266"/>
      <c r="EA78" s="266"/>
      <c r="EB78" s="266"/>
      <c r="EC78" s="266"/>
      <c r="ED78" s="266"/>
    </row>
    <row r="79" spans="1:134" ht="19.149999999999999" customHeight="1" x14ac:dyDescent="0.4">
      <c r="A79" s="265" t="s">
        <v>133</v>
      </c>
      <c r="B79" s="263">
        <f>-B78*'Torrance Inputs'!$D$12</f>
        <v>351053.33333333337</v>
      </c>
      <c r="C79" s="263"/>
      <c r="D79" s="263"/>
      <c r="E79" s="263"/>
      <c r="F79" s="263"/>
      <c r="G79" s="263"/>
      <c r="H79" s="263"/>
      <c r="I79" s="263"/>
      <c r="J79" s="263"/>
      <c r="K79" s="263"/>
      <c r="L79" s="263"/>
      <c r="M79" s="263"/>
      <c r="N79" s="263"/>
      <c r="O79" s="263"/>
      <c r="P79" s="263"/>
      <c r="Q79" s="263"/>
      <c r="R79" s="263"/>
      <c r="S79" s="263"/>
      <c r="T79" s="263"/>
      <c r="U79" s="263"/>
      <c r="V79" s="263"/>
      <c r="W79" s="263"/>
      <c r="X79" s="263"/>
      <c r="Y79" s="263"/>
      <c r="Z79" s="263"/>
      <c r="AA79" s="263"/>
      <c r="AB79" s="263"/>
      <c r="AC79" s="263"/>
      <c r="AD79" s="263"/>
      <c r="AE79" s="263"/>
      <c r="AF79" s="263"/>
      <c r="AG79" s="263"/>
      <c r="AH79" s="263"/>
      <c r="AI79" s="263"/>
      <c r="AJ79" s="263"/>
      <c r="AK79" s="263"/>
      <c r="AL79" s="263"/>
      <c r="AM79" s="263"/>
      <c r="AN79" s="263"/>
      <c r="AO79" s="263"/>
      <c r="AP79" s="263"/>
      <c r="AQ79" s="263"/>
      <c r="AR79" s="263"/>
      <c r="AS79" s="263"/>
      <c r="AT79" s="263"/>
      <c r="AU79" s="263"/>
      <c r="AV79" s="263"/>
      <c r="AW79" s="263"/>
      <c r="AX79" s="263"/>
      <c r="AY79" s="263"/>
      <c r="AZ79" s="263"/>
      <c r="BA79" s="263"/>
      <c r="BB79" s="263"/>
      <c r="BC79" s="263"/>
      <c r="BD79" s="263"/>
      <c r="BE79" s="263"/>
      <c r="BF79" s="263"/>
      <c r="BG79" s="263"/>
      <c r="BH79" s="263"/>
      <c r="BI79" s="263"/>
      <c r="BJ79" s="263"/>
      <c r="BK79" s="263"/>
      <c r="BL79" s="263"/>
      <c r="BM79" s="263"/>
      <c r="BN79" s="263"/>
      <c r="BO79" s="263"/>
      <c r="BP79" s="263"/>
      <c r="BQ79" s="263"/>
      <c r="BR79" s="263"/>
      <c r="BS79" s="263"/>
      <c r="BT79" s="263"/>
      <c r="BU79" s="263"/>
      <c r="BV79" s="263"/>
      <c r="BW79" s="263"/>
      <c r="BX79" s="263"/>
      <c r="BY79" s="263"/>
      <c r="BZ79" s="263"/>
      <c r="CA79" s="263"/>
      <c r="CB79" s="263"/>
      <c r="CC79" s="263"/>
      <c r="CD79" s="263"/>
      <c r="CE79" s="263"/>
      <c r="CF79" s="263"/>
      <c r="CG79" s="263"/>
      <c r="CH79" s="263"/>
      <c r="CI79" s="263"/>
      <c r="CJ79" s="263"/>
      <c r="CK79" s="263"/>
      <c r="CL79" s="263"/>
      <c r="CM79" s="263"/>
      <c r="CN79" s="263"/>
      <c r="CO79" s="263"/>
      <c r="CP79" s="263"/>
      <c r="CQ79" s="263"/>
      <c r="CR79" s="263"/>
      <c r="CS79" s="263"/>
      <c r="CT79" s="263"/>
      <c r="CU79" s="263"/>
      <c r="CV79" s="263"/>
      <c r="CW79" s="263"/>
      <c r="CX79" s="263"/>
      <c r="CY79" s="263"/>
      <c r="CZ79" s="263"/>
      <c r="DA79" s="263"/>
      <c r="DB79" s="263"/>
      <c r="DC79" s="263"/>
      <c r="DD79" s="263"/>
      <c r="DE79" s="263"/>
      <c r="DF79" s="263"/>
      <c r="DG79" s="263"/>
      <c r="DH79" s="263"/>
      <c r="DI79" s="263"/>
      <c r="DJ79" s="263"/>
      <c r="DK79" s="263"/>
      <c r="DL79" s="263"/>
      <c r="DM79" s="263"/>
      <c r="DN79" s="263"/>
      <c r="DO79" s="263"/>
      <c r="DP79" s="263"/>
      <c r="DQ79" s="263"/>
      <c r="DR79" s="263"/>
      <c r="DS79" s="263"/>
      <c r="DT79" s="263"/>
      <c r="DU79" s="263"/>
      <c r="DV79" s="263"/>
      <c r="DW79" s="263"/>
      <c r="DX79" s="263"/>
      <c r="DY79" s="263"/>
      <c r="DZ79" s="263"/>
      <c r="EA79" s="263"/>
      <c r="EB79" s="263"/>
      <c r="EC79" s="263"/>
      <c r="ED79" s="263"/>
    </row>
    <row r="80" spans="1:134" ht="19.149999999999999" customHeight="1" x14ac:dyDescent="0.4">
      <c r="A80" s="264" t="s">
        <v>180</v>
      </c>
      <c r="B80" s="263">
        <f>SUM(B78:B79)</f>
        <v>-17201613.333333336</v>
      </c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  <c r="Y80" s="263"/>
      <c r="Z80" s="263"/>
      <c r="AA80" s="263"/>
      <c r="AB80" s="263"/>
      <c r="AC80" s="263"/>
      <c r="AD80" s="263"/>
      <c r="AE80" s="263"/>
      <c r="AF80" s="263"/>
      <c r="AG80" s="263"/>
      <c r="AH80" s="263"/>
      <c r="AI80" s="263"/>
      <c r="AJ80" s="263"/>
      <c r="AK80" s="263"/>
      <c r="AL80" s="263"/>
      <c r="AM80" s="263"/>
      <c r="AN80" s="263"/>
      <c r="AO80" s="263"/>
      <c r="AP80" s="263"/>
      <c r="AQ80" s="263"/>
      <c r="AR80" s="263"/>
      <c r="AS80" s="263"/>
      <c r="AT80" s="263"/>
      <c r="AU80" s="263"/>
      <c r="AV80" s="263"/>
      <c r="AW80" s="263"/>
      <c r="AX80" s="263"/>
      <c r="AY80" s="263"/>
      <c r="AZ80" s="263"/>
      <c r="BA80" s="263"/>
      <c r="BB80" s="263"/>
      <c r="BC80" s="263"/>
      <c r="BD80" s="263"/>
      <c r="BE80" s="263"/>
      <c r="BF80" s="263"/>
      <c r="BG80" s="263"/>
      <c r="BH80" s="263"/>
      <c r="BI80" s="263"/>
      <c r="BJ80" s="263"/>
      <c r="BK80" s="263"/>
      <c r="BL80" s="263"/>
      <c r="BM80" s="263"/>
      <c r="BN80" s="263"/>
      <c r="BO80" s="263"/>
      <c r="BP80" s="263"/>
      <c r="BQ80" s="263"/>
      <c r="BR80" s="263"/>
      <c r="BS80" s="263"/>
      <c r="BT80" s="263"/>
      <c r="BU80" s="263"/>
      <c r="BV80" s="263"/>
      <c r="BW80" s="263"/>
      <c r="BX80" s="263"/>
      <c r="BY80" s="263"/>
      <c r="BZ80" s="263"/>
      <c r="CA80" s="263"/>
      <c r="CB80" s="263"/>
      <c r="CC80" s="263"/>
      <c r="CD80" s="263"/>
      <c r="CE80" s="263"/>
      <c r="CF80" s="263"/>
      <c r="CG80" s="263"/>
      <c r="CH80" s="263"/>
      <c r="CI80" s="263"/>
      <c r="CJ80" s="263"/>
      <c r="CK80" s="263"/>
      <c r="CL80" s="263"/>
      <c r="CM80" s="263"/>
      <c r="CN80" s="263"/>
      <c r="CO80" s="263"/>
      <c r="CP80" s="263"/>
      <c r="CQ80" s="263"/>
      <c r="CR80" s="263"/>
      <c r="CS80" s="263"/>
      <c r="CT80" s="263"/>
      <c r="CU80" s="263"/>
      <c r="CV80" s="263"/>
      <c r="CW80" s="263"/>
      <c r="CX80" s="263"/>
      <c r="CY80" s="263"/>
      <c r="CZ80" s="263"/>
      <c r="DA80" s="263"/>
      <c r="DB80" s="263"/>
      <c r="DC80" s="263"/>
      <c r="DD80" s="263"/>
      <c r="DE80" s="263"/>
      <c r="DF80" s="263"/>
      <c r="DG80" s="263"/>
      <c r="DH80" s="263"/>
      <c r="DI80" s="263"/>
      <c r="DJ80" s="263"/>
      <c r="DK80" s="263"/>
      <c r="DL80" s="263"/>
      <c r="DM80" s="263"/>
      <c r="DN80" s="263"/>
      <c r="DO80" s="263"/>
      <c r="DP80" s="263"/>
      <c r="DQ80" s="263"/>
      <c r="DR80" s="263"/>
      <c r="DS80" s="263"/>
      <c r="DT80" s="263"/>
      <c r="DU80" s="263"/>
      <c r="DV80" s="263"/>
      <c r="DW80" s="263"/>
      <c r="DX80" s="263"/>
      <c r="DY80" s="263"/>
      <c r="DZ80" s="263"/>
      <c r="EA80" s="263"/>
      <c r="EB80" s="263"/>
      <c r="EC80" s="263"/>
      <c r="ED80" s="263"/>
    </row>
    <row r="81" spans="1:134" ht="19.149999999999999" customHeight="1" x14ac:dyDescent="0.4">
      <c r="C81" s="267"/>
      <c r="D81" s="267"/>
      <c r="E81" s="267"/>
      <c r="F81" s="267"/>
      <c r="G81" s="267"/>
      <c r="H81" s="267"/>
      <c r="I81" s="267"/>
      <c r="J81" s="267"/>
      <c r="K81" s="267"/>
      <c r="L81" s="267"/>
      <c r="M81" s="267"/>
      <c r="N81" s="267"/>
      <c r="O81" s="267"/>
      <c r="P81" s="267"/>
      <c r="Q81" s="267"/>
      <c r="R81" s="267"/>
      <c r="S81" s="267"/>
      <c r="T81" s="267"/>
      <c r="U81" s="267"/>
      <c r="V81" s="267"/>
      <c r="W81" s="267"/>
      <c r="X81" s="267"/>
      <c r="Y81" s="267"/>
      <c r="Z81" s="267"/>
      <c r="AA81" s="267"/>
      <c r="AB81" s="267"/>
      <c r="AC81" s="267"/>
      <c r="AD81" s="267"/>
      <c r="AE81" s="267"/>
      <c r="AF81" s="267"/>
      <c r="AG81" s="267"/>
      <c r="AH81" s="267"/>
      <c r="AI81" s="267"/>
      <c r="AJ81" s="267"/>
      <c r="AK81" s="267"/>
      <c r="AL81" s="267"/>
      <c r="AM81" s="267"/>
      <c r="AN81" s="267"/>
      <c r="AO81" s="267"/>
      <c r="AP81" s="267"/>
      <c r="AQ81" s="267"/>
      <c r="AR81" s="267"/>
      <c r="AS81" s="267"/>
      <c r="AT81" s="267"/>
      <c r="AU81" s="267"/>
      <c r="AV81" s="267"/>
      <c r="AW81" s="267"/>
      <c r="AX81" s="267"/>
      <c r="AY81" s="267"/>
      <c r="AZ81" s="267"/>
      <c r="BA81" s="267"/>
      <c r="BB81" s="267"/>
      <c r="BC81" s="267"/>
      <c r="BD81" s="267"/>
      <c r="BE81" s="267"/>
      <c r="BF81" s="267"/>
      <c r="BG81" s="267"/>
      <c r="BH81" s="267"/>
      <c r="BI81" s="267"/>
      <c r="BJ81" s="267"/>
      <c r="BK81" s="267"/>
      <c r="BL81" s="267"/>
      <c r="BM81" s="267"/>
      <c r="BN81" s="267"/>
      <c r="BO81" s="267"/>
      <c r="BP81" s="267"/>
      <c r="BQ81" s="267"/>
      <c r="BR81" s="267"/>
      <c r="BS81" s="267"/>
      <c r="BT81" s="267"/>
      <c r="BU81" s="267"/>
      <c r="BV81" s="267"/>
      <c r="BW81" s="267"/>
      <c r="BX81" s="267"/>
      <c r="BY81" s="267"/>
      <c r="BZ81" s="267"/>
      <c r="CA81" s="267"/>
      <c r="CB81" s="267"/>
      <c r="CC81" s="267"/>
      <c r="CD81" s="267"/>
      <c r="CE81" s="267"/>
      <c r="CF81" s="267"/>
      <c r="CG81" s="267"/>
      <c r="CH81" s="267"/>
      <c r="CI81" s="267"/>
      <c r="CJ81" s="267"/>
      <c r="CK81" s="267"/>
      <c r="CL81" s="267"/>
      <c r="CM81" s="267"/>
      <c r="CN81" s="267"/>
      <c r="CO81" s="267"/>
      <c r="CP81" s="267"/>
      <c r="CQ81" s="267"/>
      <c r="CR81" s="267"/>
      <c r="CS81" s="267"/>
      <c r="CT81" s="267"/>
      <c r="CU81" s="267"/>
      <c r="CV81" s="267"/>
      <c r="CW81" s="267"/>
      <c r="CX81" s="267"/>
      <c r="CY81" s="267"/>
      <c r="CZ81" s="267"/>
      <c r="DA81" s="267"/>
      <c r="DB81" s="267"/>
      <c r="DC81" s="267"/>
      <c r="DD81" s="267"/>
      <c r="DE81" s="267"/>
      <c r="DF81" s="267"/>
      <c r="DG81" s="267"/>
      <c r="DH81" s="267"/>
      <c r="DI81" s="267"/>
      <c r="DJ81" s="267"/>
      <c r="DK81" s="267"/>
      <c r="DL81" s="267"/>
      <c r="DM81" s="267"/>
      <c r="DN81" s="267"/>
      <c r="DO81" s="267"/>
      <c r="DP81" s="267"/>
      <c r="DQ81" s="267"/>
      <c r="DR81" s="267"/>
      <c r="DS81" s="267"/>
      <c r="DT81" s="267"/>
      <c r="DU81" s="267"/>
      <c r="DV81" s="267"/>
      <c r="DW81" s="267"/>
      <c r="DX81" s="267"/>
      <c r="DY81" s="267"/>
      <c r="DZ81" s="267"/>
      <c r="EA81" s="267"/>
      <c r="EB81" s="267"/>
      <c r="EC81" s="267"/>
      <c r="ED81" s="267"/>
    </row>
    <row r="82" spans="1:134" ht="19.149999999999999" customHeight="1" x14ac:dyDescent="0.4">
      <c r="A82" s="268" t="s">
        <v>179</v>
      </c>
      <c r="B82" s="268"/>
      <c r="C82" s="267"/>
      <c r="D82" s="267"/>
      <c r="E82" s="267"/>
      <c r="F82" s="267"/>
      <c r="G82" s="267"/>
      <c r="H82" s="267"/>
      <c r="I82" s="267"/>
      <c r="J82" s="267"/>
      <c r="K82" s="267"/>
      <c r="L82" s="267"/>
      <c r="M82" s="267"/>
      <c r="N82" s="267"/>
      <c r="O82" s="267"/>
      <c r="P82" s="267"/>
      <c r="Q82" s="267"/>
      <c r="R82" s="267"/>
      <c r="S82" s="267"/>
      <c r="T82" s="267"/>
      <c r="U82" s="267"/>
      <c r="V82" s="267"/>
      <c r="W82" s="267"/>
      <c r="X82" s="267"/>
      <c r="Y82" s="267"/>
      <c r="Z82" s="267"/>
      <c r="AA82" s="267"/>
      <c r="AB82" s="267"/>
      <c r="AC82" s="267"/>
      <c r="AD82" s="267"/>
      <c r="AE82" s="267"/>
      <c r="AF82" s="267"/>
      <c r="AG82" s="267"/>
      <c r="AH82" s="267"/>
      <c r="AI82" s="267"/>
      <c r="AJ82" s="267"/>
      <c r="AK82" s="267"/>
      <c r="AL82" s="267"/>
      <c r="AM82" s="267"/>
      <c r="AN82" s="267"/>
      <c r="AO82" s="267"/>
      <c r="AP82" s="267"/>
      <c r="AQ82" s="267"/>
      <c r="AR82" s="267"/>
      <c r="AS82" s="267"/>
      <c r="AT82" s="267"/>
      <c r="AU82" s="267"/>
      <c r="AV82" s="267"/>
      <c r="AW82" s="267"/>
      <c r="AX82" s="267"/>
      <c r="AY82" s="267"/>
      <c r="AZ82" s="267"/>
      <c r="BA82" s="267"/>
      <c r="BB82" s="267"/>
      <c r="BC82" s="267"/>
      <c r="BD82" s="267"/>
      <c r="BE82" s="267"/>
      <c r="BF82" s="267"/>
      <c r="BG82" s="267"/>
      <c r="BH82" s="267"/>
      <c r="BI82" s="267"/>
      <c r="BJ82" s="267"/>
      <c r="BK82" s="267"/>
      <c r="BL82" s="267"/>
      <c r="BM82" s="267"/>
      <c r="BN82" s="267"/>
      <c r="BO82" s="267"/>
      <c r="BP82" s="267"/>
      <c r="BQ82" s="267"/>
      <c r="BR82" s="267"/>
      <c r="BS82" s="267"/>
      <c r="BT82" s="267"/>
      <c r="BU82" s="267"/>
      <c r="BV82" s="267"/>
      <c r="BW82" s="267"/>
      <c r="BX82" s="267"/>
      <c r="BY82" s="267"/>
      <c r="BZ82" s="267"/>
      <c r="CA82" s="267"/>
      <c r="CB82" s="267"/>
      <c r="CC82" s="267"/>
      <c r="CD82" s="267"/>
      <c r="CE82" s="267"/>
      <c r="CF82" s="267"/>
      <c r="CG82" s="267"/>
      <c r="CH82" s="267"/>
      <c r="CI82" s="267"/>
      <c r="CJ82" s="267"/>
      <c r="CK82" s="267"/>
      <c r="CL82" s="267"/>
      <c r="CM82" s="267"/>
      <c r="CN82" s="267"/>
      <c r="CO82" s="267"/>
      <c r="CP82" s="267"/>
      <c r="CQ82" s="267"/>
      <c r="CR82" s="267"/>
      <c r="CS82" s="267"/>
      <c r="CT82" s="267"/>
      <c r="CU82" s="267"/>
      <c r="CV82" s="267"/>
      <c r="CW82" s="267"/>
      <c r="CX82" s="267"/>
      <c r="CY82" s="267"/>
      <c r="CZ82" s="267"/>
      <c r="DA82" s="267"/>
      <c r="DB82" s="267"/>
      <c r="DC82" s="267"/>
      <c r="DD82" s="267"/>
      <c r="DE82" s="267"/>
      <c r="DF82" s="267"/>
      <c r="DG82" s="267"/>
      <c r="DH82" s="267"/>
      <c r="DI82" s="267"/>
      <c r="DJ82" s="267"/>
      <c r="DK82" s="267"/>
      <c r="DL82" s="267"/>
      <c r="DM82" s="267"/>
      <c r="DN82" s="267"/>
      <c r="DO82" s="267"/>
      <c r="DP82" s="267"/>
      <c r="DQ82" s="267"/>
      <c r="DR82" s="267"/>
      <c r="DS82" s="267"/>
      <c r="DT82" s="267"/>
      <c r="DU82" s="267"/>
      <c r="DV82" s="267"/>
      <c r="DW82" s="267"/>
      <c r="DX82" s="267"/>
      <c r="DY82" s="267"/>
      <c r="DZ82" s="267"/>
      <c r="EA82" s="267"/>
      <c r="EB82" s="267"/>
      <c r="EC82" s="267"/>
      <c r="ED82" s="267"/>
    </row>
    <row r="83" spans="1:134" ht="19.149999999999999" customHeight="1" x14ac:dyDescent="0.4">
      <c r="A83" s="265" t="s">
        <v>178</v>
      </c>
      <c r="B83" s="266"/>
      <c r="C83" s="266">
        <f>IF(C$9='Torrance Inputs'!$D$20*12,SUMIF(_xlfn.ANCHORARRAY('Torrance Pro Forma'!$C$9),"&gt;120",'Torrance Pro Forma'!$C$53:$ED$53)/'Torrance Inputs'!$D$16,0)</f>
        <v>0</v>
      </c>
      <c r="D83" s="266">
        <f>IF(D$9='Torrance Inputs'!$D$20*12,SUMIF(_xlfn.ANCHORARRAY('Torrance Pro Forma'!$C$9),"&gt;120",'Torrance Pro Forma'!$C$53:$ED$53)/'Torrance Inputs'!$D$16,0)</f>
        <v>0</v>
      </c>
      <c r="E83" s="266">
        <f>IF(E$9='Torrance Inputs'!$D$20*12,SUMIF(_xlfn.ANCHORARRAY('Torrance Pro Forma'!$C$9),"&gt;120",'Torrance Pro Forma'!$C$53:$ED$53)/'Torrance Inputs'!$D$16,0)</f>
        <v>0</v>
      </c>
      <c r="F83" s="266">
        <f>IF(F$9='Torrance Inputs'!$D$20*12,SUMIF(_xlfn.ANCHORARRAY('Torrance Pro Forma'!$C$9),"&gt;120",'Torrance Pro Forma'!$C$53:$ED$53)/'Torrance Inputs'!$D$16,0)</f>
        <v>0</v>
      </c>
      <c r="G83" s="266">
        <f>IF(G$9='Torrance Inputs'!$D$20*12,SUMIF(_xlfn.ANCHORARRAY('Torrance Pro Forma'!$C$9),"&gt;120",'Torrance Pro Forma'!$C$53:$ED$53)/'Torrance Inputs'!$D$16,0)</f>
        <v>0</v>
      </c>
      <c r="H83" s="266">
        <f>IF(H$9='Torrance Inputs'!$D$20*12,SUMIF(_xlfn.ANCHORARRAY('Torrance Pro Forma'!$C$9),"&gt;120",'Torrance Pro Forma'!$C$53:$ED$53)/'Torrance Inputs'!$D$16,0)</f>
        <v>0</v>
      </c>
      <c r="I83" s="266">
        <f>IF(I$9='Torrance Inputs'!$D$20*12,SUMIF(_xlfn.ANCHORARRAY('Torrance Pro Forma'!$C$9),"&gt;120",'Torrance Pro Forma'!$C$53:$ED$53)/'Torrance Inputs'!$D$16,0)</f>
        <v>0</v>
      </c>
      <c r="J83" s="266">
        <f>IF(J$9='Torrance Inputs'!$D$20*12,SUMIF(_xlfn.ANCHORARRAY('Torrance Pro Forma'!$C$9),"&gt;120",'Torrance Pro Forma'!$C$53:$ED$53)/'Torrance Inputs'!$D$16,0)</f>
        <v>0</v>
      </c>
      <c r="K83" s="266">
        <f>IF(K$9='Torrance Inputs'!$D$20*12,SUMIF(_xlfn.ANCHORARRAY('Torrance Pro Forma'!$C$9),"&gt;120",'Torrance Pro Forma'!$C$53:$ED$53)/'Torrance Inputs'!$D$16,0)</f>
        <v>0</v>
      </c>
      <c r="L83" s="266">
        <f>IF(L$9='Torrance Inputs'!$D$20*12,SUMIF(_xlfn.ANCHORARRAY('Torrance Pro Forma'!$C$9),"&gt;120",'Torrance Pro Forma'!$C$53:$ED$53)/'Torrance Inputs'!$D$16,0)</f>
        <v>0</v>
      </c>
      <c r="M83" s="266">
        <f>IF(M$9='Torrance Inputs'!$D$20*12,SUMIF(_xlfn.ANCHORARRAY('Torrance Pro Forma'!$C$9),"&gt;120",'Torrance Pro Forma'!$C$53:$ED$53)/'Torrance Inputs'!$D$16,0)</f>
        <v>0</v>
      </c>
      <c r="N83" s="266">
        <f>IF(N$9='Torrance Inputs'!$D$20*12,SUMIF(_xlfn.ANCHORARRAY('Torrance Pro Forma'!$C$9),"&gt;120",'Torrance Pro Forma'!$C$53:$ED$53)/'Torrance Inputs'!$D$16,0)</f>
        <v>0</v>
      </c>
      <c r="O83" s="266">
        <f>IF(O$9='Torrance Inputs'!$D$20*12,SUMIF(_xlfn.ANCHORARRAY('Torrance Pro Forma'!$C$9),"&gt;120",'Torrance Pro Forma'!$C$53:$ED$53)/'Torrance Inputs'!$D$16,0)</f>
        <v>0</v>
      </c>
      <c r="P83" s="266">
        <f>IF(P$9='Torrance Inputs'!$D$20*12,SUMIF(_xlfn.ANCHORARRAY('Torrance Pro Forma'!$C$9),"&gt;120",'Torrance Pro Forma'!$C$53:$ED$53)/'Torrance Inputs'!$D$16,0)</f>
        <v>0</v>
      </c>
      <c r="Q83" s="266">
        <f>IF(Q$9='Torrance Inputs'!$D$20*12,SUMIF(_xlfn.ANCHORARRAY('Torrance Pro Forma'!$C$9),"&gt;120",'Torrance Pro Forma'!$C$53:$ED$53)/'Torrance Inputs'!$D$16,0)</f>
        <v>0</v>
      </c>
      <c r="R83" s="266">
        <f>IF(R$9='Torrance Inputs'!$D$20*12,SUMIF(_xlfn.ANCHORARRAY('Torrance Pro Forma'!$C$9),"&gt;120",'Torrance Pro Forma'!$C$53:$ED$53)/'Torrance Inputs'!$D$16,0)</f>
        <v>0</v>
      </c>
      <c r="S83" s="266">
        <f>IF(S$9='Torrance Inputs'!$D$20*12,SUMIF(_xlfn.ANCHORARRAY('Torrance Pro Forma'!$C$9),"&gt;120",'Torrance Pro Forma'!$C$53:$ED$53)/'Torrance Inputs'!$D$16,0)</f>
        <v>0</v>
      </c>
      <c r="T83" s="266">
        <f>IF(T$9='Torrance Inputs'!$D$20*12,SUMIF(_xlfn.ANCHORARRAY('Torrance Pro Forma'!$C$9),"&gt;120",'Torrance Pro Forma'!$C$53:$ED$53)/'Torrance Inputs'!$D$16,0)</f>
        <v>0</v>
      </c>
      <c r="U83" s="266">
        <f>IF(U$9='Torrance Inputs'!$D$20*12,SUMIF(_xlfn.ANCHORARRAY('Torrance Pro Forma'!$C$9),"&gt;120",'Torrance Pro Forma'!$C$53:$ED$53)/'Torrance Inputs'!$D$16,0)</f>
        <v>0</v>
      </c>
      <c r="V83" s="266">
        <f>IF(V$9='Torrance Inputs'!$D$20*12,SUMIF(_xlfn.ANCHORARRAY('Torrance Pro Forma'!$C$9),"&gt;120",'Torrance Pro Forma'!$C$53:$ED$53)/'Torrance Inputs'!$D$16,0)</f>
        <v>0</v>
      </c>
      <c r="W83" s="266">
        <f>IF(W$9='Torrance Inputs'!$D$20*12,SUMIF(_xlfn.ANCHORARRAY('Torrance Pro Forma'!$C$9),"&gt;120",'Torrance Pro Forma'!$C$53:$ED$53)/'Torrance Inputs'!$D$16,0)</f>
        <v>0</v>
      </c>
      <c r="X83" s="266">
        <f>IF(X$9='Torrance Inputs'!$D$20*12,SUMIF(_xlfn.ANCHORARRAY('Torrance Pro Forma'!$C$9),"&gt;120",'Torrance Pro Forma'!$C$53:$ED$53)/'Torrance Inputs'!$D$16,0)</f>
        <v>0</v>
      </c>
      <c r="Y83" s="266">
        <f>IF(Y$9='Torrance Inputs'!$D$20*12,SUMIF(_xlfn.ANCHORARRAY('Torrance Pro Forma'!$C$9),"&gt;120",'Torrance Pro Forma'!$C$53:$ED$53)/'Torrance Inputs'!$D$16,0)</f>
        <v>0</v>
      </c>
      <c r="Z83" s="266">
        <f>IF(Z$9='Torrance Inputs'!$D$20*12,SUMIF(_xlfn.ANCHORARRAY('Torrance Pro Forma'!$C$9),"&gt;120",'Torrance Pro Forma'!$C$53:$ED$53)/'Torrance Inputs'!$D$16,0)</f>
        <v>0</v>
      </c>
      <c r="AA83" s="266">
        <f>IF(AA$9='Torrance Inputs'!$D$20*12,SUMIF(_xlfn.ANCHORARRAY('Torrance Pro Forma'!$C$9),"&gt;120",'Torrance Pro Forma'!$C$53:$ED$53)/'Torrance Inputs'!$D$16,0)</f>
        <v>0</v>
      </c>
      <c r="AB83" s="266">
        <f>IF(AB$9='Torrance Inputs'!$D$20*12,SUMIF(_xlfn.ANCHORARRAY('Torrance Pro Forma'!$C$9),"&gt;120",'Torrance Pro Forma'!$C$53:$ED$53)/'Torrance Inputs'!$D$16,0)</f>
        <v>0</v>
      </c>
      <c r="AC83" s="266">
        <f>IF(AC$9='Torrance Inputs'!$D$20*12,SUMIF(_xlfn.ANCHORARRAY('Torrance Pro Forma'!$C$9),"&gt;120",'Torrance Pro Forma'!$C$53:$ED$53)/'Torrance Inputs'!$D$16,0)</f>
        <v>0</v>
      </c>
      <c r="AD83" s="266">
        <f>IF(AD$9='Torrance Inputs'!$D$20*12,SUMIF(_xlfn.ANCHORARRAY('Torrance Pro Forma'!$C$9),"&gt;120",'Torrance Pro Forma'!$C$53:$ED$53)/'Torrance Inputs'!$D$16,0)</f>
        <v>0</v>
      </c>
      <c r="AE83" s="266">
        <f>IF(AE$9='Torrance Inputs'!$D$20*12,SUMIF(_xlfn.ANCHORARRAY('Torrance Pro Forma'!$C$9),"&gt;120",'Torrance Pro Forma'!$C$53:$ED$53)/'Torrance Inputs'!$D$16,0)</f>
        <v>0</v>
      </c>
      <c r="AF83" s="266">
        <f>IF(AF$9='Torrance Inputs'!$D$20*12,SUMIF(_xlfn.ANCHORARRAY('Torrance Pro Forma'!$C$9),"&gt;120",'Torrance Pro Forma'!$C$53:$ED$53)/'Torrance Inputs'!$D$16,0)</f>
        <v>0</v>
      </c>
      <c r="AG83" s="266">
        <f>IF(AG$9='Torrance Inputs'!$D$20*12,SUMIF(_xlfn.ANCHORARRAY('Torrance Pro Forma'!$C$9),"&gt;120",'Torrance Pro Forma'!$C$53:$ED$53)/'Torrance Inputs'!$D$16,0)</f>
        <v>0</v>
      </c>
      <c r="AH83" s="266">
        <f>IF(AH$9='Torrance Inputs'!$D$20*12,SUMIF(_xlfn.ANCHORARRAY('Torrance Pro Forma'!$C$9),"&gt;120",'Torrance Pro Forma'!$C$53:$ED$53)/'Torrance Inputs'!$D$16,0)</f>
        <v>0</v>
      </c>
      <c r="AI83" s="266">
        <f>IF(AI$9='Torrance Inputs'!$D$20*12,SUMIF(_xlfn.ANCHORARRAY('Torrance Pro Forma'!$C$9),"&gt;120",'Torrance Pro Forma'!$C$53:$ED$53)/'Torrance Inputs'!$D$16,0)</f>
        <v>0</v>
      </c>
      <c r="AJ83" s="266">
        <f>IF(AJ$9='Torrance Inputs'!$D$20*12,SUMIF(_xlfn.ANCHORARRAY('Torrance Pro Forma'!$C$9),"&gt;120",'Torrance Pro Forma'!$C$53:$ED$53)/'Torrance Inputs'!$D$16,0)</f>
        <v>0</v>
      </c>
      <c r="AK83" s="266">
        <f>IF(AK$9='Torrance Inputs'!$D$20*12,SUMIF(_xlfn.ANCHORARRAY('Torrance Pro Forma'!$C$9),"&gt;120",'Torrance Pro Forma'!$C$53:$ED$53)/'Torrance Inputs'!$D$16,0)</f>
        <v>0</v>
      </c>
      <c r="AL83" s="266">
        <f>IF(AL$9='Torrance Inputs'!$D$20*12,SUMIF(_xlfn.ANCHORARRAY('Torrance Pro Forma'!$C$9),"&gt;120",'Torrance Pro Forma'!$C$53:$ED$53)/'Torrance Inputs'!$D$16,0)</f>
        <v>0</v>
      </c>
      <c r="AM83" s="266">
        <f>IF(AM$9='Torrance Inputs'!$D$20*12,SUMIF(_xlfn.ANCHORARRAY('Torrance Pro Forma'!$C$9),"&gt;120",'Torrance Pro Forma'!$C$53:$ED$53)/'Torrance Inputs'!$D$16,0)</f>
        <v>0</v>
      </c>
      <c r="AN83" s="266">
        <f>IF(AN$9='Torrance Inputs'!$D$20*12,SUMIF(_xlfn.ANCHORARRAY('Torrance Pro Forma'!$C$9),"&gt;120",'Torrance Pro Forma'!$C$53:$ED$53)/'Torrance Inputs'!$D$16,0)</f>
        <v>0</v>
      </c>
      <c r="AO83" s="266">
        <f>IF(AO$9='Torrance Inputs'!$D$20*12,SUMIF(_xlfn.ANCHORARRAY('Torrance Pro Forma'!$C$9),"&gt;120",'Torrance Pro Forma'!$C$53:$ED$53)/'Torrance Inputs'!$D$16,0)</f>
        <v>0</v>
      </c>
      <c r="AP83" s="266">
        <f>IF(AP$9='Torrance Inputs'!$D$20*12,SUMIF(_xlfn.ANCHORARRAY('Torrance Pro Forma'!$C$9),"&gt;120",'Torrance Pro Forma'!$C$53:$ED$53)/'Torrance Inputs'!$D$16,0)</f>
        <v>0</v>
      </c>
      <c r="AQ83" s="266">
        <f>IF(AQ$9='Torrance Inputs'!$D$20*12,SUMIF(_xlfn.ANCHORARRAY('Torrance Pro Forma'!$C$9),"&gt;120",'Torrance Pro Forma'!$C$53:$ED$53)/'Torrance Inputs'!$D$16,0)</f>
        <v>0</v>
      </c>
      <c r="AR83" s="266">
        <f>IF(AR$9='Torrance Inputs'!$D$20*12,SUMIF(_xlfn.ANCHORARRAY('Torrance Pro Forma'!$C$9),"&gt;120",'Torrance Pro Forma'!$C$53:$ED$53)/'Torrance Inputs'!$D$16,0)</f>
        <v>0</v>
      </c>
      <c r="AS83" s="266">
        <f>IF(AS$9='Torrance Inputs'!$D$20*12,SUMIF(_xlfn.ANCHORARRAY('Torrance Pro Forma'!$C$9),"&gt;120",'Torrance Pro Forma'!$C$53:$ED$53)/'Torrance Inputs'!$D$16,0)</f>
        <v>0</v>
      </c>
      <c r="AT83" s="266">
        <f>IF(AT$9='Torrance Inputs'!$D$20*12,SUMIF(_xlfn.ANCHORARRAY('Torrance Pro Forma'!$C$9),"&gt;120",'Torrance Pro Forma'!$C$53:$ED$53)/'Torrance Inputs'!$D$16,0)</f>
        <v>0</v>
      </c>
      <c r="AU83" s="266">
        <f>IF(AU$9='Torrance Inputs'!$D$20*12,SUMIF(_xlfn.ANCHORARRAY('Torrance Pro Forma'!$C$9),"&gt;120",'Torrance Pro Forma'!$C$53:$ED$53)/'Torrance Inputs'!$D$16,0)</f>
        <v>0</v>
      </c>
      <c r="AV83" s="266">
        <f>IF(AV$9='Torrance Inputs'!$D$20*12,SUMIF(_xlfn.ANCHORARRAY('Torrance Pro Forma'!$C$9),"&gt;120",'Torrance Pro Forma'!$C$53:$ED$53)/'Torrance Inputs'!$D$16,0)</f>
        <v>0</v>
      </c>
      <c r="AW83" s="266">
        <f>IF(AW$9='Torrance Inputs'!$D$20*12,SUMIF(_xlfn.ANCHORARRAY('Torrance Pro Forma'!$C$9),"&gt;120",'Torrance Pro Forma'!$C$53:$ED$53)/'Torrance Inputs'!$D$16,0)</f>
        <v>0</v>
      </c>
      <c r="AX83" s="266">
        <f>IF(AX$9='Torrance Inputs'!$D$20*12,SUMIF(_xlfn.ANCHORARRAY('Torrance Pro Forma'!$C$9),"&gt;120",'Torrance Pro Forma'!$C$53:$ED$53)/'Torrance Inputs'!$D$16,0)</f>
        <v>0</v>
      </c>
      <c r="AY83" s="266">
        <f>IF(AY$9='Torrance Inputs'!$D$20*12,SUMIF(_xlfn.ANCHORARRAY('Torrance Pro Forma'!$C$9),"&gt;120",'Torrance Pro Forma'!$C$53:$ED$53)/'Torrance Inputs'!$D$16,0)</f>
        <v>0</v>
      </c>
      <c r="AZ83" s="266">
        <f>IF(AZ$9='Torrance Inputs'!$D$20*12,SUMIF(_xlfn.ANCHORARRAY('Torrance Pro Forma'!$C$9),"&gt;120",'Torrance Pro Forma'!$C$53:$ED$53)/'Torrance Inputs'!$D$16,0)</f>
        <v>0</v>
      </c>
      <c r="BA83" s="266">
        <f>IF(BA$9='Torrance Inputs'!$D$20*12,SUMIF(_xlfn.ANCHORARRAY('Torrance Pro Forma'!$C$9),"&gt;120",'Torrance Pro Forma'!$C$53:$ED$53)/'Torrance Inputs'!$D$16,0)</f>
        <v>0</v>
      </c>
      <c r="BB83" s="266">
        <f>IF(BB$9='Torrance Inputs'!$D$20*12,SUMIF(_xlfn.ANCHORARRAY('Torrance Pro Forma'!$C$9),"&gt;120",'Torrance Pro Forma'!$C$53:$ED$53)/'Torrance Inputs'!$D$16,0)</f>
        <v>0</v>
      </c>
      <c r="BC83" s="266">
        <f>IF(BC$9='Torrance Inputs'!$D$20*12,SUMIF(_xlfn.ANCHORARRAY('Torrance Pro Forma'!$C$9),"&gt;120",'Torrance Pro Forma'!$C$53:$ED$53)/'Torrance Inputs'!$D$16,0)</f>
        <v>0</v>
      </c>
      <c r="BD83" s="266">
        <f>IF(BD$9='Torrance Inputs'!$D$20*12,SUMIF(_xlfn.ANCHORARRAY('Torrance Pro Forma'!$C$9),"&gt;120",'Torrance Pro Forma'!$C$53:$ED$53)/'Torrance Inputs'!$D$16,0)</f>
        <v>0</v>
      </c>
      <c r="BE83" s="266">
        <f>IF(BE$9='Torrance Inputs'!$D$20*12,SUMIF(_xlfn.ANCHORARRAY('Torrance Pro Forma'!$C$9),"&gt;120",'Torrance Pro Forma'!$C$53:$ED$53)/'Torrance Inputs'!$D$16,0)</f>
        <v>0</v>
      </c>
      <c r="BF83" s="266">
        <f>IF(BF$9='Torrance Inputs'!$D$20*12,SUMIF(_xlfn.ANCHORARRAY('Torrance Pro Forma'!$C$9),"&gt;120",'Torrance Pro Forma'!$C$53:$ED$53)/'Torrance Inputs'!$D$16,0)</f>
        <v>0</v>
      </c>
      <c r="BG83" s="266">
        <f>IF(BG$9='Torrance Inputs'!$D$20*12,SUMIF(_xlfn.ANCHORARRAY('Torrance Pro Forma'!$C$9),"&gt;120",'Torrance Pro Forma'!$C$53:$ED$53)/'Torrance Inputs'!$D$16,0)</f>
        <v>0</v>
      </c>
      <c r="BH83" s="266">
        <f>IF(BH$9='Torrance Inputs'!$D$20*12,SUMIF(_xlfn.ANCHORARRAY('Torrance Pro Forma'!$C$9),"&gt;120",'Torrance Pro Forma'!$C$53:$ED$53)/'Torrance Inputs'!$D$16,0)</f>
        <v>0</v>
      </c>
      <c r="BI83" s="266">
        <f>IF(BI$9='Torrance Inputs'!$D$20*12,SUMIF(_xlfn.ANCHORARRAY('Torrance Pro Forma'!$C$9),"&gt;120",'Torrance Pro Forma'!$C$53:$ED$53)/'Torrance Inputs'!$D$16,0)</f>
        <v>0</v>
      </c>
      <c r="BJ83" s="266">
        <f>IF(BJ$9='Torrance Inputs'!$D$20*12,SUMIF(_xlfn.ANCHORARRAY('Torrance Pro Forma'!$C$9),"&gt;120",'Torrance Pro Forma'!$C$53:$ED$53)/'Torrance Inputs'!$D$16,0)</f>
        <v>0</v>
      </c>
      <c r="BK83" s="266">
        <f>IF(BK$9='Torrance Inputs'!$D$20*12,SUMIF(_xlfn.ANCHORARRAY('Torrance Pro Forma'!$C$9),"&gt;120",'Torrance Pro Forma'!$C$53:$ED$53)/'Torrance Inputs'!$D$16,0)</f>
        <v>0</v>
      </c>
      <c r="BL83" s="266">
        <f>IF(BL$9='Torrance Inputs'!$D$20*12,SUMIF(_xlfn.ANCHORARRAY('Torrance Pro Forma'!$C$9),"&gt;120",'Torrance Pro Forma'!$C$53:$ED$53)/'Torrance Inputs'!$D$16,0)</f>
        <v>0</v>
      </c>
      <c r="BM83" s="266">
        <f>IF(BM$9='Torrance Inputs'!$D$20*12,SUMIF(_xlfn.ANCHORARRAY('Torrance Pro Forma'!$C$9),"&gt;120",'Torrance Pro Forma'!$C$53:$ED$53)/'Torrance Inputs'!$D$16,0)</f>
        <v>0</v>
      </c>
      <c r="BN83" s="266">
        <f>IF(BN$9='Torrance Inputs'!$D$20*12,SUMIF(_xlfn.ANCHORARRAY('Torrance Pro Forma'!$C$9),"&gt;120",'Torrance Pro Forma'!$C$53:$ED$53)/'Torrance Inputs'!$D$16,0)</f>
        <v>0</v>
      </c>
      <c r="BO83" s="266">
        <f>IF(BO$9='Torrance Inputs'!$D$20*12,SUMIF(_xlfn.ANCHORARRAY('Torrance Pro Forma'!$C$9),"&gt;120",'Torrance Pro Forma'!$C$53:$ED$53)/'Torrance Inputs'!$D$16,0)</f>
        <v>0</v>
      </c>
      <c r="BP83" s="266">
        <f>IF(BP$9='Torrance Inputs'!$D$20*12,SUMIF(_xlfn.ANCHORARRAY('Torrance Pro Forma'!$C$9),"&gt;120",'Torrance Pro Forma'!$C$53:$ED$53)/'Torrance Inputs'!$D$16,0)</f>
        <v>0</v>
      </c>
      <c r="BQ83" s="266">
        <f>IF(BQ$9='Torrance Inputs'!$D$20*12,SUMIF(_xlfn.ANCHORARRAY('Torrance Pro Forma'!$C$9),"&gt;120",'Torrance Pro Forma'!$C$53:$ED$53)/'Torrance Inputs'!$D$16,0)</f>
        <v>0</v>
      </c>
      <c r="BR83" s="266">
        <f>IF(BR$9='Torrance Inputs'!$D$20*12,SUMIF(_xlfn.ANCHORARRAY('Torrance Pro Forma'!$C$9),"&gt;120",'Torrance Pro Forma'!$C$53:$ED$53)/'Torrance Inputs'!$D$16,0)</f>
        <v>0</v>
      </c>
      <c r="BS83" s="266">
        <f>IF(BS$9='Torrance Inputs'!$D$20*12,SUMIF(_xlfn.ANCHORARRAY('Torrance Pro Forma'!$C$9),"&gt;120",'Torrance Pro Forma'!$C$53:$ED$53)/'Torrance Inputs'!$D$16,0)</f>
        <v>0</v>
      </c>
      <c r="BT83" s="266">
        <f>IF(BT$9='Torrance Inputs'!$D$20*12,SUMIF(_xlfn.ANCHORARRAY('Torrance Pro Forma'!$C$9),"&gt;120",'Torrance Pro Forma'!$C$53:$ED$53)/'Torrance Inputs'!$D$16,0)</f>
        <v>0</v>
      </c>
      <c r="BU83" s="266">
        <f>IF(BU$9='Torrance Inputs'!$D$20*12,SUMIF(_xlfn.ANCHORARRAY('Torrance Pro Forma'!$C$9),"&gt;120",'Torrance Pro Forma'!$C$53:$ED$53)/'Torrance Inputs'!$D$16,0)</f>
        <v>0</v>
      </c>
      <c r="BV83" s="266">
        <f>IF(BV$9='Torrance Inputs'!$D$20*12,SUMIF(_xlfn.ANCHORARRAY('Torrance Pro Forma'!$C$9),"&gt;120",'Torrance Pro Forma'!$C$53:$ED$53)/'Torrance Inputs'!$D$16,0)</f>
        <v>0</v>
      </c>
      <c r="BW83" s="266">
        <f>IF(BW$9='Torrance Inputs'!$D$20*12,SUMIF(_xlfn.ANCHORARRAY('Torrance Pro Forma'!$C$9),"&gt;120",'Torrance Pro Forma'!$C$53:$ED$53)/'Torrance Inputs'!$D$16,0)</f>
        <v>0</v>
      </c>
      <c r="BX83" s="266">
        <f>IF(BX$9='Torrance Inputs'!$D$20*12,SUMIF(_xlfn.ANCHORARRAY('Torrance Pro Forma'!$C$9),"&gt;120",'Torrance Pro Forma'!$C$53:$ED$53)/'Torrance Inputs'!$D$16,0)</f>
        <v>0</v>
      </c>
      <c r="BY83" s="266">
        <f>IF(BY$9='Torrance Inputs'!$D$20*12,SUMIF(_xlfn.ANCHORARRAY('Torrance Pro Forma'!$C$9),"&gt;120",'Torrance Pro Forma'!$C$53:$ED$53)/'Torrance Inputs'!$D$16,0)</f>
        <v>0</v>
      </c>
      <c r="BZ83" s="266">
        <f>IF(BZ$9='Torrance Inputs'!$D$20*12,SUMIF(_xlfn.ANCHORARRAY('Torrance Pro Forma'!$C$9),"&gt;120",'Torrance Pro Forma'!$C$53:$ED$53)/'Torrance Inputs'!$D$16,0)</f>
        <v>0</v>
      </c>
      <c r="CA83" s="266">
        <f>IF(CA$9='Torrance Inputs'!$D$20*12,SUMIF(_xlfn.ANCHORARRAY('Torrance Pro Forma'!$C$9),"&gt;120",'Torrance Pro Forma'!$C$53:$ED$53)/'Torrance Inputs'!$D$16,0)</f>
        <v>0</v>
      </c>
      <c r="CB83" s="266">
        <f>IF(CB$9='Torrance Inputs'!$D$20*12,SUMIF(_xlfn.ANCHORARRAY('Torrance Pro Forma'!$C$9),"&gt;120",'Torrance Pro Forma'!$C$53:$ED$53)/'Torrance Inputs'!$D$16,0)</f>
        <v>0</v>
      </c>
      <c r="CC83" s="266">
        <f>IF(CC$9='Torrance Inputs'!$D$20*12,SUMIF(_xlfn.ANCHORARRAY('Torrance Pro Forma'!$C$9),"&gt;120",'Torrance Pro Forma'!$C$53:$ED$53)/'Torrance Inputs'!$D$16,0)</f>
        <v>0</v>
      </c>
      <c r="CD83" s="266">
        <f>IF(CD$9='Torrance Inputs'!$D$20*12,SUMIF(_xlfn.ANCHORARRAY('Torrance Pro Forma'!$C$9),"&gt;120",'Torrance Pro Forma'!$C$53:$ED$53)/'Torrance Inputs'!$D$16,0)</f>
        <v>0</v>
      </c>
      <c r="CE83" s="266">
        <f>IF(CE$9='Torrance Inputs'!$D$20*12,SUMIF(_xlfn.ANCHORARRAY('Torrance Pro Forma'!$C$9),"&gt;120",'Torrance Pro Forma'!$C$53:$ED$53)/'Torrance Inputs'!$D$16,0)</f>
        <v>0</v>
      </c>
      <c r="CF83" s="266">
        <f>IF(CF$9='Torrance Inputs'!$D$20*12,SUMIF(_xlfn.ANCHORARRAY('Torrance Pro Forma'!$C$9),"&gt;120",'Torrance Pro Forma'!$C$53:$ED$53)/'Torrance Inputs'!$D$16,0)</f>
        <v>0</v>
      </c>
      <c r="CG83" s="266">
        <f>IF(CG$9='Torrance Inputs'!$D$20*12,SUMIF(_xlfn.ANCHORARRAY('Torrance Pro Forma'!$C$9),"&gt;120",'Torrance Pro Forma'!$C$53:$ED$53)/'Torrance Inputs'!$D$16,0)</f>
        <v>0</v>
      </c>
      <c r="CH83" s="266">
        <f>IF(CH$9='Torrance Inputs'!$D$20*12,SUMIF(_xlfn.ANCHORARRAY('Torrance Pro Forma'!$C$9),"&gt;120",'Torrance Pro Forma'!$C$53:$ED$53)/'Torrance Inputs'!$D$16,0)</f>
        <v>0</v>
      </c>
      <c r="CI83" s="266">
        <f>IF(CI$9='Torrance Inputs'!$D$20*12,SUMIF(_xlfn.ANCHORARRAY('Torrance Pro Forma'!$C$9),"&gt;120",'Torrance Pro Forma'!$C$53:$ED$53)/'Torrance Inputs'!$D$16,0)</f>
        <v>0</v>
      </c>
      <c r="CJ83" s="266">
        <f>IF(CJ$9='Torrance Inputs'!$D$20*12,SUMIF(_xlfn.ANCHORARRAY('Torrance Pro Forma'!$C$9),"&gt;120",'Torrance Pro Forma'!$C$53:$ED$53)/'Torrance Inputs'!$D$16,0)</f>
        <v>0</v>
      </c>
      <c r="CK83" s="266">
        <f>IF(CK$9='Torrance Inputs'!$D$20*12,SUMIF(_xlfn.ANCHORARRAY('Torrance Pro Forma'!$C$9),"&gt;120",'Torrance Pro Forma'!$C$53:$ED$53)/'Torrance Inputs'!$D$16,0)</f>
        <v>0</v>
      </c>
      <c r="CL83" s="266">
        <f>IF(CL$9='Torrance Inputs'!$D$20*12,SUMIF(_xlfn.ANCHORARRAY('Torrance Pro Forma'!$C$9),"&gt;120",'Torrance Pro Forma'!$C$53:$ED$53)/'Torrance Inputs'!$D$16,0)</f>
        <v>0</v>
      </c>
      <c r="CM83" s="266">
        <f>IF(CM$9='Torrance Inputs'!$D$20*12,SUMIF(_xlfn.ANCHORARRAY('Torrance Pro Forma'!$C$9),"&gt;120",'Torrance Pro Forma'!$C$53:$ED$53)/'Torrance Inputs'!$D$16,0)</f>
        <v>0</v>
      </c>
      <c r="CN83" s="266">
        <f>IF(CN$9='Torrance Inputs'!$D$20*12,SUMIF(_xlfn.ANCHORARRAY('Torrance Pro Forma'!$C$9),"&gt;120",'Torrance Pro Forma'!$C$53:$ED$53)/'Torrance Inputs'!$D$16,0)</f>
        <v>0</v>
      </c>
      <c r="CO83" s="266">
        <f>IF(CO$9='Torrance Inputs'!$D$20*12,SUMIF(_xlfn.ANCHORARRAY('Torrance Pro Forma'!$C$9),"&gt;120",'Torrance Pro Forma'!$C$53:$ED$53)/'Torrance Inputs'!$D$16,0)</f>
        <v>0</v>
      </c>
      <c r="CP83" s="266">
        <f>IF(CP$9='Torrance Inputs'!$D$20*12,SUMIF(_xlfn.ANCHORARRAY('Torrance Pro Forma'!$C$9),"&gt;120",'Torrance Pro Forma'!$C$53:$ED$53)/'Torrance Inputs'!$D$16,0)</f>
        <v>0</v>
      </c>
      <c r="CQ83" s="266">
        <f>IF(CQ$9='Torrance Inputs'!$D$20*12,SUMIF(_xlfn.ANCHORARRAY('Torrance Pro Forma'!$C$9),"&gt;120",'Torrance Pro Forma'!$C$53:$ED$53)/'Torrance Inputs'!$D$16,0)</f>
        <v>0</v>
      </c>
      <c r="CR83" s="266">
        <f>IF(CR$9='Torrance Inputs'!$D$20*12,SUMIF(_xlfn.ANCHORARRAY('Torrance Pro Forma'!$C$9),"&gt;120",'Torrance Pro Forma'!$C$53:$ED$53)/'Torrance Inputs'!$D$16,0)</f>
        <v>0</v>
      </c>
      <c r="CS83" s="266">
        <f>IF(CS$9='Torrance Inputs'!$D$20*12,SUMIF(_xlfn.ANCHORARRAY('Torrance Pro Forma'!$C$9),"&gt;120",'Torrance Pro Forma'!$C$53:$ED$53)/'Torrance Inputs'!$D$16,0)</f>
        <v>0</v>
      </c>
      <c r="CT83" s="266">
        <f>IF(CT$9='Torrance Inputs'!$D$20*12,SUMIF(_xlfn.ANCHORARRAY('Torrance Pro Forma'!$C$9),"&gt;120",'Torrance Pro Forma'!$C$53:$ED$53)/'Torrance Inputs'!$D$16,0)</f>
        <v>0</v>
      </c>
      <c r="CU83" s="266">
        <f>IF(CU$9='Torrance Inputs'!$D$20*12,SUMIF(_xlfn.ANCHORARRAY('Torrance Pro Forma'!$C$9),"&gt;120",'Torrance Pro Forma'!$C$53:$ED$53)/'Torrance Inputs'!$D$16,0)</f>
        <v>0</v>
      </c>
      <c r="CV83" s="266">
        <f>IF(CV$9='Torrance Inputs'!$D$20*12,SUMIF(_xlfn.ANCHORARRAY('Torrance Pro Forma'!$C$9),"&gt;120",'Torrance Pro Forma'!$C$53:$ED$53)/'Torrance Inputs'!$D$16,0)</f>
        <v>0</v>
      </c>
      <c r="CW83" s="266">
        <f>IF(CW$9='Torrance Inputs'!$D$20*12,SUMIF(_xlfn.ANCHORARRAY('Torrance Pro Forma'!$C$9),"&gt;120",'Torrance Pro Forma'!$C$53:$ED$53)/'Torrance Inputs'!$D$16,0)</f>
        <v>0</v>
      </c>
      <c r="CX83" s="266">
        <f>IF(CX$9='Torrance Inputs'!$D$20*12,SUMIF(_xlfn.ANCHORARRAY('Torrance Pro Forma'!$C$9),"&gt;120",'Torrance Pro Forma'!$C$53:$ED$53)/'Torrance Inputs'!$D$16,0)</f>
        <v>0</v>
      </c>
      <c r="CY83" s="266">
        <f>IF(CY$9='Torrance Inputs'!$D$20*12,SUMIF(_xlfn.ANCHORARRAY('Torrance Pro Forma'!$C$9),"&gt;120",'Torrance Pro Forma'!$C$53:$ED$53)/'Torrance Inputs'!$D$16,0)</f>
        <v>0</v>
      </c>
      <c r="CZ83" s="266">
        <f>IF(CZ$9='Torrance Inputs'!$D$20*12,SUMIF(_xlfn.ANCHORARRAY('Torrance Pro Forma'!$C$9),"&gt;120",'Torrance Pro Forma'!$C$53:$ED$53)/'Torrance Inputs'!$D$16,0)</f>
        <v>0</v>
      </c>
      <c r="DA83" s="266">
        <f>IF(DA$9='Torrance Inputs'!$D$20*12,SUMIF(_xlfn.ANCHORARRAY('Torrance Pro Forma'!$C$9),"&gt;120",'Torrance Pro Forma'!$C$53:$ED$53)/'Torrance Inputs'!$D$16,0)</f>
        <v>0</v>
      </c>
      <c r="DB83" s="266">
        <f>IF(DB$9='Torrance Inputs'!$D$20*12,SUMIF(_xlfn.ANCHORARRAY('Torrance Pro Forma'!$C$9),"&gt;120",'Torrance Pro Forma'!$C$53:$ED$53)/'Torrance Inputs'!$D$16,0)</f>
        <v>0</v>
      </c>
      <c r="DC83" s="266">
        <f>IF(DC$9='Torrance Inputs'!$D$20*12,SUMIF(_xlfn.ANCHORARRAY('Torrance Pro Forma'!$C$9),"&gt;120",'Torrance Pro Forma'!$C$53:$ED$53)/'Torrance Inputs'!$D$16,0)</f>
        <v>0</v>
      </c>
      <c r="DD83" s="266">
        <f>IF(DD$9='Torrance Inputs'!$D$20*12,SUMIF(_xlfn.ANCHORARRAY('Torrance Pro Forma'!$C$9),"&gt;120",'Torrance Pro Forma'!$C$53:$ED$53)/'Torrance Inputs'!$D$16,0)</f>
        <v>0</v>
      </c>
      <c r="DE83" s="266">
        <f>IF(DE$9='Torrance Inputs'!$D$20*12,SUMIF(_xlfn.ANCHORARRAY('Torrance Pro Forma'!$C$9),"&gt;120",'Torrance Pro Forma'!$C$53:$ED$53)/'Torrance Inputs'!$D$16,0)</f>
        <v>0</v>
      </c>
      <c r="DF83" s="266">
        <f>IF(DF$9='Torrance Inputs'!$D$20*12,SUMIF(_xlfn.ANCHORARRAY('Torrance Pro Forma'!$C$9),"&gt;120",'Torrance Pro Forma'!$C$53:$ED$53)/'Torrance Inputs'!$D$16,0)</f>
        <v>0</v>
      </c>
      <c r="DG83" s="266">
        <f>IF(DG$9='Torrance Inputs'!$D$20*12,SUMIF(_xlfn.ANCHORARRAY('Torrance Pro Forma'!$C$9),"&gt;120",'Torrance Pro Forma'!$C$53:$ED$53)/'Torrance Inputs'!$D$16,0)</f>
        <v>0</v>
      </c>
      <c r="DH83" s="266">
        <f>IF(DH$9='Torrance Inputs'!$D$20*12,SUMIF(_xlfn.ANCHORARRAY('Torrance Pro Forma'!$C$9),"&gt;120",'Torrance Pro Forma'!$C$53:$ED$53)/'Torrance Inputs'!$D$16,0)</f>
        <v>0</v>
      </c>
      <c r="DI83" s="266">
        <f>IF(DI$9='Torrance Inputs'!$D$20*12,SUMIF(_xlfn.ANCHORARRAY('Torrance Pro Forma'!$C$9),"&gt;120",'Torrance Pro Forma'!$C$53:$ED$53)/'Torrance Inputs'!$D$16,0)</f>
        <v>0</v>
      </c>
      <c r="DJ83" s="266">
        <f>IF(DJ$9='Torrance Inputs'!$D$20*12,SUMIF(_xlfn.ANCHORARRAY('Torrance Pro Forma'!$C$9),"&gt;120",'Torrance Pro Forma'!$C$53:$ED$53)/'Torrance Inputs'!$D$16,0)</f>
        <v>0</v>
      </c>
      <c r="DK83" s="266">
        <f>IF(DK$9='Torrance Inputs'!$D$20*12,SUMIF(_xlfn.ANCHORARRAY('Torrance Pro Forma'!$C$9),"&gt;120",'Torrance Pro Forma'!$C$53:$ED$53)/'Torrance Inputs'!$D$16,0)</f>
        <v>0</v>
      </c>
      <c r="DL83" s="266">
        <f>IF(DL$9='Torrance Inputs'!$D$20*12,SUMIF(_xlfn.ANCHORARRAY('Torrance Pro Forma'!$C$9),"&gt;120",'Torrance Pro Forma'!$C$53:$ED$53)/'Torrance Inputs'!$D$16,0)</f>
        <v>0</v>
      </c>
      <c r="DM83" s="266">
        <f>IF(DM$9='Torrance Inputs'!$D$20*12,SUMIF(_xlfn.ANCHORARRAY('Torrance Pro Forma'!$C$9),"&gt;120",'Torrance Pro Forma'!$C$53:$ED$53)/'Torrance Inputs'!$D$16,0)</f>
        <v>0</v>
      </c>
      <c r="DN83" s="266">
        <f>IF(DN$9='Torrance Inputs'!$D$20*12,SUMIF(_xlfn.ANCHORARRAY('Torrance Pro Forma'!$C$9),"&gt;120",'Torrance Pro Forma'!$C$53:$ED$53)/'Torrance Inputs'!$D$16,0)</f>
        <v>0</v>
      </c>
      <c r="DO83" s="266">
        <f>IF(DO$9='Torrance Inputs'!$D$20*12,SUMIF(_xlfn.ANCHORARRAY('Torrance Pro Forma'!$C$9),"&gt;120",'Torrance Pro Forma'!$C$53:$ED$53)/'Torrance Inputs'!$D$16,0)</f>
        <v>0</v>
      </c>
      <c r="DP83" s="266">
        <f>IF(DP$9='Torrance Inputs'!$D$20*12,SUMIF(_xlfn.ANCHORARRAY('Torrance Pro Forma'!$C$9),"&gt;120",'Torrance Pro Forma'!$C$53:$ED$53)/'Torrance Inputs'!$D$16,0)</f>
        <v>0</v>
      </c>
      <c r="DQ83" s="266">
        <f>IF(DQ$9='Torrance Inputs'!$D$20*12,SUMIF(_xlfn.ANCHORARRAY('Torrance Pro Forma'!$C$9),"&gt;120",'Torrance Pro Forma'!$C$53:$ED$53)/'Torrance Inputs'!$D$16,0)</f>
        <v>0</v>
      </c>
      <c r="DR83" s="266">
        <f>IF(DR$9='Torrance Inputs'!$D$20*12,SUMIF(_xlfn.ANCHORARRAY('Torrance Pro Forma'!$C$9),"&gt;120",'Torrance Pro Forma'!$C$53:$ED$53)/'Torrance Inputs'!$D$16,0)</f>
        <v>89665485.006413624</v>
      </c>
      <c r="DS83" s="266">
        <f>IF(DS$9='Torrance Inputs'!$D$20*12,SUMIF(_xlfn.ANCHORARRAY('Torrance Pro Forma'!$C$9),"&gt;120",'Torrance Pro Forma'!$C$53:$ED$53)/'Torrance Inputs'!$D$16,0)</f>
        <v>0</v>
      </c>
      <c r="DT83" s="266">
        <f>IF(DT$9='Torrance Inputs'!$D$20*12,SUMIF(_xlfn.ANCHORARRAY('Torrance Pro Forma'!$C$9),"&gt;120",'Torrance Pro Forma'!$C$53:$ED$53)/'Torrance Inputs'!$D$16,0)</f>
        <v>0</v>
      </c>
      <c r="DU83" s="266">
        <f>IF(DU$9='Torrance Inputs'!$D$20*12,SUMIF(_xlfn.ANCHORARRAY('Torrance Pro Forma'!$C$9),"&gt;120",'Torrance Pro Forma'!$C$53:$ED$53)/'Torrance Inputs'!$D$16,0)</f>
        <v>0</v>
      </c>
      <c r="DV83" s="266">
        <f>IF(DV$9='Torrance Inputs'!$D$20*12,SUMIF(_xlfn.ANCHORARRAY('Torrance Pro Forma'!$C$9),"&gt;120",'Torrance Pro Forma'!$C$53:$ED$53)/'Torrance Inputs'!$D$16,0)</f>
        <v>0</v>
      </c>
      <c r="DW83" s="266">
        <f>IF(DW$9='Torrance Inputs'!$D$20*12,SUMIF(_xlfn.ANCHORARRAY('Torrance Pro Forma'!$C$9),"&gt;120",'Torrance Pro Forma'!$C$53:$ED$53)/'Torrance Inputs'!$D$16,0)</f>
        <v>0</v>
      </c>
      <c r="DX83" s="266">
        <f>IF(DX$9='Torrance Inputs'!$D$20*12,SUMIF(_xlfn.ANCHORARRAY('Torrance Pro Forma'!$C$9),"&gt;120",'Torrance Pro Forma'!$C$53:$ED$53)/'Torrance Inputs'!$D$16,0)</f>
        <v>0</v>
      </c>
      <c r="DY83" s="266">
        <f>IF(DY$9='Torrance Inputs'!$D$20*12,SUMIF(_xlfn.ANCHORARRAY('Torrance Pro Forma'!$C$9),"&gt;120",'Torrance Pro Forma'!$C$53:$ED$53)/'Torrance Inputs'!$D$16,0)</f>
        <v>0</v>
      </c>
      <c r="DZ83" s="266">
        <f>IF(DZ$9='Torrance Inputs'!$D$20*12,SUMIF(_xlfn.ANCHORARRAY('Torrance Pro Forma'!$C$9),"&gt;120",'Torrance Pro Forma'!$C$53:$ED$53)/'Torrance Inputs'!$D$16,0)</f>
        <v>0</v>
      </c>
      <c r="EA83" s="266">
        <f>IF(EA$9='Torrance Inputs'!$D$20*12,SUMIF(_xlfn.ANCHORARRAY('Torrance Pro Forma'!$C$9),"&gt;120",'Torrance Pro Forma'!$C$53:$ED$53)/'Torrance Inputs'!$D$16,0)</f>
        <v>0</v>
      </c>
      <c r="EB83" s="266">
        <f>IF(EB$9='Torrance Inputs'!$D$20*12,SUMIF(_xlfn.ANCHORARRAY('Torrance Pro Forma'!$C$9),"&gt;120",'Torrance Pro Forma'!$C$53:$ED$53)/'Torrance Inputs'!$D$16,0)</f>
        <v>0</v>
      </c>
      <c r="EC83" s="266">
        <f>IF(EC$9='Torrance Inputs'!$D$20*12,SUMIF(_xlfn.ANCHORARRAY('Torrance Pro Forma'!$C$9),"&gt;120",'Torrance Pro Forma'!$C$53:$ED$53)/'Torrance Inputs'!$D$16,0)</f>
        <v>0</v>
      </c>
      <c r="ED83" s="266">
        <f>IF(ED$9='Torrance Inputs'!$D$20*12,SUMIF(_xlfn.ANCHORARRAY('Torrance Pro Forma'!$C$9),"&gt;120",'Torrance Pro Forma'!$C$53:$ED$53)/'Torrance Inputs'!$D$16,0)</f>
        <v>0</v>
      </c>
    </row>
    <row r="84" spans="1:134" ht="19.149999999999999" customHeight="1" x14ac:dyDescent="0.4">
      <c r="A84" s="265" t="s">
        <v>133</v>
      </c>
      <c r="B84" s="263"/>
      <c r="C84" s="263">
        <f>-C$83*'Torrance Inputs'!$D$17</f>
        <v>0</v>
      </c>
      <c r="D84" s="263">
        <f>-D$83*'Torrance Inputs'!$D$17</f>
        <v>0</v>
      </c>
      <c r="E84" s="263">
        <f>-E$83*'Torrance Inputs'!$D$17</f>
        <v>0</v>
      </c>
      <c r="F84" s="263">
        <f>-F$83*'Torrance Inputs'!$D$17</f>
        <v>0</v>
      </c>
      <c r="G84" s="263">
        <f>-G$83*'Torrance Inputs'!$D$17</f>
        <v>0</v>
      </c>
      <c r="H84" s="263">
        <f>-H$83*'Torrance Inputs'!$D$17</f>
        <v>0</v>
      </c>
      <c r="I84" s="263">
        <f>-I$83*'Torrance Inputs'!$D$17</f>
        <v>0</v>
      </c>
      <c r="J84" s="263">
        <f>-J$83*'Torrance Inputs'!$D$17</f>
        <v>0</v>
      </c>
      <c r="K84" s="263">
        <f>-K$83*'Torrance Inputs'!$D$17</f>
        <v>0</v>
      </c>
      <c r="L84" s="263">
        <f>-L$83*'Torrance Inputs'!$D$17</f>
        <v>0</v>
      </c>
      <c r="M84" s="263">
        <f>-M$83*'Torrance Inputs'!$D$17</f>
        <v>0</v>
      </c>
      <c r="N84" s="263">
        <f>-N$83*'Torrance Inputs'!$D$17</f>
        <v>0</v>
      </c>
      <c r="O84" s="263">
        <f>-O$83*'Torrance Inputs'!$D$17</f>
        <v>0</v>
      </c>
      <c r="P84" s="263">
        <f>-P$83*'Torrance Inputs'!$D$17</f>
        <v>0</v>
      </c>
      <c r="Q84" s="263">
        <f>-Q$83*'Torrance Inputs'!$D$17</f>
        <v>0</v>
      </c>
      <c r="R84" s="263">
        <f>-R$83*'Torrance Inputs'!$D$17</f>
        <v>0</v>
      </c>
      <c r="S84" s="263">
        <f>-S$83*'Torrance Inputs'!$D$17</f>
        <v>0</v>
      </c>
      <c r="T84" s="263">
        <f>-T$83*'Torrance Inputs'!$D$17</f>
        <v>0</v>
      </c>
      <c r="U84" s="263">
        <f>-U$83*'Torrance Inputs'!$D$17</f>
        <v>0</v>
      </c>
      <c r="V84" s="263">
        <f>-V$83*'Torrance Inputs'!$D$17</f>
        <v>0</v>
      </c>
      <c r="W84" s="263">
        <f>-W$83*'Torrance Inputs'!$D$17</f>
        <v>0</v>
      </c>
      <c r="X84" s="263">
        <f>-X$83*'Torrance Inputs'!$D$17</f>
        <v>0</v>
      </c>
      <c r="Y84" s="263">
        <f>-Y$83*'Torrance Inputs'!$D$17</f>
        <v>0</v>
      </c>
      <c r="Z84" s="263">
        <f>-Z$83*'Torrance Inputs'!$D$17</f>
        <v>0</v>
      </c>
      <c r="AA84" s="263">
        <f>-AA$83*'Torrance Inputs'!$D$17</f>
        <v>0</v>
      </c>
      <c r="AB84" s="263">
        <f>-AB$83*'Torrance Inputs'!$D$17</f>
        <v>0</v>
      </c>
      <c r="AC84" s="263">
        <f>-AC$83*'Torrance Inputs'!$D$17</f>
        <v>0</v>
      </c>
      <c r="AD84" s="263">
        <f>-AD$83*'Torrance Inputs'!$D$17</f>
        <v>0</v>
      </c>
      <c r="AE84" s="263">
        <f>-AE$83*'Torrance Inputs'!$D$17</f>
        <v>0</v>
      </c>
      <c r="AF84" s="263">
        <f>-AF$83*'Torrance Inputs'!$D$17</f>
        <v>0</v>
      </c>
      <c r="AG84" s="263">
        <f>-AG$83*'Torrance Inputs'!$D$17</f>
        <v>0</v>
      </c>
      <c r="AH84" s="263">
        <f>-AH$83*'Torrance Inputs'!$D$17</f>
        <v>0</v>
      </c>
      <c r="AI84" s="263">
        <f>-AI$83*'Torrance Inputs'!$D$17</f>
        <v>0</v>
      </c>
      <c r="AJ84" s="263">
        <f>-AJ$83*'Torrance Inputs'!$D$17</f>
        <v>0</v>
      </c>
      <c r="AK84" s="263">
        <f>-AK$83*'Torrance Inputs'!$D$17</f>
        <v>0</v>
      </c>
      <c r="AL84" s="263">
        <f>-AL$83*'Torrance Inputs'!$D$17</f>
        <v>0</v>
      </c>
      <c r="AM84" s="263">
        <f>-AM$83*'Torrance Inputs'!$D$17</f>
        <v>0</v>
      </c>
      <c r="AN84" s="263">
        <f>-AN$83*'Torrance Inputs'!$D$17</f>
        <v>0</v>
      </c>
      <c r="AO84" s="263">
        <f>-AO$83*'Torrance Inputs'!$D$17</f>
        <v>0</v>
      </c>
      <c r="AP84" s="263">
        <f>-AP$83*'Torrance Inputs'!$D$17</f>
        <v>0</v>
      </c>
      <c r="AQ84" s="263">
        <f>-AQ$83*'Torrance Inputs'!$D$17</f>
        <v>0</v>
      </c>
      <c r="AR84" s="263">
        <f>-AR$83*'Torrance Inputs'!$D$17</f>
        <v>0</v>
      </c>
      <c r="AS84" s="263">
        <f>-AS$83*'Torrance Inputs'!$D$17</f>
        <v>0</v>
      </c>
      <c r="AT84" s="263">
        <f>-AT$83*'Torrance Inputs'!$D$17</f>
        <v>0</v>
      </c>
      <c r="AU84" s="263">
        <f>-AU$83*'Torrance Inputs'!$D$17</f>
        <v>0</v>
      </c>
      <c r="AV84" s="263">
        <f>-AV$83*'Torrance Inputs'!$D$17</f>
        <v>0</v>
      </c>
      <c r="AW84" s="263">
        <f>-AW$83*'Torrance Inputs'!$D$17</f>
        <v>0</v>
      </c>
      <c r="AX84" s="263">
        <f>-AX$83*'Torrance Inputs'!$D$17</f>
        <v>0</v>
      </c>
      <c r="AY84" s="263">
        <f>-AY$83*'Torrance Inputs'!$D$17</f>
        <v>0</v>
      </c>
      <c r="AZ84" s="263">
        <f>-AZ$83*'Torrance Inputs'!$D$17</f>
        <v>0</v>
      </c>
      <c r="BA84" s="263">
        <f>-BA$83*'Torrance Inputs'!$D$17</f>
        <v>0</v>
      </c>
      <c r="BB84" s="263">
        <f>-BB$83*'Torrance Inputs'!$D$17</f>
        <v>0</v>
      </c>
      <c r="BC84" s="263">
        <f>-BC$83*'Torrance Inputs'!$D$17</f>
        <v>0</v>
      </c>
      <c r="BD84" s="263">
        <f>-BD$83*'Torrance Inputs'!$D$17</f>
        <v>0</v>
      </c>
      <c r="BE84" s="263">
        <f>-BE$83*'Torrance Inputs'!$D$17</f>
        <v>0</v>
      </c>
      <c r="BF84" s="263">
        <f>-BF$83*'Torrance Inputs'!$D$17</f>
        <v>0</v>
      </c>
      <c r="BG84" s="263">
        <f>-BG$83*'Torrance Inputs'!$D$17</f>
        <v>0</v>
      </c>
      <c r="BH84" s="263">
        <f>-BH$83*'Torrance Inputs'!$D$17</f>
        <v>0</v>
      </c>
      <c r="BI84" s="263">
        <f>-BI$83*'Torrance Inputs'!$D$17</f>
        <v>0</v>
      </c>
      <c r="BJ84" s="263">
        <f>-BJ$83*'Torrance Inputs'!$D$17</f>
        <v>0</v>
      </c>
      <c r="BK84" s="263">
        <f>-BK$83*'Torrance Inputs'!$D$17</f>
        <v>0</v>
      </c>
      <c r="BL84" s="263">
        <f>-BL$83*'Torrance Inputs'!$D$17</f>
        <v>0</v>
      </c>
      <c r="BM84" s="263">
        <f>-BM$83*'Torrance Inputs'!$D$17</f>
        <v>0</v>
      </c>
      <c r="BN84" s="263">
        <f>-BN$83*'Torrance Inputs'!$D$17</f>
        <v>0</v>
      </c>
      <c r="BO84" s="263">
        <f>-BO$83*'Torrance Inputs'!$D$17</f>
        <v>0</v>
      </c>
      <c r="BP84" s="263">
        <f>-BP$83*'Torrance Inputs'!$D$17</f>
        <v>0</v>
      </c>
      <c r="BQ84" s="263">
        <f>-BQ$83*'Torrance Inputs'!$D$17</f>
        <v>0</v>
      </c>
      <c r="BR84" s="263">
        <f>-BR$83*'Torrance Inputs'!$D$17</f>
        <v>0</v>
      </c>
      <c r="BS84" s="263">
        <f>-BS$83*'Torrance Inputs'!$D$17</f>
        <v>0</v>
      </c>
      <c r="BT84" s="263">
        <f>-BT$83*'Torrance Inputs'!$D$17</f>
        <v>0</v>
      </c>
      <c r="BU84" s="263">
        <f>-BU$83*'Torrance Inputs'!$D$17</f>
        <v>0</v>
      </c>
      <c r="BV84" s="263">
        <f>-BV$83*'Torrance Inputs'!$D$17</f>
        <v>0</v>
      </c>
      <c r="BW84" s="263">
        <f>-BW$83*'Torrance Inputs'!$D$17</f>
        <v>0</v>
      </c>
      <c r="BX84" s="263">
        <f>-BX$83*'Torrance Inputs'!$D$17</f>
        <v>0</v>
      </c>
      <c r="BY84" s="263">
        <f>-BY$83*'Torrance Inputs'!$D$17</f>
        <v>0</v>
      </c>
      <c r="BZ84" s="263">
        <f>-BZ$83*'Torrance Inputs'!$D$17</f>
        <v>0</v>
      </c>
      <c r="CA84" s="263">
        <f>-CA$83*'Torrance Inputs'!$D$17</f>
        <v>0</v>
      </c>
      <c r="CB84" s="263">
        <f>-CB$83*'Torrance Inputs'!$D$17</f>
        <v>0</v>
      </c>
      <c r="CC84" s="263">
        <f>-CC$83*'Torrance Inputs'!$D$17</f>
        <v>0</v>
      </c>
      <c r="CD84" s="263">
        <f>-CD$83*'Torrance Inputs'!$D$17</f>
        <v>0</v>
      </c>
      <c r="CE84" s="263">
        <f>-CE$83*'Torrance Inputs'!$D$17</f>
        <v>0</v>
      </c>
      <c r="CF84" s="263">
        <f>-CF$83*'Torrance Inputs'!$D$17</f>
        <v>0</v>
      </c>
      <c r="CG84" s="263">
        <f>-CG$83*'Torrance Inputs'!$D$17</f>
        <v>0</v>
      </c>
      <c r="CH84" s="263">
        <f>-CH$83*'Torrance Inputs'!$D$17</f>
        <v>0</v>
      </c>
      <c r="CI84" s="263">
        <f>-CI$83*'Torrance Inputs'!$D$17</f>
        <v>0</v>
      </c>
      <c r="CJ84" s="263">
        <f>-CJ$83*'Torrance Inputs'!$D$17</f>
        <v>0</v>
      </c>
      <c r="CK84" s="263">
        <f>-CK$83*'Torrance Inputs'!$D$17</f>
        <v>0</v>
      </c>
      <c r="CL84" s="263">
        <f>-CL$83*'Torrance Inputs'!$D$17</f>
        <v>0</v>
      </c>
      <c r="CM84" s="263">
        <f>-CM$83*'Torrance Inputs'!$D$17</f>
        <v>0</v>
      </c>
      <c r="CN84" s="263">
        <f>-CN$83*'Torrance Inputs'!$D$17</f>
        <v>0</v>
      </c>
      <c r="CO84" s="263">
        <f>-CO$83*'Torrance Inputs'!$D$17</f>
        <v>0</v>
      </c>
      <c r="CP84" s="263">
        <f>-CP$83*'Torrance Inputs'!$D$17</f>
        <v>0</v>
      </c>
      <c r="CQ84" s="263">
        <f>-CQ$83*'Torrance Inputs'!$D$17</f>
        <v>0</v>
      </c>
      <c r="CR84" s="263">
        <f>-CR$83*'Torrance Inputs'!$D$17</f>
        <v>0</v>
      </c>
      <c r="CS84" s="263">
        <f>-CS$83*'Torrance Inputs'!$D$17</f>
        <v>0</v>
      </c>
      <c r="CT84" s="263">
        <f>-CT$83*'Torrance Inputs'!$D$17</f>
        <v>0</v>
      </c>
      <c r="CU84" s="263">
        <f>-CU$83*'Torrance Inputs'!$D$17</f>
        <v>0</v>
      </c>
      <c r="CV84" s="263">
        <f>-CV$83*'Torrance Inputs'!$D$17</f>
        <v>0</v>
      </c>
      <c r="CW84" s="263">
        <f>-CW$83*'Torrance Inputs'!$D$17</f>
        <v>0</v>
      </c>
      <c r="CX84" s="263">
        <f>-CX$83*'Torrance Inputs'!$D$17</f>
        <v>0</v>
      </c>
      <c r="CY84" s="263">
        <f>-CY$83*'Torrance Inputs'!$D$17</f>
        <v>0</v>
      </c>
      <c r="CZ84" s="263">
        <f>-CZ$83*'Torrance Inputs'!$D$17</f>
        <v>0</v>
      </c>
      <c r="DA84" s="263">
        <f>-DA$83*'Torrance Inputs'!$D$17</f>
        <v>0</v>
      </c>
      <c r="DB84" s="263">
        <f>-DB$83*'Torrance Inputs'!$D$17</f>
        <v>0</v>
      </c>
      <c r="DC84" s="263">
        <f>-DC$83*'Torrance Inputs'!$D$17</f>
        <v>0</v>
      </c>
      <c r="DD84" s="263">
        <f>-DD$83*'Torrance Inputs'!$D$17</f>
        <v>0</v>
      </c>
      <c r="DE84" s="263">
        <f>-DE$83*'Torrance Inputs'!$D$17</f>
        <v>0</v>
      </c>
      <c r="DF84" s="263">
        <f>-DF$83*'Torrance Inputs'!$D$17</f>
        <v>0</v>
      </c>
      <c r="DG84" s="263">
        <f>-DG$83*'Torrance Inputs'!$D$17</f>
        <v>0</v>
      </c>
      <c r="DH84" s="263">
        <f>-DH$83*'Torrance Inputs'!$D$17</f>
        <v>0</v>
      </c>
      <c r="DI84" s="263">
        <f>-DI$83*'Torrance Inputs'!$D$17</f>
        <v>0</v>
      </c>
      <c r="DJ84" s="263">
        <f>-DJ$83*'Torrance Inputs'!$D$17</f>
        <v>0</v>
      </c>
      <c r="DK84" s="263">
        <f>-DK$83*'Torrance Inputs'!$D$17</f>
        <v>0</v>
      </c>
      <c r="DL84" s="263">
        <f>-DL$83*'Torrance Inputs'!$D$17</f>
        <v>0</v>
      </c>
      <c r="DM84" s="263">
        <f>-DM$83*'Torrance Inputs'!$D$17</f>
        <v>0</v>
      </c>
      <c r="DN84" s="263">
        <f>-DN$83*'Torrance Inputs'!$D$17</f>
        <v>0</v>
      </c>
      <c r="DO84" s="263">
        <f>-DO$83*'Torrance Inputs'!$D$17</f>
        <v>0</v>
      </c>
      <c r="DP84" s="263">
        <f>-DP$83*'Torrance Inputs'!$D$17</f>
        <v>0</v>
      </c>
      <c r="DQ84" s="263">
        <f>-DQ$83*'Torrance Inputs'!$D$17</f>
        <v>0</v>
      </c>
      <c r="DR84" s="263">
        <f>-DR$83*'Torrance Inputs'!$D$17</f>
        <v>-1793309.7001282724</v>
      </c>
      <c r="DS84" s="263">
        <f>-DS$83*'Torrance Inputs'!$D$17</f>
        <v>0</v>
      </c>
      <c r="DT84" s="263">
        <f>-DT$83*'Torrance Inputs'!$D$17</f>
        <v>0</v>
      </c>
      <c r="DU84" s="263">
        <f>-DU$83*'Torrance Inputs'!$D$17</f>
        <v>0</v>
      </c>
      <c r="DV84" s="263">
        <f>-DV$83*'Torrance Inputs'!$D$17</f>
        <v>0</v>
      </c>
      <c r="DW84" s="263">
        <f>-DW$83*'Torrance Inputs'!$D$17</f>
        <v>0</v>
      </c>
      <c r="DX84" s="263">
        <f>-DX$83*'Torrance Inputs'!$D$17</f>
        <v>0</v>
      </c>
      <c r="DY84" s="263">
        <f>-DY$83*'Torrance Inputs'!$D$17</f>
        <v>0</v>
      </c>
      <c r="DZ84" s="263">
        <f>-DZ$83*'Torrance Inputs'!$D$17</f>
        <v>0</v>
      </c>
      <c r="EA84" s="263">
        <f>-EA$83*'Torrance Inputs'!$D$17</f>
        <v>0</v>
      </c>
      <c r="EB84" s="263">
        <f>-EB$83*'Torrance Inputs'!$D$17</f>
        <v>0</v>
      </c>
      <c r="EC84" s="263">
        <f>-EC$83*'Torrance Inputs'!$D$17</f>
        <v>0</v>
      </c>
      <c r="ED84" s="263">
        <f>-ED$83*'Torrance Inputs'!$D$17</f>
        <v>0</v>
      </c>
    </row>
    <row r="85" spans="1:134" ht="19.149999999999999" customHeight="1" x14ac:dyDescent="0.4">
      <c r="A85" s="264" t="s">
        <v>177</v>
      </c>
      <c r="B85" s="263"/>
      <c r="C85" s="263">
        <f t="shared" ref="C85:AH85" si="92">SUM(C83:C84)</f>
        <v>0</v>
      </c>
      <c r="D85" s="263">
        <f t="shared" si="92"/>
        <v>0</v>
      </c>
      <c r="E85" s="263">
        <f t="shared" si="92"/>
        <v>0</v>
      </c>
      <c r="F85" s="263">
        <f t="shared" si="92"/>
        <v>0</v>
      </c>
      <c r="G85" s="263">
        <f t="shared" si="92"/>
        <v>0</v>
      </c>
      <c r="H85" s="263">
        <f t="shared" si="92"/>
        <v>0</v>
      </c>
      <c r="I85" s="263">
        <f t="shared" si="92"/>
        <v>0</v>
      </c>
      <c r="J85" s="263">
        <f t="shared" si="92"/>
        <v>0</v>
      </c>
      <c r="K85" s="263">
        <f t="shared" si="92"/>
        <v>0</v>
      </c>
      <c r="L85" s="263">
        <f t="shared" si="92"/>
        <v>0</v>
      </c>
      <c r="M85" s="263">
        <f t="shared" si="92"/>
        <v>0</v>
      </c>
      <c r="N85" s="263">
        <f t="shared" si="92"/>
        <v>0</v>
      </c>
      <c r="O85" s="263">
        <f t="shared" si="92"/>
        <v>0</v>
      </c>
      <c r="P85" s="263">
        <f t="shared" si="92"/>
        <v>0</v>
      </c>
      <c r="Q85" s="263">
        <f t="shared" si="92"/>
        <v>0</v>
      </c>
      <c r="R85" s="263">
        <f t="shared" si="92"/>
        <v>0</v>
      </c>
      <c r="S85" s="263">
        <f t="shared" si="92"/>
        <v>0</v>
      </c>
      <c r="T85" s="263">
        <f t="shared" si="92"/>
        <v>0</v>
      </c>
      <c r="U85" s="263">
        <f t="shared" si="92"/>
        <v>0</v>
      </c>
      <c r="V85" s="263">
        <f t="shared" si="92"/>
        <v>0</v>
      </c>
      <c r="W85" s="263">
        <f t="shared" si="92"/>
        <v>0</v>
      </c>
      <c r="X85" s="263">
        <f t="shared" si="92"/>
        <v>0</v>
      </c>
      <c r="Y85" s="263">
        <f t="shared" si="92"/>
        <v>0</v>
      </c>
      <c r="Z85" s="263">
        <f t="shared" si="92"/>
        <v>0</v>
      </c>
      <c r="AA85" s="263">
        <f t="shared" si="92"/>
        <v>0</v>
      </c>
      <c r="AB85" s="263">
        <f t="shared" si="92"/>
        <v>0</v>
      </c>
      <c r="AC85" s="263">
        <f t="shared" si="92"/>
        <v>0</v>
      </c>
      <c r="AD85" s="263">
        <f t="shared" si="92"/>
        <v>0</v>
      </c>
      <c r="AE85" s="263">
        <f t="shared" si="92"/>
        <v>0</v>
      </c>
      <c r="AF85" s="263">
        <f t="shared" si="92"/>
        <v>0</v>
      </c>
      <c r="AG85" s="263">
        <f t="shared" si="92"/>
        <v>0</v>
      </c>
      <c r="AH85" s="263">
        <f t="shared" si="92"/>
        <v>0</v>
      </c>
      <c r="AI85" s="263">
        <f t="shared" ref="AI85:BN85" si="93">SUM(AI83:AI84)</f>
        <v>0</v>
      </c>
      <c r="AJ85" s="263">
        <f t="shared" si="93"/>
        <v>0</v>
      </c>
      <c r="AK85" s="263">
        <f t="shared" si="93"/>
        <v>0</v>
      </c>
      <c r="AL85" s="263">
        <f t="shared" si="93"/>
        <v>0</v>
      </c>
      <c r="AM85" s="263">
        <f t="shared" si="93"/>
        <v>0</v>
      </c>
      <c r="AN85" s="263">
        <f t="shared" si="93"/>
        <v>0</v>
      </c>
      <c r="AO85" s="263">
        <f t="shared" si="93"/>
        <v>0</v>
      </c>
      <c r="AP85" s="263">
        <f t="shared" si="93"/>
        <v>0</v>
      </c>
      <c r="AQ85" s="263">
        <f t="shared" si="93"/>
        <v>0</v>
      </c>
      <c r="AR85" s="263">
        <f t="shared" si="93"/>
        <v>0</v>
      </c>
      <c r="AS85" s="263">
        <f t="shared" si="93"/>
        <v>0</v>
      </c>
      <c r="AT85" s="263">
        <f t="shared" si="93"/>
        <v>0</v>
      </c>
      <c r="AU85" s="263">
        <f t="shared" si="93"/>
        <v>0</v>
      </c>
      <c r="AV85" s="263">
        <f t="shared" si="93"/>
        <v>0</v>
      </c>
      <c r="AW85" s="263">
        <f t="shared" si="93"/>
        <v>0</v>
      </c>
      <c r="AX85" s="263">
        <f t="shared" si="93"/>
        <v>0</v>
      </c>
      <c r="AY85" s="263">
        <f t="shared" si="93"/>
        <v>0</v>
      </c>
      <c r="AZ85" s="263">
        <f t="shared" si="93"/>
        <v>0</v>
      </c>
      <c r="BA85" s="263">
        <f t="shared" si="93"/>
        <v>0</v>
      </c>
      <c r="BB85" s="263">
        <f t="shared" si="93"/>
        <v>0</v>
      </c>
      <c r="BC85" s="263">
        <f t="shared" si="93"/>
        <v>0</v>
      </c>
      <c r="BD85" s="263">
        <f t="shared" si="93"/>
        <v>0</v>
      </c>
      <c r="BE85" s="263">
        <f t="shared" si="93"/>
        <v>0</v>
      </c>
      <c r="BF85" s="263">
        <f t="shared" si="93"/>
        <v>0</v>
      </c>
      <c r="BG85" s="263">
        <f t="shared" si="93"/>
        <v>0</v>
      </c>
      <c r="BH85" s="263">
        <f t="shared" si="93"/>
        <v>0</v>
      </c>
      <c r="BI85" s="263">
        <f t="shared" si="93"/>
        <v>0</v>
      </c>
      <c r="BJ85" s="263">
        <f t="shared" si="93"/>
        <v>0</v>
      </c>
      <c r="BK85" s="263">
        <f t="shared" si="93"/>
        <v>0</v>
      </c>
      <c r="BL85" s="263">
        <f t="shared" si="93"/>
        <v>0</v>
      </c>
      <c r="BM85" s="263">
        <f t="shared" si="93"/>
        <v>0</v>
      </c>
      <c r="BN85" s="263">
        <f t="shared" si="93"/>
        <v>0</v>
      </c>
      <c r="BO85" s="263">
        <f t="shared" ref="BO85:CT85" si="94">SUM(BO83:BO84)</f>
        <v>0</v>
      </c>
      <c r="BP85" s="263">
        <f t="shared" si="94"/>
        <v>0</v>
      </c>
      <c r="BQ85" s="263">
        <f t="shared" si="94"/>
        <v>0</v>
      </c>
      <c r="BR85" s="263">
        <f t="shared" si="94"/>
        <v>0</v>
      </c>
      <c r="BS85" s="263">
        <f t="shared" si="94"/>
        <v>0</v>
      </c>
      <c r="BT85" s="263">
        <f t="shared" si="94"/>
        <v>0</v>
      </c>
      <c r="BU85" s="263">
        <f t="shared" si="94"/>
        <v>0</v>
      </c>
      <c r="BV85" s="263">
        <f t="shared" si="94"/>
        <v>0</v>
      </c>
      <c r="BW85" s="263">
        <f t="shared" si="94"/>
        <v>0</v>
      </c>
      <c r="BX85" s="263">
        <f t="shared" si="94"/>
        <v>0</v>
      </c>
      <c r="BY85" s="263">
        <f t="shared" si="94"/>
        <v>0</v>
      </c>
      <c r="BZ85" s="263">
        <f t="shared" si="94"/>
        <v>0</v>
      </c>
      <c r="CA85" s="263">
        <f t="shared" si="94"/>
        <v>0</v>
      </c>
      <c r="CB85" s="263">
        <f t="shared" si="94"/>
        <v>0</v>
      </c>
      <c r="CC85" s="263">
        <f t="shared" si="94"/>
        <v>0</v>
      </c>
      <c r="CD85" s="263">
        <f t="shared" si="94"/>
        <v>0</v>
      </c>
      <c r="CE85" s="263">
        <f t="shared" si="94"/>
        <v>0</v>
      </c>
      <c r="CF85" s="263">
        <f t="shared" si="94"/>
        <v>0</v>
      </c>
      <c r="CG85" s="263">
        <f t="shared" si="94"/>
        <v>0</v>
      </c>
      <c r="CH85" s="263">
        <f t="shared" si="94"/>
        <v>0</v>
      </c>
      <c r="CI85" s="263">
        <f t="shared" si="94"/>
        <v>0</v>
      </c>
      <c r="CJ85" s="263">
        <f t="shared" si="94"/>
        <v>0</v>
      </c>
      <c r="CK85" s="263">
        <f t="shared" si="94"/>
        <v>0</v>
      </c>
      <c r="CL85" s="263">
        <f t="shared" si="94"/>
        <v>0</v>
      </c>
      <c r="CM85" s="263">
        <f t="shared" si="94"/>
        <v>0</v>
      </c>
      <c r="CN85" s="263">
        <f t="shared" si="94"/>
        <v>0</v>
      </c>
      <c r="CO85" s="263">
        <f t="shared" si="94"/>
        <v>0</v>
      </c>
      <c r="CP85" s="263">
        <f t="shared" si="94"/>
        <v>0</v>
      </c>
      <c r="CQ85" s="263">
        <f t="shared" si="94"/>
        <v>0</v>
      </c>
      <c r="CR85" s="263">
        <f t="shared" si="94"/>
        <v>0</v>
      </c>
      <c r="CS85" s="263">
        <f t="shared" si="94"/>
        <v>0</v>
      </c>
      <c r="CT85" s="263">
        <f t="shared" si="94"/>
        <v>0</v>
      </c>
      <c r="CU85" s="263">
        <f t="shared" ref="CU85:DZ85" si="95">SUM(CU83:CU84)</f>
        <v>0</v>
      </c>
      <c r="CV85" s="263">
        <f t="shared" si="95"/>
        <v>0</v>
      </c>
      <c r="CW85" s="263">
        <f t="shared" si="95"/>
        <v>0</v>
      </c>
      <c r="CX85" s="263">
        <f t="shared" si="95"/>
        <v>0</v>
      </c>
      <c r="CY85" s="263">
        <f t="shared" si="95"/>
        <v>0</v>
      </c>
      <c r="CZ85" s="263">
        <f t="shared" si="95"/>
        <v>0</v>
      </c>
      <c r="DA85" s="263">
        <f t="shared" si="95"/>
        <v>0</v>
      </c>
      <c r="DB85" s="263">
        <f t="shared" si="95"/>
        <v>0</v>
      </c>
      <c r="DC85" s="263">
        <f t="shared" si="95"/>
        <v>0</v>
      </c>
      <c r="DD85" s="263">
        <f t="shared" si="95"/>
        <v>0</v>
      </c>
      <c r="DE85" s="263">
        <f t="shared" si="95"/>
        <v>0</v>
      </c>
      <c r="DF85" s="263">
        <f t="shared" si="95"/>
        <v>0</v>
      </c>
      <c r="DG85" s="263">
        <f t="shared" si="95"/>
        <v>0</v>
      </c>
      <c r="DH85" s="263">
        <f t="shared" si="95"/>
        <v>0</v>
      </c>
      <c r="DI85" s="263">
        <f t="shared" si="95"/>
        <v>0</v>
      </c>
      <c r="DJ85" s="263">
        <f t="shared" si="95"/>
        <v>0</v>
      </c>
      <c r="DK85" s="263">
        <f t="shared" si="95"/>
        <v>0</v>
      </c>
      <c r="DL85" s="263">
        <f t="shared" si="95"/>
        <v>0</v>
      </c>
      <c r="DM85" s="263">
        <f t="shared" si="95"/>
        <v>0</v>
      </c>
      <c r="DN85" s="263">
        <f t="shared" si="95"/>
        <v>0</v>
      </c>
      <c r="DO85" s="263">
        <f t="shared" si="95"/>
        <v>0</v>
      </c>
      <c r="DP85" s="263">
        <f t="shared" si="95"/>
        <v>0</v>
      </c>
      <c r="DQ85" s="263">
        <f t="shared" si="95"/>
        <v>0</v>
      </c>
      <c r="DR85" s="263">
        <f t="shared" si="95"/>
        <v>87872175.306285352</v>
      </c>
      <c r="DS85" s="263">
        <f t="shared" si="95"/>
        <v>0</v>
      </c>
      <c r="DT85" s="263">
        <f t="shared" si="95"/>
        <v>0</v>
      </c>
      <c r="DU85" s="263">
        <f t="shared" si="95"/>
        <v>0</v>
      </c>
      <c r="DV85" s="263">
        <f t="shared" si="95"/>
        <v>0</v>
      </c>
      <c r="DW85" s="263">
        <f t="shared" si="95"/>
        <v>0</v>
      </c>
      <c r="DX85" s="263">
        <f t="shared" si="95"/>
        <v>0</v>
      </c>
      <c r="DY85" s="263">
        <f t="shared" si="95"/>
        <v>0</v>
      </c>
      <c r="DZ85" s="263">
        <f t="shared" si="95"/>
        <v>0</v>
      </c>
      <c r="EA85" s="263">
        <f t="shared" ref="EA85:ED85" si="96">SUM(EA83:EA84)</f>
        <v>0</v>
      </c>
      <c r="EB85" s="263">
        <f t="shared" si="96"/>
        <v>0</v>
      </c>
      <c r="EC85" s="263">
        <f t="shared" si="96"/>
        <v>0</v>
      </c>
      <c r="ED85" s="263">
        <f t="shared" si="96"/>
        <v>0</v>
      </c>
    </row>
    <row r="87" spans="1:134" ht="19.149999999999999" customHeight="1" x14ac:dyDescent="0.4">
      <c r="A87" s="264" t="s">
        <v>176</v>
      </c>
      <c r="B87" s="263">
        <f>IF(B$9&lt;='Torrance Inputs'!$D$20*12,B75+B85+B80,0)</f>
        <v>-17201613.333333336</v>
      </c>
      <c r="C87" s="263">
        <f>IF(C$9&lt;='Torrance Inputs'!$D$20*12,C75+C85+C80,0)</f>
        <v>80013.388888888905</v>
      </c>
      <c r="D87" s="263">
        <f>IF(D$9&lt;='Torrance Inputs'!$D$20*12,D75+D85+D80,0)</f>
        <v>76699.038888888899</v>
      </c>
      <c r="E87" s="263">
        <f>IF(E$9&lt;='Torrance Inputs'!$D$20*12,E75+E85+E80,0)</f>
        <v>76699.038888888899</v>
      </c>
      <c r="F87" s="263">
        <f>IF(F$9&lt;='Torrance Inputs'!$D$20*12,F75+F85+F80,0)</f>
        <v>76699.038888888899</v>
      </c>
      <c r="G87" s="263">
        <f>IF(G$9&lt;='Torrance Inputs'!$D$20*12,G75+G85+G80,0)</f>
        <v>76699.038888888899</v>
      </c>
      <c r="H87" s="263">
        <f>IF(H$9&lt;='Torrance Inputs'!$D$20*12,H75+H85+H80,0)</f>
        <v>76699.038888888899</v>
      </c>
      <c r="I87" s="263">
        <f>IF(I$9&lt;='Torrance Inputs'!$D$20*12,I75+I85+I80,0)</f>
        <v>76699.038888888899</v>
      </c>
      <c r="J87" s="263">
        <f>IF(J$9&lt;='Torrance Inputs'!$D$20*12,J75+J85+J80,0)</f>
        <v>76699.038888888899</v>
      </c>
      <c r="K87" s="263">
        <f>IF(K$9&lt;='Torrance Inputs'!$D$20*12,K75+K85+K80,0)</f>
        <v>76699.038888888899</v>
      </c>
      <c r="L87" s="263">
        <f>IF(L$9&lt;='Torrance Inputs'!$D$20*12,L75+L85+L80,0)</f>
        <v>76699.038888888899</v>
      </c>
      <c r="M87" s="263">
        <f>IF(M$9&lt;='Torrance Inputs'!$D$20*12,M75+M85+M80,0)</f>
        <v>76699.038888888899</v>
      </c>
      <c r="N87" s="263">
        <f>IF(N$9&lt;='Torrance Inputs'!$D$20*12,N75+N85+N80,0)</f>
        <v>76699.038888888899</v>
      </c>
      <c r="O87" s="263">
        <f>IF(O$9&lt;='Torrance Inputs'!$D$20*12,O75+O85+O80,0)</f>
        <v>78195.76966666666</v>
      </c>
      <c r="P87" s="263">
        <f>IF(P$9&lt;='Torrance Inputs'!$D$20*12,P75+P85+P80,0)</f>
        <v>78195.76966666666</v>
      </c>
      <c r="Q87" s="263">
        <f>IF(Q$9&lt;='Torrance Inputs'!$D$20*12,Q75+Q85+Q80,0)</f>
        <v>78195.76966666666</v>
      </c>
      <c r="R87" s="263">
        <f>IF(R$9&lt;='Torrance Inputs'!$D$20*12,R75+R85+R80,0)</f>
        <v>78195.76966666666</v>
      </c>
      <c r="S87" s="263">
        <f>IF(S$9&lt;='Torrance Inputs'!$D$20*12,S75+S85+S80,0)</f>
        <v>78195.76966666666</v>
      </c>
      <c r="T87" s="263">
        <f>IF(T$9&lt;='Torrance Inputs'!$D$20*12,T75+T85+T80,0)</f>
        <v>78195.76966666666</v>
      </c>
      <c r="U87" s="263">
        <f>IF(U$9&lt;='Torrance Inputs'!$D$20*12,U75+U85+U80,0)</f>
        <v>78195.76966666666</v>
      </c>
      <c r="V87" s="263">
        <f>IF(V$9&lt;='Torrance Inputs'!$D$20*12,V75+V85+V80,0)</f>
        <v>78195.76966666666</v>
      </c>
      <c r="W87" s="263">
        <f>IF(W$9&lt;='Torrance Inputs'!$D$20*12,W75+W85+W80,0)</f>
        <v>78195.76966666666</v>
      </c>
      <c r="X87" s="263">
        <f>IF(X$9&lt;='Torrance Inputs'!$D$20*12,X75+X85+X80,0)</f>
        <v>78195.76966666666</v>
      </c>
      <c r="Y87" s="263">
        <f>IF(Y$9&lt;='Torrance Inputs'!$D$20*12,Y75+Y85+Y80,0)</f>
        <v>78195.76966666666</v>
      </c>
      <c r="Z87" s="263">
        <f>IF(Z$9&lt;='Torrance Inputs'!$D$20*12,Z75+Z85+Z80,0)</f>
        <v>78195.76966666666</v>
      </c>
      <c r="AA87" s="263">
        <f>IF(AA$9&lt;='Torrance Inputs'!$D$20*12,AA75+AA85+AA80,0)</f>
        <v>79722.045060000004</v>
      </c>
      <c r="AB87" s="263">
        <f>IF(AB$9&lt;='Torrance Inputs'!$D$20*12,AB75+AB85+AB80,0)</f>
        <v>79722.045060000004</v>
      </c>
      <c r="AC87" s="263">
        <f>IF(AC$9&lt;='Torrance Inputs'!$D$20*12,AC75+AC85+AC80,0)</f>
        <v>79722.045060000004</v>
      </c>
      <c r="AD87" s="263">
        <f>IF(AD$9&lt;='Torrance Inputs'!$D$20*12,AD75+AD85+AD80,0)</f>
        <v>79722.045060000004</v>
      </c>
      <c r="AE87" s="263">
        <f>IF(AE$9&lt;='Torrance Inputs'!$D$20*12,AE75+AE85+AE80,0)</f>
        <v>79722.045060000004</v>
      </c>
      <c r="AF87" s="263">
        <f>IF(AF$9&lt;='Torrance Inputs'!$D$20*12,AF75+AF85+AF80,0)</f>
        <v>79722.045060000004</v>
      </c>
      <c r="AG87" s="263">
        <f>IF(AG$9&lt;='Torrance Inputs'!$D$20*12,AG75+AG85+AG80,0)</f>
        <v>79722.045060000004</v>
      </c>
      <c r="AH87" s="263">
        <f>IF(AH$9&lt;='Torrance Inputs'!$D$20*12,AH75+AH85+AH80,0)</f>
        <v>79722.045060000004</v>
      </c>
      <c r="AI87" s="263">
        <f>IF(AI$9&lt;='Torrance Inputs'!$D$20*12,AI75+AI85+AI80,0)</f>
        <v>79722.045060000004</v>
      </c>
      <c r="AJ87" s="263">
        <f>IF(AJ$9&lt;='Torrance Inputs'!$D$20*12,AJ75+AJ85+AJ80,0)</f>
        <v>79722.045060000004</v>
      </c>
      <c r="AK87" s="263">
        <f>IF(AK$9&lt;='Torrance Inputs'!$D$20*12,AK75+AK85+AK80,0)</f>
        <v>79722.045060000004</v>
      </c>
      <c r="AL87" s="263">
        <f>IF(AL$9&lt;='Torrance Inputs'!$D$20*12,AL75+AL85+AL80,0)</f>
        <v>79722.045060000004</v>
      </c>
      <c r="AM87" s="263">
        <f>IF(AM$9&lt;='Torrance Inputs'!$D$20*12,AM75+AM85+AM80,0)</f>
        <v>-47054.889072133345</v>
      </c>
      <c r="AN87" s="263">
        <f>IF(AN$9&lt;='Torrance Inputs'!$D$20*12,AN75+AN85+AN80,0)</f>
        <v>-47054.889072133345</v>
      </c>
      <c r="AO87" s="263">
        <f>IF(AO$9&lt;='Torrance Inputs'!$D$20*12,AO75+AO85+AO80,0)</f>
        <v>-47054.889072133345</v>
      </c>
      <c r="AP87" s="263">
        <f>IF(AP$9&lt;='Torrance Inputs'!$D$20*12,AP75+AP85+AP80,0)</f>
        <v>-47054.889072133345</v>
      </c>
      <c r="AQ87" s="263">
        <f>IF(AQ$9&lt;='Torrance Inputs'!$D$20*12,AQ75+AQ85+AQ80,0)</f>
        <v>-47054.889072133345</v>
      </c>
      <c r="AR87" s="263">
        <f>IF(AR$9&lt;='Torrance Inputs'!$D$20*12,AR75+AR85+AR80,0)</f>
        <v>-47054.889072133345</v>
      </c>
      <c r="AS87" s="263">
        <f>IF(AS$9&lt;='Torrance Inputs'!$D$20*12,AS75+AS85+AS80,0)</f>
        <v>-47054.889072133345</v>
      </c>
      <c r="AT87" s="263">
        <f>IF(AT$9&lt;='Torrance Inputs'!$D$20*12,AT75+AT85+AT80,0)</f>
        <v>-47054.889072133345</v>
      </c>
      <c r="AU87" s="263">
        <f>IF(AU$9&lt;='Torrance Inputs'!$D$20*12,AU75+AU85+AU80,0)</f>
        <v>-47054.889072133345</v>
      </c>
      <c r="AV87" s="263">
        <f>IF(AV$9&lt;='Torrance Inputs'!$D$20*12,AV75+AV85+AV80,0)</f>
        <v>-47054.889072133345</v>
      </c>
      <c r="AW87" s="263">
        <f>IF(AW$9&lt;='Torrance Inputs'!$D$20*12,AW75+AW85+AW80,0)</f>
        <v>-47054.889072133345</v>
      </c>
      <c r="AX87" s="263">
        <f>IF(AX$9&lt;='Torrance Inputs'!$D$20*12,AX75+AX85+AX80,0)</f>
        <v>-47054.889072133345</v>
      </c>
      <c r="AY87" s="263">
        <f>IF(AY$9&lt;='Torrance Inputs'!$D$20*12,AY75+AY85+AY80,0)</f>
        <v>-154819.14181927999</v>
      </c>
      <c r="AZ87" s="263">
        <f>IF(AZ$9&lt;='Torrance Inputs'!$D$20*12,AZ75+AZ85+AZ80,0)</f>
        <v>-154819.14181927999</v>
      </c>
      <c r="BA87" s="263">
        <f>IF(BA$9&lt;='Torrance Inputs'!$D$20*12,BA75+BA85+BA80,0)</f>
        <v>-154819.14181927999</v>
      </c>
      <c r="BB87" s="263">
        <f>IF(BB$9&lt;='Torrance Inputs'!$D$20*12,BB75+BB85+BB80,0)</f>
        <v>-154819.14181927999</v>
      </c>
      <c r="BC87" s="263">
        <f>IF(BC$9&lt;='Torrance Inputs'!$D$20*12,BC75+BC85+BC80,0)</f>
        <v>-154819.14181927999</v>
      </c>
      <c r="BD87" s="263">
        <f>IF(BD$9&lt;='Torrance Inputs'!$D$20*12,BD75+BD85+BD80,0)</f>
        <v>-154819.14181927999</v>
      </c>
      <c r="BE87" s="263">
        <f>IF(BE$9&lt;='Torrance Inputs'!$D$20*12,BE75+BE85+BE80,0)</f>
        <v>-154819.14181927999</v>
      </c>
      <c r="BF87" s="263">
        <f>IF(BF$9&lt;='Torrance Inputs'!$D$20*12,BF75+BF85+BF80,0)</f>
        <v>-154819.14181927999</v>
      </c>
      <c r="BG87" s="263">
        <f>IF(BG$9&lt;='Torrance Inputs'!$D$20*12,BG75+BG85+BG80,0)</f>
        <v>-154819.14181927999</v>
      </c>
      <c r="BH87" s="263">
        <f>IF(BH$9&lt;='Torrance Inputs'!$D$20*12,BH75+BH85+BH80,0)</f>
        <v>-154819.14181927999</v>
      </c>
      <c r="BI87" s="263">
        <f>IF(BI$9&lt;='Torrance Inputs'!$D$20*12,BI75+BI85+BI80,0)</f>
        <v>-154819.14181927999</v>
      </c>
      <c r="BJ87" s="263">
        <f>IF(BJ$9&lt;='Torrance Inputs'!$D$20*12,BJ75+BJ85+BJ80,0)</f>
        <v>-472444.14181927999</v>
      </c>
      <c r="BK87" s="263">
        <f>IF(BK$9&lt;='Torrance Inputs'!$D$20*12,BK75+BK85+BK80,0)</f>
        <v>256246.98068528826</v>
      </c>
      <c r="BL87" s="263">
        <f>IF(BL$9&lt;='Torrance Inputs'!$D$20*12,BL75+BL85+BL80,0)</f>
        <v>-232794.68598137837</v>
      </c>
      <c r="BM87" s="263">
        <f>IF(BM$9&lt;='Torrance Inputs'!$D$20*12,BM75+BM85+BM80,0)</f>
        <v>84830.314018621633</v>
      </c>
      <c r="BN87" s="263">
        <f>IF(BN$9&lt;='Torrance Inputs'!$D$20*12,BN75+BN85+BN80,0)</f>
        <v>268163.64735195501</v>
      </c>
      <c r="BO87" s="263">
        <f>IF(BO$9&lt;='Torrance Inputs'!$D$20*12,BO75+BO85+BO80,0)</f>
        <v>268163.64735195501</v>
      </c>
      <c r="BP87" s="263">
        <f>IF(BP$9&lt;='Torrance Inputs'!$D$20*12,BP75+BP85+BP80,0)</f>
        <v>268163.64735195501</v>
      </c>
      <c r="BQ87" s="263">
        <f>IF(BQ$9&lt;='Torrance Inputs'!$D$20*12,BQ75+BQ85+BQ80,0)</f>
        <v>268163.64735195501</v>
      </c>
      <c r="BR87" s="263">
        <f>IF(BR$9&lt;='Torrance Inputs'!$D$20*12,BR75+BR85+BR80,0)</f>
        <v>268163.64735195501</v>
      </c>
      <c r="BS87" s="263">
        <f>IF(BS$9&lt;='Torrance Inputs'!$D$20*12,BS75+BS85+BS80,0)</f>
        <v>268163.64735195501</v>
      </c>
      <c r="BT87" s="263">
        <f>IF(BT$9&lt;='Torrance Inputs'!$D$20*12,BT75+BT85+BT80,0)</f>
        <v>268163.64735195501</v>
      </c>
      <c r="BU87" s="263">
        <f>IF(BU$9&lt;='Torrance Inputs'!$D$20*12,BU75+BU85+BU80,0)</f>
        <v>268163.64735195501</v>
      </c>
      <c r="BV87" s="263">
        <f>IF(BV$9&lt;='Torrance Inputs'!$D$20*12,BV75+BV85+BV80,0)</f>
        <v>268163.64735195501</v>
      </c>
      <c r="BW87" s="263">
        <f>IF(BW$9&lt;='Torrance Inputs'!$D$20*12,BW75+BW85+BW80,0)</f>
        <v>-1098919.2567822491</v>
      </c>
      <c r="BX87" s="263">
        <f>IF(BX$9&lt;='Torrance Inputs'!$D$20*12,BX75+BX85+BX80,0)</f>
        <v>-1682252.5901155823</v>
      </c>
      <c r="BY87" s="263">
        <f>IF(BY$9&lt;='Torrance Inputs'!$D$20*12,BY75+BY85+BY80,0)</f>
        <v>-1682252.5901155823</v>
      </c>
      <c r="BZ87" s="263">
        <f>IF(BZ$9&lt;='Torrance Inputs'!$D$20*12,BZ75+BZ85+BZ80,0)</f>
        <v>-1682252.5901155823</v>
      </c>
      <c r="CA87" s="263">
        <f>IF(CA$9&lt;='Torrance Inputs'!$D$20*12,CA75+CA85+CA80,0)</f>
        <v>-1682252.5901155823</v>
      </c>
      <c r="CB87" s="263">
        <f>IF(CB$9&lt;='Torrance Inputs'!$D$20*12,CB75+CB85+CB80,0)</f>
        <v>-1682252.5901155823</v>
      </c>
      <c r="CC87" s="263">
        <f>IF(CC$9&lt;='Torrance Inputs'!$D$20*12,CC75+CC85+CC80,0)</f>
        <v>-1682252.5901155823</v>
      </c>
      <c r="CD87" s="263">
        <f>IF(CD$9&lt;='Torrance Inputs'!$D$20*12,CD75+CD85+CD80,0)</f>
        <v>201080.74321775092</v>
      </c>
      <c r="CE87" s="263">
        <f>IF(CE$9&lt;='Torrance Inputs'!$D$20*12,CE75+CE85+CE80,0)</f>
        <v>201080.74321775092</v>
      </c>
      <c r="CF87" s="263">
        <f>IF(CF$9&lt;='Torrance Inputs'!$D$20*12,CF75+CF85+CF80,0)</f>
        <v>367747.4098844176</v>
      </c>
      <c r="CG87" s="263">
        <f>IF(CG$9&lt;='Torrance Inputs'!$D$20*12,CG75+CG85+CG80,0)</f>
        <v>367747.4098844176</v>
      </c>
      <c r="CH87" s="263">
        <f>IF(CH$9&lt;='Torrance Inputs'!$D$20*12,CH75+CH85+CH80,0)</f>
        <v>367747.4098844176</v>
      </c>
      <c r="CI87" s="263">
        <f>IF(CI$9&lt;='Torrance Inputs'!$D$20*12,CI75+CI85+CI80,0)</f>
        <v>409155.72888397373</v>
      </c>
      <c r="CJ87" s="263">
        <f>IF(CJ$9&lt;='Torrance Inputs'!$D$20*12,CJ75+CJ85+CJ80,0)</f>
        <v>409155.72888397373</v>
      </c>
      <c r="CK87" s="263">
        <f>IF(CK$9&lt;='Torrance Inputs'!$D$20*12,CK75+CK85+CK80,0)</f>
        <v>409155.72888397373</v>
      </c>
      <c r="CL87" s="263">
        <f>IF(CL$9&lt;='Torrance Inputs'!$D$20*12,CL75+CL85+CL80,0)</f>
        <v>409155.72888397373</v>
      </c>
      <c r="CM87" s="263">
        <f>IF(CM$9&lt;='Torrance Inputs'!$D$20*12,CM75+CM85+CM80,0)</f>
        <v>409155.72888397373</v>
      </c>
      <c r="CN87" s="263">
        <f>IF(CN$9&lt;='Torrance Inputs'!$D$20*12,CN75+CN85+CN80,0)</f>
        <v>409155.72888397373</v>
      </c>
      <c r="CO87" s="263">
        <f>IF(CO$9&lt;='Torrance Inputs'!$D$20*12,CO75+CO85+CO80,0)</f>
        <v>409155.72888397373</v>
      </c>
      <c r="CP87" s="263">
        <f>IF(CP$9&lt;='Torrance Inputs'!$D$20*12,CP75+CP85+CP80,0)</f>
        <v>409155.72888397373</v>
      </c>
      <c r="CQ87" s="263">
        <f>IF(CQ$9&lt;='Torrance Inputs'!$D$20*12,CQ75+CQ85+CQ80,0)</f>
        <v>409155.72888397373</v>
      </c>
      <c r="CR87" s="263">
        <f>IF(CR$9&lt;='Torrance Inputs'!$D$20*12,CR75+CR85+CR80,0)</f>
        <v>409155.72888397373</v>
      </c>
      <c r="CS87" s="263">
        <f>IF(CS$9&lt;='Torrance Inputs'!$D$20*12,CS75+CS85+CS80,0)</f>
        <v>409155.72888397373</v>
      </c>
      <c r="CT87" s="263">
        <f>IF(CT$9&lt;='Torrance Inputs'!$D$20*12,CT75+CT85+CT80,0)</f>
        <v>409155.72888397373</v>
      </c>
      <c r="CU87" s="263">
        <f>IF(CU$9&lt;='Torrance Inputs'!$D$20*12,CU75+CU85+CU80,0)</f>
        <v>417391.74858312553</v>
      </c>
      <c r="CV87" s="263">
        <f>IF(CV$9&lt;='Torrance Inputs'!$D$20*12,CV75+CV85+CV80,0)</f>
        <v>417391.74858312553</v>
      </c>
      <c r="CW87" s="263">
        <f>IF(CW$9&lt;='Torrance Inputs'!$D$20*12,CW75+CW85+CW80,0)</f>
        <v>417391.74858312553</v>
      </c>
      <c r="CX87" s="263">
        <f>IF(CX$9&lt;='Torrance Inputs'!$D$20*12,CX75+CX85+CX80,0)</f>
        <v>417391.74858312553</v>
      </c>
      <c r="CY87" s="263">
        <f>IF(CY$9&lt;='Torrance Inputs'!$D$20*12,CY75+CY85+CY80,0)</f>
        <v>417391.74858312553</v>
      </c>
      <c r="CZ87" s="263">
        <f>IF(CZ$9&lt;='Torrance Inputs'!$D$20*12,CZ75+CZ85+CZ80,0)</f>
        <v>417391.74858312553</v>
      </c>
      <c r="DA87" s="263">
        <f>IF(DA$9&lt;='Torrance Inputs'!$D$20*12,DA75+DA85+DA80,0)</f>
        <v>417391.74858312553</v>
      </c>
      <c r="DB87" s="263">
        <f>IF(DB$9&lt;='Torrance Inputs'!$D$20*12,DB75+DB85+DB80,0)</f>
        <v>417391.74858312553</v>
      </c>
      <c r="DC87" s="263">
        <f>IF(DC$9&lt;='Torrance Inputs'!$D$20*12,DC75+DC85+DC80,0)</f>
        <v>417391.74858312553</v>
      </c>
      <c r="DD87" s="263">
        <f>IF(DD$9&lt;='Torrance Inputs'!$D$20*12,DD75+DD85+DD80,0)</f>
        <v>417391.74858312553</v>
      </c>
      <c r="DE87" s="263">
        <f>IF(DE$9&lt;='Torrance Inputs'!$D$20*12,DE75+DE85+DE80,0)</f>
        <v>417391.74858312553</v>
      </c>
      <c r="DF87" s="263">
        <f>IF(DF$9&lt;='Torrance Inputs'!$D$20*12,DF75+DF85+DF80,0)</f>
        <v>417391.74858312553</v>
      </c>
      <c r="DG87" s="263">
        <f>IF(DG$9&lt;='Torrance Inputs'!$D$20*12,DG75+DG85+DG80,0)</f>
        <v>425792.00902545272</v>
      </c>
      <c r="DH87" s="263">
        <f>IF(DH$9&lt;='Torrance Inputs'!$D$20*12,DH75+DH85+DH80,0)</f>
        <v>425792.00902545272</v>
      </c>
      <c r="DI87" s="263">
        <f>IF(DI$9&lt;='Torrance Inputs'!$D$20*12,DI75+DI85+DI80,0)</f>
        <v>425792.00902545272</v>
      </c>
      <c r="DJ87" s="263">
        <f>IF(DJ$9&lt;='Torrance Inputs'!$D$20*12,DJ75+DJ85+DJ80,0)</f>
        <v>425792.00902545272</v>
      </c>
      <c r="DK87" s="263">
        <f>IF(DK$9&lt;='Torrance Inputs'!$D$20*12,DK75+DK85+DK80,0)</f>
        <v>425792.00902545272</v>
      </c>
      <c r="DL87" s="263">
        <f>IF(DL$9&lt;='Torrance Inputs'!$D$20*12,DL75+DL85+DL80,0)</f>
        <v>425792.00902545272</v>
      </c>
      <c r="DM87" s="263">
        <f>IF(DM$9&lt;='Torrance Inputs'!$D$20*12,DM75+DM85+DM80,0)</f>
        <v>425792.00902545272</v>
      </c>
      <c r="DN87" s="263">
        <f>IF(DN$9&lt;='Torrance Inputs'!$D$20*12,DN75+DN85+DN80,0)</f>
        <v>425792.00902545272</v>
      </c>
      <c r="DO87" s="263">
        <f>IF(DO$9&lt;='Torrance Inputs'!$D$20*12,DO75+DO85+DO80,0)</f>
        <v>425792.00902545272</v>
      </c>
      <c r="DP87" s="263">
        <f>IF(DP$9&lt;='Torrance Inputs'!$D$20*12,DP75+DP85+DP80,0)</f>
        <v>425792.00902545272</v>
      </c>
      <c r="DQ87" s="263">
        <f>IF(DQ$9&lt;='Torrance Inputs'!$D$20*12,DQ75+DQ85+DQ80,0)</f>
        <v>425792.00902545272</v>
      </c>
      <c r="DR87" s="263">
        <f>IF(DR$9&lt;='Torrance Inputs'!$D$20*12,DR75+DR85+DR80,0)</f>
        <v>88297967.315310806</v>
      </c>
      <c r="DS87" s="263">
        <f>IF(DS$9&lt;='Torrance Inputs'!$D$20*12,DS75+DS85+DS80,0)</f>
        <v>0</v>
      </c>
      <c r="DT87" s="263">
        <f>IF(DT$9&lt;='Torrance Inputs'!$D$20*12,DT75+DT85+DT80,0)</f>
        <v>0</v>
      </c>
      <c r="DU87" s="263">
        <f>IF(DU$9&lt;='Torrance Inputs'!$D$20*12,DU75+DU85+DU80,0)</f>
        <v>0</v>
      </c>
      <c r="DV87" s="263">
        <f>IF(DV$9&lt;='Torrance Inputs'!$D$20*12,DV75+DV85+DV80,0)</f>
        <v>0</v>
      </c>
      <c r="DW87" s="263">
        <f>IF(DW$9&lt;='Torrance Inputs'!$D$20*12,DW75+DW85+DW80,0)</f>
        <v>0</v>
      </c>
      <c r="DX87" s="263">
        <f>IF(DX$9&lt;='Torrance Inputs'!$D$20*12,DX75+DX85+DX80,0)</f>
        <v>0</v>
      </c>
      <c r="DY87" s="263">
        <f>IF(DY$9&lt;='Torrance Inputs'!$D$20*12,DY75+DY85+DY80,0)</f>
        <v>0</v>
      </c>
      <c r="DZ87" s="263">
        <f>IF(DZ$9&lt;='Torrance Inputs'!$D$20*12,DZ75+DZ85+DZ80,0)</f>
        <v>0</v>
      </c>
      <c r="EA87" s="263">
        <f>IF(EA$9&lt;='Torrance Inputs'!$D$20*12,EA75+EA85+EA80,0)</f>
        <v>0</v>
      </c>
      <c r="EB87" s="263">
        <f>IF(EB$9&lt;='Torrance Inputs'!$D$20*12,EB75+EB85+EB80,0)</f>
        <v>0</v>
      </c>
      <c r="EC87" s="263">
        <f>IF(EC$9&lt;='Torrance Inputs'!$D$20*12,EC75+EC85+EC80,0)</f>
        <v>0</v>
      </c>
      <c r="ED87" s="263">
        <f>IF(ED$9&lt;='Torrance Inputs'!$D$20*12,ED75+ED85+ED80,0)</f>
        <v>0</v>
      </c>
    </row>
    <row r="89" spans="1:134" ht="19.149999999999999" customHeight="1" x14ac:dyDescent="0.45">
      <c r="A89" s="259" t="s">
        <v>175</v>
      </c>
      <c r="B89" s="262">
        <f>XIRR(B87:ED87,B10:ED10)</f>
        <v>0.17199614644050598</v>
      </c>
      <c r="C89" s="261"/>
    </row>
    <row r="90" spans="1:134" ht="19.149999999999999" customHeight="1" x14ac:dyDescent="0.45">
      <c r="A90" s="259" t="s">
        <v>174</v>
      </c>
      <c r="B90" s="260">
        <f>SUMIF(B87:ED87,"&gt;0")/-SUMIF(B87:ED87,"&lt;0")</f>
        <v>3.5062031176112187</v>
      </c>
    </row>
  </sheetData>
  <pageMargins left="0.15999999642372131" right="0.15999999642372131" top="0.40000000596046448" bottom="0.31999999284744263" header="0.3" footer="0.3"/>
  <pageSetup orientation="landscape" errors="blank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F96FB-4570-469E-A75B-70C78540CC13}">
  <sheetPr>
    <tabColor rgb="FFFFC000"/>
  </sheetPr>
  <dimension ref="B2:AG48"/>
  <sheetViews>
    <sheetView zoomScale="60" workbookViewId="0">
      <selection activeCell="B48" sqref="B48"/>
    </sheetView>
    <sheetView tabSelected="1" topLeftCell="A11" zoomScale="55" workbookViewId="1"/>
  </sheetViews>
  <sheetFormatPr defaultColWidth="9" defaultRowHeight="16.5" x14ac:dyDescent="0.6"/>
  <cols>
    <col min="1" max="1" width="9" style="60"/>
    <col min="2" max="2" width="23.796875" style="60" bestFit="1" customWidth="1"/>
    <col min="3" max="3" width="18.265625" customWidth="1"/>
    <col min="4" max="4" width="14.796875" style="63" customWidth="1"/>
    <col min="5" max="5" width="9" style="60"/>
    <col min="6" max="6" width="27.86328125" style="60" bestFit="1" customWidth="1"/>
    <col min="7" max="7" width="10.19921875" style="62" customWidth="1"/>
    <col min="8" max="8" width="18.3984375" style="60" customWidth="1"/>
    <col min="9" max="9" width="18.6640625" style="61" customWidth="1"/>
    <col min="10" max="10" width="5.3984375" style="60" customWidth="1"/>
    <col min="11" max="11" width="22.86328125" style="60" bestFit="1" customWidth="1"/>
    <col min="12" max="12" width="15.59765625" style="60" customWidth="1"/>
    <col min="13" max="13" width="14.265625" style="60" customWidth="1"/>
    <col min="14" max="14" width="16" style="60" bestFit="1" customWidth="1"/>
    <col min="15" max="15" width="11.265625" style="60" customWidth="1"/>
    <col min="16" max="16" width="23.9296875" style="60" bestFit="1" customWidth="1"/>
    <col min="17" max="17" width="12" style="60" customWidth="1"/>
    <col min="18" max="18" width="17.46484375" style="60" bestFit="1" customWidth="1"/>
    <col min="19" max="19" width="14.796875" style="60" bestFit="1" customWidth="1"/>
    <col min="20" max="20" width="14.6640625" style="60" bestFit="1" customWidth="1"/>
    <col min="21" max="22" width="9" style="60"/>
    <col min="23" max="23" width="10.06640625" style="60" bestFit="1" customWidth="1"/>
    <col min="24" max="24" width="17.46484375" style="60" customWidth="1"/>
    <col min="25" max="16384" width="9" style="60"/>
  </cols>
  <sheetData>
    <row r="2" spans="2:33" x14ac:dyDescent="0.6">
      <c r="B2" s="127" t="s">
        <v>173</v>
      </c>
      <c r="C2" s="258"/>
      <c r="D2" s="257"/>
      <c r="F2" s="79" t="s">
        <v>172</v>
      </c>
      <c r="G2" s="256"/>
      <c r="H2" s="255" t="s">
        <v>171</v>
      </c>
      <c r="I2" s="47" t="s">
        <v>110</v>
      </c>
      <c r="J2" s="18"/>
      <c r="K2" s="254" t="s">
        <v>170</v>
      </c>
      <c r="L2" s="253" t="s">
        <v>44</v>
      </c>
      <c r="M2" s="253" t="s">
        <v>167</v>
      </c>
      <c r="N2" s="47" t="s">
        <v>169</v>
      </c>
      <c r="O2" s="18"/>
      <c r="P2" s="252" t="s">
        <v>168</v>
      </c>
      <c r="Q2" s="252" t="s">
        <v>167</v>
      </c>
      <c r="V2" s="60" t="s">
        <v>166</v>
      </c>
    </row>
    <row r="3" spans="2:33" x14ac:dyDescent="0.6">
      <c r="B3" s="251" t="s">
        <v>165</v>
      </c>
      <c r="C3" s="250"/>
      <c r="D3" s="249" t="s">
        <v>164</v>
      </c>
      <c r="F3" s="97" t="s">
        <v>82</v>
      </c>
      <c r="G3" s="101">
        <f>$H3/$D$9</f>
        <v>2.4663559452792569E-2</v>
      </c>
      <c r="H3" s="65">
        <f>I3*12</f>
        <v>15000</v>
      </c>
      <c r="I3" s="248">
        <f>K3/12</f>
        <v>1250</v>
      </c>
      <c r="J3" s="65"/>
      <c r="K3" s="232">
        <v>15000</v>
      </c>
      <c r="L3" s="229">
        <v>0.25</v>
      </c>
      <c r="M3" s="229">
        <v>1</v>
      </c>
      <c r="N3" s="244">
        <v>0.03</v>
      </c>
      <c r="O3" s="243"/>
      <c r="P3" s="242"/>
      <c r="Q3" s="229">
        <v>1</v>
      </c>
    </row>
    <row r="4" spans="2:33" ht="14.25" customHeight="1" x14ac:dyDescent="0.6">
      <c r="B4" s="180" t="s">
        <v>163</v>
      </c>
      <c r="D4" s="230" t="s">
        <v>162</v>
      </c>
      <c r="F4" s="97" t="s">
        <v>79</v>
      </c>
      <c r="G4" s="101">
        <f>$H4/$D$9</f>
        <v>2.4663559452792569E-2</v>
      </c>
      <c r="H4" s="65">
        <f>I4*12</f>
        <v>15000</v>
      </c>
      <c r="I4" s="233">
        <f>K4/12</f>
        <v>1250</v>
      </c>
      <c r="J4" s="65"/>
      <c r="K4" s="232">
        <v>15000</v>
      </c>
      <c r="L4" s="229">
        <v>0.25</v>
      </c>
      <c r="M4" s="229">
        <v>1</v>
      </c>
      <c r="N4" s="244">
        <v>0.03</v>
      </c>
      <c r="O4" s="243"/>
      <c r="P4" s="242"/>
      <c r="Q4" s="229">
        <v>1</v>
      </c>
      <c r="W4" s="247" t="s">
        <v>161</v>
      </c>
      <c r="X4" s="246" t="s">
        <v>160</v>
      </c>
      <c r="Y4" s="245"/>
      <c r="Z4" s="245"/>
      <c r="AA4" s="245"/>
      <c r="AB4" s="245"/>
      <c r="AC4" s="245"/>
      <c r="AD4" s="245"/>
      <c r="AE4" s="245"/>
      <c r="AF4" s="245"/>
      <c r="AG4" s="245"/>
    </row>
    <row r="5" spans="2:33" x14ac:dyDescent="0.6">
      <c r="B5" s="180" t="s">
        <v>159</v>
      </c>
      <c r="D5" s="230">
        <v>2013</v>
      </c>
      <c r="F5" s="97" t="s">
        <v>76</v>
      </c>
      <c r="G5" s="101">
        <f>$H5/$D$9</f>
        <v>8.2211864842641896E-3</v>
      </c>
      <c r="H5" s="65">
        <f>I5*12</f>
        <v>5000</v>
      </c>
      <c r="I5" s="233">
        <f>K5/12</f>
        <v>416.66666666666669</v>
      </c>
      <c r="J5" s="65"/>
      <c r="K5" s="232">
        <v>5000</v>
      </c>
      <c r="L5" s="229">
        <v>1</v>
      </c>
      <c r="M5" s="229">
        <v>1</v>
      </c>
      <c r="N5" s="244">
        <v>0.03</v>
      </c>
      <c r="O5" s="243"/>
      <c r="P5" s="242"/>
      <c r="Q5" s="229">
        <v>1</v>
      </c>
      <c r="W5" s="241" cm="1">
        <f t="array" ref="W5:W14">_xlfn.SEQUENCE(10,1,1,1)</f>
        <v>1</v>
      </c>
      <c r="X5" s="240">
        <f t="shared" ref="X5:X14" si="0">IFERROR(DATEDIF(EDATE(analysis_start,$W5*12),$N$39,"m")*$M$41,0)</f>
        <v>5500000</v>
      </c>
    </row>
    <row r="6" spans="2:33" ht="14.25" customHeight="1" x14ac:dyDescent="0.6">
      <c r="B6" s="180" t="s">
        <v>158</v>
      </c>
      <c r="D6" s="230" t="s">
        <v>157</v>
      </c>
      <c r="F6" s="97" t="s">
        <v>101</v>
      </c>
      <c r="G6" s="101">
        <f>$H6/$D$9</f>
        <v>0.31746824111814803</v>
      </c>
      <c r="H6" s="65">
        <f>K6*D11</f>
        <v>193079.33333333334</v>
      </c>
      <c r="I6" s="233">
        <f>H6/12</f>
        <v>16089.944444444445</v>
      </c>
      <c r="J6" s="65"/>
      <c r="K6" s="239">
        <v>1.0999999999999999E-2</v>
      </c>
      <c r="L6" s="229">
        <v>1</v>
      </c>
      <c r="M6" s="229">
        <v>1</v>
      </c>
      <c r="N6" s="238">
        <v>0.02</v>
      </c>
      <c r="O6" s="237"/>
      <c r="P6" s="236"/>
      <c r="Q6" s="235">
        <v>0</v>
      </c>
      <c r="W6" s="209">
        <v>2</v>
      </c>
      <c r="X6" s="208">
        <f t="shared" si="0"/>
        <v>4400000</v>
      </c>
    </row>
    <row r="7" spans="2:33" x14ac:dyDescent="0.6">
      <c r="B7" s="180" t="s">
        <v>156</v>
      </c>
      <c r="D7" s="230" t="s">
        <v>155</v>
      </c>
      <c r="F7" s="73" t="s">
        <v>154</v>
      </c>
      <c r="G7" s="234"/>
      <c r="H7" s="65">
        <f>I7*12</f>
        <v>100000</v>
      </c>
      <c r="I7" s="233">
        <f>K7/12</f>
        <v>8333.3333333333339</v>
      </c>
      <c r="J7" s="65"/>
      <c r="K7" s="232">
        <v>100000</v>
      </c>
      <c r="L7" s="222"/>
      <c r="M7" s="229"/>
      <c r="N7" s="231"/>
      <c r="O7" s="215"/>
      <c r="W7" s="209">
        <v>3</v>
      </c>
      <c r="X7" s="208">
        <f t="shared" si="0"/>
        <v>3300000</v>
      </c>
    </row>
    <row r="8" spans="2:33" x14ac:dyDescent="0.6">
      <c r="B8" s="180" t="s">
        <v>153</v>
      </c>
      <c r="D8" s="230" t="s">
        <v>152</v>
      </c>
      <c r="F8" s="97" t="s">
        <v>151</v>
      </c>
      <c r="I8" s="224"/>
      <c r="J8" s="65"/>
      <c r="K8" s="222" t="s">
        <v>150</v>
      </c>
      <c r="L8" s="222"/>
      <c r="M8" s="229">
        <v>0</v>
      </c>
      <c r="N8" s="221"/>
      <c r="O8" s="18"/>
      <c r="W8" s="209">
        <v>4</v>
      </c>
      <c r="X8" s="208">
        <f t="shared" si="0"/>
        <v>2200000</v>
      </c>
    </row>
    <row r="9" spans="2:33" x14ac:dyDescent="0.6">
      <c r="B9" s="180" t="s">
        <v>149</v>
      </c>
      <c r="C9" s="220">
        <v>13.962</v>
      </c>
      <c r="D9" s="228">
        <f>C9*43560</f>
        <v>608184.72</v>
      </c>
      <c r="F9" s="227" t="s">
        <v>148</v>
      </c>
      <c r="G9" s="226"/>
      <c r="H9" s="225"/>
      <c r="I9" s="224"/>
      <c r="J9" s="65"/>
      <c r="K9" s="223"/>
      <c r="L9" s="222"/>
      <c r="M9" s="222"/>
      <c r="N9" s="221"/>
      <c r="O9" s="18"/>
      <c r="W9" s="209">
        <v>5</v>
      </c>
      <c r="X9" s="208">
        <f t="shared" si="0"/>
        <v>1100000</v>
      </c>
    </row>
    <row r="10" spans="2:33" x14ac:dyDescent="0.6">
      <c r="B10" s="180" t="s">
        <v>147</v>
      </c>
      <c r="C10" s="220"/>
      <c r="D10" s="179">
        <v>275000</v>
      </c>
      <c r="F10" s="83" t="s">
        <v>146</v>
      </c>
      <c r="G10" s="68"/>
      <c r="H10" s="85">
        <f>I10*12</f>
        <v>137500</v>
      </c>
      <c r="I10" s="219">
        <f>(K10*D10)/12</f>
        <v>11458.333333333334</v>
      </c>
      <c r="J10" s="65"/>
      <c r="K10" s="218">
        <v>0.5</v>
      </c>
      <c r="L10" s="217"/>
      <c r="M10" s="217"/>
      <c r="N10" s="216">
        <v>0.02</v>
      </c>
      <c r="O10" s="215"/>
      <c r="W10" s="209">
        <v>6</v>
      </c>
      <c r="X10" s="208">
        <f t="shared" si="0"/>
        <v>0</v>
      </c>
    </row>
    <row r="11" spans="2:33" x14ac:dyDescent="0.6">
      <c r="B11" s="180" t="s">
        <v>38</v>
      </c>
      <c r="D11" s="214">
        <f>1316450/D13</f>
        <v>17552666.666666668</v>
      </c>
      <c r="J11" s="65"/>
      <c r="W11" s="209">
        <v>7</v>
      </c>
      <c r="X11" s="208">
        <f t="shared" si="0"/>
        <v>0</v>
      </c>
    </row>
    <row r="12" spans="2:33" x14ac:dyDescent="0.6">
      <c r="B12" s="213" t="s">
        <v>145</v>
      </c>
      <c r="C12" s="199">
        <f>D11*D12</f>
        <v>351053.33333333337</v>
      </c>
      <c r="D12" s="198">
        <v>0.02</v>
      </c>
      <c r="F12" s="212" t="s">
        <v>144</v>
      </c>
      <c r="G12" s="211"/>
      <c r="H12" s="210" t="s">
        <v>143</v>
      </c>
      <c r="J12" s="65"/>
      <c r="K12" s="309" t="s">
        <v>229</v>
      </c>
      <c r="L12" s="307"/>
      <c r="M12" s="146"/>
      <c r="N12" s="308"/>
      <c r="W12" s="209">
        <v>8</v>
      </c>
      <c r="X12" s="208">
        <f t="shared" si="0"/>
        <v>0</v>
      </c>
    </row>
    <row r="13" spans="2:33" x14ac:dyDescent="0.6">
      <c r="B13" s="180" t="s">
        <v>142</v>
      </c>
      <c r="D13" s="202">
        <v>7.4999999999999997E-2</v>
      </c>
      <c r="J13" s="65"/>
      <c r="W13" s="209">
        <v>9</v>
      </c>
      <c r="X13" s="208">
        <f t="shared" si="0"/>
        <v>0</v>
      </c>
    </row>
    <row r="14" spans="2:33" x14ac:dyDescent="0.6">
      <c r="B14" s="180" t="s">
        <v>141</v>
      </c>
      <c r="D14" s="198">
        <v>0.1</v>
      </c>
      <c r="F14" s="79" t="s">
        <v>140</v>
      </c>
      <c r="G14" s="78"/>
      <c r="H14" s="123"/>
      <c r="I14" s="122"/>
      <c r="J14" s="65"/>
      <c r="K14" s="79" t="s">
        <v>139</v>
      </c>
      <c r="L14" s="78"/>
      <c r="M14" s="123"/>
      <c r="N14" s="122"/>
      <c r="P14" s="127" t="s">
        <v>138</v>
      </c>
      <c r="Q14" s="138"/>
      <c r="R14" s="207"/>
      <c r="W14" s="206">
        <v>10</v>
      </c>
      <c r="X14" s="205">
        <f t="shared" si="0"/>
        <v>0</v>
      </c>
    </row>
    <row r="15" spans="2:33" x14ac:dyDescent="0.6">
      <c r="B15" s="180" t="s">
        <v>137</v>
      </c>
      <c r="C15" s="204">
        <v>6</v>
      </c>
      <c r="D15" s="198">
        <v>0.1</v>
      </c>
      <c r="F15" s="111" t="s">
        <v>92</v>
      </c>
      <c r="G15" s="110"/>
      <c r="I15" s="109" t="str">
        <f>_xlfn.CONCAT(H12," Tenant")</f>
        <v>Credit Tenant</v>
      </c>
      <c r="J15" s="65"/>
      <c r="K15" s="111" t="s">
        <v>92</v>
      </c>
      <c r="L15" s="110"/>
      <c r="N15" s="109" t="str">
        <f>_xlfn.CONCAT(H12," Tenant")</f>
        <v>Credit Tenant</v>
      </c>
      <c r="O15" s="201"/>
      <c r="P15" s="176" t="s">
        <v>136</v>
      </c>
      <c r="Q15" s="174"/>
      <c r="R15" s="203" t="s">
        <v>135</v>
      </c>
      <c r="S15"/>
    </row>
    <row r="16" spans="2:33" x14ac:dyDescent="0.6">
      <c r="B16" s="180" t="s">
        <v>134</v>
      </c>
      <c r="C16" s="199">
        <f>SUMIF(_xlfn.ANCHORARRAY('Torrance Pro Forma'!C9),"&gt;120",'Torrance Pro Forma'!$C$53:$ED$53)/'Torrance Inputs'!$D$16</f>
        <v>89665485.006413624</v>
      </c>
      <c r="D16" s="202">
        <f>D13-(10*0.0015)</f>
        <v>0.06</v>
      </c>
      <c r="F16" s="111" t="s">
        <v>87</v>
      </c>
      <c r="G16" s="110"/>
      <c r="I16" s="109" t="s">
        <v>102</v>
      </c>
      <c r="J16" s="65"/>
      <c r="K16" s="111" t="s">
        <v>87</v>
      </c>
      <c r="L16" s="110"/>
      <c r="N16" s="109" t="s">
        <v>98</v>
      </c>
      <c r="O16" s="201"/>
      <c r="P16" s="200" t="s">
        <v>105</v>
      </c>
      <c r="Q16" s="140">
        <f>(market_rent*D26*D28)*R16</f>
        <v>635250</v>
      </c>
      <c r="R16" s="96">
        <v>0.06</v>
      </c>
      <c r="S16"/>
    </row>
    <row r="17" spans="2:20" x14ac:dyDescent="0.6">
      <c r="B17" s="180" t="s">
        <v>133</v>
      </c>
      <c r="C17" s="199">
        <f>C16*D17</f>
        <v>1793309.7001282724</v>
      </c>
      <c r="D17" s="198">
        <v>0.02</v>
      </c>
      <c r="F17" s="97" t="s">
        <v>83</v>
      </c>
      <c r="I17" s="197">
        <f>D10/2</f>
        <v>137500</v>
      </c>
      <c r="J17" s="65"/>
      <c r="K17" s="97" t="s">
        <v>83</v>
      </c>
      <c r="L17" s="62"/>
      <c r="N17" s="139">
        <f>D10/2</f>
        <v>137500</v>
      </c>
      <c r="O17" s="196"/>
      <c r="P17" s="97" t="s">
        <v>132</v>
      </c>
      <c r="Q17" s="158">
        <f>R17*D26</f>
        <v>550000</v>
      </c>
      <c r="R17" s="121">
        <v>4</v>
      </c>
    </row>
    <row r="18" spans="2:20" x14ac:dyDescent="0.6">
      <c r="B18" s="180" t="s">
        <v>131</v>
      </c>
      <c r="D18" s="195">
        <v>45658</v>
      </c>
      <c r="F18" s="97" t="s">
        <v>77</v>
      </c>
      <c r="G18" s="194" cm="1">
        <f t="array" ref="G18">INDEX('Torrance Pro Forma'!A9:EC9,,MATCH($I$18,'Torrance Pro Forma'!A10:EC10),1)+1</f>
        <v>61</v>
      </c>
      <c r="H18" s="193" cm="1">
        <f t="array" ref="H18">INDEX('Torrance Pro Forma'!B8:ED8,,MATCH('Torrance Inputs'!N18,'Torrance Pro Forma'!B10:ED10),1)</f>
        <v>5</v>
      </c>
      <c r="I18" s="192">
        <f>H35+1</f>
        <v>47485</v>
      </c>
      <c r="J18" s="65"/>
      <c r="K18" s="97" t="s">
        <v>77</v>
      </c>
      <c r="L18" s="62" cm="1">
        <f t="array" ref="L18">INDEX('Torrance Pro Forma'!F9:EH9,,MATCH($I$18,'Torrance Pro Forma'!F10:EH10),1)+1</f>
        <v>61</v>
      </c>
      <c r="M18" s="191">
        <f>H18</f>
        <v>5</v>
      </c>
      <c r="N18" s="104">
        <f>I18</f>
        <v>47485</v>
      </c>
      <c r="O18" s="190"/>
      <c r="P18" s="83" t="s">
        <v>130</v>
      </c>
      <c r="Q18" s="82"/>
      <c r="R18" s="189">
        <f>EOMONTH(I18,(I19*12)-1)</f>
        <v>50040</v>
      </c>
    </row>
    <row r="19" spans="2:20" x14ac:dyDescent="0.6">
      <c r="B19" s="180" t="s">
        <v>129</v>
      </c>
      <c r="D19" s="188">
        <f>EDATE(analysis_start,D20*12)</f>
        <v>49310</v>
      </c>
      <c r="F19" s="97" t="s">
        <v>128</v>
      </c>
      <c r="I19" s="187">
        <v>7</v>
      </c>
      <c r="J19" s="65"/>
      <c r="K19" s="97" t="s">
        <v>128</v>
      </c>
      <c r="L19" s="62"/>
      <c r="N19" s="186">
        <v>7</v>
      </c>
      <c r="O19" s="185"/>
      <c r="P19" s="184"/>
      <c r="Q19" s="184"/>
      <c r="R19" s="184"/>
      <c r="S19" s="184"/>
    </row>
    <row r="20" spans="2:20" x14ac:dyDescent="0.6">
      <c r="B20" s="180" t="s">
        <v>55</v>
      </c>
      <c r="D20" s="179">
        <v>10</v>
      </c>
      <c r="F20" s="97" t="s">
        <v>74</v>
      </c>
      <c r="H20" s="18"/>
      <c r="I20" s="71">
        <f>EDATE(I18,I19*12)</f>
        <v>50042</v>
      </c>
      <c r="J20" s="65"/>
      <c r="K20" s="97" t="s">
        <v>74</v>
      </c>
      <c r="L20" s="62"/>
      <c r="N20" s="98">
        <f>EDATE(N18,N19*12)</f>
        <v>50042</v>
      </c>
      <c r="O20" s="183"/>
      <c r="P20" s="127" t="s">
        <v>127</v>
      </c>
      <c r="Q20" s="138" t="s">
        <v>125</v>
      </c>
      <c r="R20" s="182" t="s">
        <v>126</v>
      </c>
      <c r="S20" s="181" t="s">
        <v>125</v>
      </c>
      <c r="T20" s="181" t="s">
        <v>124</v>
      </c>
    </row>
    <row r="21" spans="2:20" x14ac:dyDescent="0.6">
      <c r="B21" s="180" t="s">
        <v>122</v>
      </c>
      <c r="D21" s="179">
        <v>170</v>
      </c>
      <c r="F21" s="97" t="s">
        <v>123</v>
      </c>
      <c r="I21" s="178">
        <v>15</v>
      </c>
      <c r="J21" s="65"/>
      <c r="K21" s="97" t="s">
        <v>123</v>
      </c>
      <c r="L21" s="62"/>
      <c r="M21" s="18"/>
      <c r="N21" s="178">
        <v>15</v>
      </c>
      <c r="O21" s="177"/>
      <c r="P21" s="176" t="s">
        <v>122</v>
      </c>
      <c r="Q21" s="175"/>
      <c r="R21" s="174"/>
      <c r="S21" s="118"/>
      <c r="T21" s="173"/>
    </row>
    <row r="22" spans="2:20" x14ac:dyDescent="0.6">
      <c r="B22" s="172" t="s">
        <v>121</v>
      </c>
      <c r="C22" s="171"/>
      <c r="D22" s="170">
        <v>1045000</v>
      </c>
      <c r="F22" s="97" t="s">
        <v>120</v>
      </c>
      <c r="H22" s="169">
        <f>(I22*I17)/12</f>
        <v>199250.23152031246</v>
      </c>
      <c r="I22" s="168">
        <f>I21*(1+3%)^(YEAR(I18)-YEAR(analysis_start))</f>
        <v>17.389111114499997</v>
      </c>
      <c r="J22" s="65"/>
      <c r="K22" s="97" t="s">
        <v>120</v>
      </c>
      <c r="L22" s="62"/>
      <c r="M22" s="169">
        <f>(N22*N17)/12</f>
        <v>199250.23152031246</v>
      </c>
      <c r="N22" s="168">
        <f>N21*(1+3%)^(YEAR(N18)-YEAR(analysis_start))</f>
        <v>17.389111114499997</v>
      </c>
      <c r="O22" s="160"/>
      <c r="P22" s="167" t="s">
        <v>119</v>
      </c>
      <c r="Q22" s="166">
        <f>$D$21*30%</f>
        <v>51</v>
      </c>
      <c r="R22" s="165">
        <f>S22*Q22</f>
        <v>15300</v>
      </c>
      <c r="S22" s="164">
        <v>300</v>
      </c>
      <c r="T22" s="163">
        <v>0.02</v>
      </c>
    </row>
    <row r="23" spans="2:20" x14ac:dyDescent="0.6">
      <c r="D23" s="155"/>
      <c r="F23" s="97" t="s">
        <v>73</v>
      </c>
      <c r="I23" s="162">
        <v>0.02</v>
      </c>
      <c r="J23" s="65"/>
      <c r="K23" s="97" t="s">
        <v>73</v>
      </c>
      <c r="L23" s="62"/>
      <c r="N23" s="161">
        <v>0.02</v>
      </c>
      <c r="O23" s="160"/>
      <c r="P23" s="73" t="s">
        <v>118</v>
      </c>
      <c r="Q23" s="159">
        <f>$D$21-Q22</f>
        <v>119</v>
      </c>
      <c r="R23" s="158">
        <f>S23*Q23</f>
        <v>595</v>
      </c>
      <c r="S23" s="157">
        <v>5</v>
      </c>
      <c r="T23" s="156">
        <v>0.02</v>
      </c>
    </row>
    <row r="24" spans="2:20" x14ac:dyDescent="0.6">
      <c r="D24" s="155"/>
      <c r="F24" s="69" t="s">
        <v>117</v>
      </c>
      <c r="G24" s="68"/>
      <c r="H24" s="82"/>
      <c r="I24" s="154" t="s">
        <v>93</v>
      </c>
      <c r="J24" s="65"/>
      <c r="K24" s="69" t="s">
        <v>117</v>
      </c>
      <c r="L24" s="68"/>
      <c r="M24" s="82"/>
      <c r="N24" s="153" t="s">
        <v>93</v>
      </c>
      <c r="P24" s="83"/>
      <c r="Q24" s="152">
        <f>D21</f>
        <v>170</v>
      </c>
      <c r="R24" s="85">
        <f>SUM(R22:R23)</f>
        <v>15895</v>
      </c>
      <c r="S24" s="151">
        <f>SUM(S22:S23)</f>
        <v>305</v>
      </c>
      <c r="T24" s="150"/>
    </row>
    <row r="25" spans="2:20" x14ac:dyDescent="0.6">
      <c r="B25" s="79" t="s">
        <v>116</v>
      </c>
      <c r="C25" s="149"/>
      <c r="D25" s="148"/>
      <c r="J25" s="65"/>
      <c r="P25" s="147" t="s">
        <v>115</v>
      </c>
      <c r="Q25" s="146"/>
      <c r="R25" s="145">
        <f>S25*D10</f>
        <v>220000</v>
      </c>
      <c r="S25" s="144">
        <v>0.8</v>
      </c>
      <c r="T25" s="143">
        <v>0.02</v>
      </c>
    </row>
    <row r="26" spans="2:20" x14ac:dyDescent="0.6">
      <c r="B26" s="79" t="s">
        <v>114</v>
      </c>
      <c r="C26" s="142" t="s">
        <v>113</v>
      </c>
      <c r="D26" s="141">
        <f>I17</f>
        <v>137500</v>
      </c>
      <c r="J26" s="65"/>
    </row>
    <row r="27" spans="2:20" x14ac:dyDescent="0.6">
      <c r="B27" s="97" t="s">
        <v>112</v>
      </c>
      <c r="C27" s="140">
        <f>D27/12</f>
        <v>126041.66666666667</v>
      </c>
      <c r="D27" s="139">
        <f>market_rent*D26</f>
        <v>1512500</v>
      </c>
      <c r="F27" s="127" t="s">
        <v>111</v>
      </c>
      <c r="G27" s="126"/>
      <c r="H27" s="138"/>
      <c r="I27" s="137" t="s">
        <v>110</v>
      </c>
      <c r="J27" s="65"/>
      <c r="K27" s="127" t="s">
        <v>109</v>
      </c>
      <c r="L27" s="136" t="s">
        <v>66</v>
      </c>
      <c r="M27" s="76" t="s">
        <v>65</v>
      </c>
    </row>
    <row r="28" spans="2:20" x14ac:dyDescent="0.6">
      <c r="B28" s="97" t="s">
        <v>108</v>
      </c>
      <c r="D28" s="121">
        <v>7</v>
      </c>
      <c r="F28" s="120" t="s">
        <v>82</v>
      </c>
      <c r="G28" s="119"/>
      <c r="H28" s="114"/>
      <c r="I28" s="124">
        <v>0</v>
      </c>
      <c r="J28" s="65"/>
      <c r="K28" s="97" t="s">
        <v>107</v>
      </c>
      <c r="L28" s="134">
        <v>-1</v>
      </c>
      <c r="M28" s="133">
        <v>2</v>
      </c>
    </row>
    <row r="29" spans="2:20" x14ac:dyDescent="0.6">
      <c r="B29" s="97" t="s">
        <v>106</v>
      </c>
      <c r="D29" s="96">
        <v>0.7</v>
      </c>
      <c r="F29" s="97" t="s">
        <v>79</v>
      </c>
      <c r="I29" s="99">
        <v>0</v>
      </c>
      <c r="J29" s="65"/>
      <c r="K29" s="97" t="s">
        <v>105</v>
      </c>
      <c r="L29" s="134">
        <v>-1</v>
      </c>
      <c r="M29" s="133">
        <v>1</v>
      </c>
    </row>
    <row r="30" spans="2:20" x14ac:dyDescent="0.6">
      <c r="B30" s="97" t="s">
        <v>104</v>
      </c>
      <c r="D30" s="135">
        <f>ROUND(D15*12,0)*$D$28</f>
        <v>7</v>
      </c>
      <c r="F30" s="97" t="s">
        <v>76</v>
      </c>
      <c r="I30" s="99">
        <v>0</v>
      </c>
      <c r="J30" s="65"/>
      <c r="K30" s="97" t="s">
        <v>81</v>
      </c>
      <c r="L30" s="134" t="s">
        <v>103</v>
      </c>
      <c r="M30" s="133"/>
    </row>
    <row r="31" spans="2:20" x14ac:dyDescent="0.6">
      <c r="B31" s="97" t="s">
        <v>99</v>
      </c>
      <c r="C31" s="129" t="s">
        <v>102</v>
      </c>
      <c r="D31" s="128">
        <f>EDATE(I18,I19*12)+1</f>
        <v>50043</v>
      </c>
      <c r="F31" s="83" t="s">
        <v>101</v>
      </c>
      <c r="G31" s="68"/>
      <c r="H31" s="82"/>
      <c r="I31" s="94">
        <v>0</v>
      </c>
      <c r="J31" s="65"/>
      <c r="K31" s="83" t="s">
        <v>75</v>
      </c>
      <c r="L31" s="132">
        <v>0</v>
      </c>
      <c r="M31" s="131"/>
    </row>
    <row r="32" spans="2:20" x14ac:dyDescent="0.6">
      <c r="B32" s="97" t="s">
        <v>100</v>
      </c>
      <c r="C32" s="129"/>
      <c r="D32" s="130">
        <v>11</v>
      </c>
      <c r="F32"/>
      <c r="G32" s="110"/>
      <c r="H32"/>
      <c r="I32" s="129"/>
      <c r="J32" s="65"/>
      <c r="K32" s="129"/>
    </row>
    <row r="33" spans="2:19" x14ac:dyDescent="0.6">
      <c r="B33" s="97" t="s">
        <v>99</v>
      </c>
      <c r="C33" s="129" t="s">
        <v>98</v>
      </c>
      <c r="D33" s="128">
        <f>EDATE(N18,N19*12)+1</f>
        <v>50043</v>
      </c>
      <c r="F33" s="127" t="s">
        <v>97</v>
      </c>
      <c r="G33" s="126"/>
      <c r="H33" s="125"/>
      <c r="I33" s="124"/>
      <c r="J33" s="65"/>
      <c r="K33" s="79" t="s">
        <v>96</v>
      </c>
      <c r="L33" s="78"/>
      <c r="M33" s="123"/>
      <c r="N33" s="122"/>
      <c r="P33" s="79" t="s">
        <v>95</v>
      </c>
      <c r="Q33" s="78"/>
      <c r="R33" s="123"/>
      <c r="S33" s="122"/>
    </row>
    <row r="34" spans="2:19" x14ac:dyDescent="0.6">
      <c r="B34" s="97" t="s">
        <v>94</v>
      </c>
      <c r="D34" s="121" t="s">
        <v>93</v>
      </c>
      <c r="F34" s="120" t="s">
        <v>37</v>
      </c>
      <c r="G34" s="119"/>
      <c r="H34" s="118">
        <f>N40</f>
        <v>47119</v>
      </c>
      <c r="I34" s="117">
        <v>3</v>
      </c>
      <c r="J34" s="65"/>
      <c r="K34" s="116" t="s">
        <v>92</v>
      </c>
      <c r="L34" s="115"/>
      <c r="M34" s="114"/>
      <c r="N34" s="113" t="s">
        <v>91</v>
      </c>
      <c r="P34" s="116" t="s">
        <v>90</v>
      </c>
      <c r="Q34" s="115"/>
      <c r="R34" s="114"/>
      <c r="S34" s="113" t="s">
        <v>89</v>
      </c>
    </row>
    <row r="35" spans="2:19" x14ac:dyDescent="0.6">
      <c r="B35" s="97" t="s">
        <v>88</v>
      </c>
      <c r="D35" s="108">
        <v>0.02</v>
      </c>
      <c r="F35" s="83" t="s">
        <v>50</v>
      </c>
      <c r="G35" s="68"/>
      <c r="H35" s="112">
        <f>EDATE(H34,SUM(H37:H40))</f>
        <v>47484</v>
      </c>
      <c r="I35" s="94"/>
      <c r="J35" s="65"/>
      <c r="K35" s="111" t="s">
        <v>87</v>
      </c>
      <c r="L35" s="110"/>
      <c r="N35" s="109" t="s">
        <v>86</v>
      </c>
      <c r="P35" s="111" t="s">
        <v>85</v>
      </c>
      <c r="Q35" s="110"/>
      <c r="S35" s="109"/>
    </row>
    <row r="36" spans="2:19" x14ac:dyDescent="0.6">
      <c r="B36" s="97" t="s">
        <v>84</v>
      </c>
      <c r="D36" s="108"/>
      <c r="F36" s="73" t="s">
        <v>63</v>
      </c>
      <c r="G36" s="101">
        <f t="shared" ref="G36:G41" si="1">I36/$D$9</f>
        <v>4.9327118905585134</v>
      </c>
      <c r="H36" s="100">
        <v>24</v>
      </c>
      <c r="I36" s="99">
        <v>3000000</v>
      </c>
      <c r="J36" s="65"/>
      <c r="K36" s="97" t="s">
        <v>83</v>
      </c>
      <c r="L36" s="62"/>
      <c r="N36" s="107">
        <f>D10</f>
        <v>275000</v>
      </c>
      <c r="P36" s="73" t="s">
        <v>82</v>
      </c>
      <c r="Q36" s="62"/>
      <c r="S36" s="107"/>
    </row>
    <row r="37" spans="2:19" x14ac:dyDescent="0.6">
      <c r="B37" s="73" t="s">
        <v>81</v>
      </c>
      <c r="D37" s="105">
        <v>2</v>
      </c>
      <c r="F37" s="73" t="s">
        <v>62</v>
      </c>
      <c r="G37" s="101">
        <f t="shared" si="1"/>
        <v>2.4663559452792567</v>
      </c>
      <c r="H37" s="100">
        <v>1</v>
      </c>
      <c r="I37" s="99">
        <v>1500000</v>
      </c>
      <c r="J37" s="65"/>
      <c r="K37" s="97" t="s">
        <v>80</v>
      </c>
      <c r="N37" s="106">
        <v>7</v>
      </c>
      <c r="P37" s="73" t="s">
        <v>79</v>
      </c>
      <c r="S37" s="106"/>
    </row>
    <row r="38" spans="2:19" x14ac:dyDescent="0.6">
      <c r="B38" s="73" t="s">
        <v>78</v>
      </c>
      <c r="D38" s="105">
        <v>2</v>
      </c>
      <c r="F38" s="73" t="s">
        <v>61</v>
      </c>
      <c r="G38" s="101">
        <f t="shared" si="1"/>
        <v>20.552966210660472</v>
      </c>
      <c r="H38" s="100">
        <v>6</v>
      </c>
      <c r="I38" s="99">
        <v>12500000</v>
      </c>
      <c r="J38" s="65"/>
      <c r="K38" s="97" t="s">
        <v>77</v>
      </c>
      <c r="L38" s="62"/>
      <c r="N38" s="104">
        <f>EDATE(analysis_start,-1*12)</f>
        <v>45292</v>
      </c>
      <c r="P38" s="73" t="s">
        <v>76</v>
      </c>
      <c r="Q38" s="62"/>
      <c r="S38" s="104"/>
    </row>
    <row r="39" spans="2:19" x14ac:dyDescent="0.6">
      <c r="B39" s="69" t="s">
        <v>75</v>
      </c>
      <c r="C39" s="103">
        <f>D39*C27</f>
        <v>504166.66666666669</v>
      </c>
      <c r="D39" s="102">
        <v>4</v>
      </c>
      <c r="F39" s="73" t="s">
        <v>59</v>
      </c>
      <c r="G39" s="101">
        <f t="shared" si="1"/>
        <v>0.65769491874113517</v>
      </c>
      <c r="H39" s="100">
        <v>2</v>
      </c>
      <c r="I39" s="99">
        <v>400000</v>
      </c>
      <c r="J39" s="65"/>
      <c r="K39" s="97" t="s">
        <v>74</v>
      </c>
      <c r="L39" s="62"/>
      <c r="N39" s="98">
        <f>EDATE(N38,N37*12)</f>
        <v>47849</v>
      </c>
      <c r="P39" s="97" t="s">
        <v>73</v>
      </c>
      <c r="Q39" s="62"/>
      <c r="R39" s="60" t="s">
        <v>72</v>
      </c>
      <c r="S39" s="96">
        <v>0.02</v>
      </c>
    </row>
    <row r="40" spans="2:19" x14ac:dyDescent="0.6">
      <c r="D40"/>
      <c r="F40" s="69" t="s">
        <v>58</v>
      </c>
      <c r="G40" s="88">
        <f t="shared" si="1"/>
        <v>0.16442372968528379</v>
      </c>
      <c r="H40" s="95">
        <v>3</v>
      </c>
      <c r="I40" s="94">
        <v>100000</v>
      </c>
      <c r="J40" s="65"/>
      <c r="K40" s="91" t="s">
        <v>71</v>
      </c>
      <c r="L40" s="90"/>
      <c r="M40" s="93">
        <v>4</v>
      </c>
      <c r="N40" s="92">
        <f>EDATE(analysis_start,M40*12)</f>
        <v>47119</v>
      </c>
      <c r="P40" s="91" t="s">
        <v>70</v>
      </c>
      <c r="Q40" s="90"/>
      <c r="R40" s="90"/>
      <c r="S40" s="89">
        <f>DATEDIF(N40,N39,"m")*M41*70%</f>
        <v>1540000</v>
      </c>
    </row>
    <row r="41" spans="2:19" x14ac:dyDescent="0.6">
      <c r="F41" s="83" t="s">
        <v>69</v>
      </c>
      <c r="G41" s="88">
        <f t="shared" si="1"/>
        <v>28.774152694924663</v>
      </c>
      <c r="H41" s="87">
        <f>SUM(H36:H40)</f>
        <v>36</v>
      </c>
      <c r="I41" s="86">
        <f>SUM(I36:I40)</f>
        <v>17500000</v>
      </c>
      <c r="J41" s="65"/>
      <c r="K41" s="83" t="s">
        <v>68</v>
      </c>
      <c r="L41" s="82"/>
      <c r="M41" s="85">
        <f>(N41*N36)/12</f>
        <v>91666.666666666672</v>
      </c>
      <c r="N41" s="84">
        <v>4</v>
      </c>
      <c r="P41" s="83"/>
      <c r="Q41" s="82"/>
      <c r="R41" s="82"/>
      <c r="S41" s="81"/>
    </row>
    <row r="42" spans="2:19" x14ac:dyDescent="0.6">
      <c r="J42" s="65"/>
      <c r="O42" s="80"/>
    </row>
    <row r="43" spans="2:19" x14ac:dyDescent="0.6">
      <c r="F43" s="79" t="s">
        <v>67</v>
      </c>
      <c r="G43" s="78"/>
      <c r="H43" s="77" t="s">
        <v>66</v>
      </c>
      <c r="I43" s="76" t="s">
        <v>65</v>
      </c>
      <c r="J43" s="65"/>
      <c r="K43" s="75" t="s">
        <v>64</v>
      </c>
      <c r="M43" s="74"/>
    </row>
    <row r="44" spans="2:19" x14ac:dyDescent="0.6">
      <c r="F44" s="73" t="s">
        <v>63</v>
      </c>
      <c r="H44" s="72">
        <f>EDATE(H34,0)</f>
        <v>47119</v>
      </c>
      <c r="I44" s="71">
        <f>EDATE(H44,H36)</f>
        <v>47849</v>
      </c>
      <c r="J44" s="65"/>
      <c r="K44" s="70">
        <f>ROUND((I44-H44)/30,0)</f>
        <v>24</v>
      </c>
    </row>
    <row r="45" spans="2:19" x14ac:dyDescent="0.6">
      <c r="F45" s="73" t="s">
        <v>62</v>
      </c>
      <c r="H45" s="72">
        <f>I44+1</f>
        <v>47850</v>
      </c>
      <c r="I45" s="71">
        <f>EDATE(H45,H37)</f>
        <v>47881</v>
      </c>
      <c r="J45" s="65"/>
      <c r="K45" s="70">
        <f>ROUND((I45-H45)/30,0)</f>
        <v>1</v>
      </c>
    </row>
    <row r="46" spans="2:19" x14ac:dyDescent="0.6">
      <c r="F46" s="73" t="s">
        <v>61</v>
      </c>
      <c r="H46" s="72">
        <f>I45+1</f>
        <v>47882</v>
      </c>
      <c r="I46" s="71">
        <f>EDATE(H46,H38)</f>
        <v>48063</v>
      </c>
      <c r="J46" s="65"/>
      <c r="K46" s="70">
        <f>ROUND((I46-H46)/30,0)</f>
        <v>6</v>
      </c>
    </row>
    <row r="47" spans="2:19" x14ac:dyDescent="0.6">
      <c r="B47" s="60" t="s">
        <v>60</v>
      </c>
      <c r="F47" s="73" t="s">
        <v>59</v>
      </c>
      <c r="H47" s="72">
        <f>I46+1</f>
        <v>48064</v>
      </c>
      <c r="I47" s="71">
        <f>EDATE(H47,H39)</f>
        <v>48125</v>
      </c>
      <c r="J47" s="65"/>
      <c r="K47" s="70">
        <f>ROUND((I47-H47)/30,0)</f>
        <v>2</v>
      </c>
    </row>
    <row r="48" spans="2:19" x14ac:dyDescent="0.6">
      <c r="F48" s="69" t="s">
        <v>58</v>
      </c>
      <c r="G48" s="68"/>
      <c r="H48" s="67">
        <f>I47+1</f>
        <v>48126</v>
      </c>
      <c r="I48" s="66">
        <f>EDATE(H48,H40)</f>
        <v>48218</v>
      </c>
      <c r="J48" s="65"/>
      <c r="K48" s="64">
        <f>ROUND((I48-H48)/30,0)</f>
        <v>3</v>
      </c>
    </row>
  </sheetData>
  <dataValidations disablePrompts="1" count="1">
    <dataValidation type="list" allowBlank="1" showInputMessage="1" showErrorMessage="1" sqref="H12" xr:uid="{481B0559-B785-4643-A089-FA928DECDFED}">
      <formula1>"Credit,Non Credit 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50D6-4641-4CA6-9D63-7824E40D7D5C}">
  <dimension ref="B2:L33"/>
  <sheetViews>
    <sheetView topLeftCell="A6" workbookViewId="0">
      <selection activeCell="H22" sqref="H22"/>
    </sheetView>
    <sheetView zoomScale="85" zoomScaleNormal="85" workbookViewId="1">
      <selection activeCell="H22" sqref="H22"/>
    </sheetView>
  </sheetViews>
  <sheetFormatPr defaultColWidth="9" defaultRowHeight="15.4" x14ac:dyDescent="0.55000000000000004"/>
  <cols>
    <col min="1" max="1" width="9" style="1"/>
    <col min="2" max="2" width="19.6640625" style="1" customWidth="1"/>
    <col min="3" max="3" width="10.33203125" style="1" customWidth="1"/>
    <col min="4" max="4" width="12.6640625" style="1" customWidth="1"/>
    <col min="5" max="5" width="9" style="1"/>
    <col min="6" max="6" width="17.06640625" style="1" bestFit="1" customWidth="1"/>
    <col min="7" max="7" width="7.59765625" style="1" bestFit="1" customWidth="1"/>
    <col min="8" max="8" width="10.19921875" style="1" bestFit="1" customWidth="1"/>
    <col min="9" max="9" width="9" style="1"/>
    <col min="10" max="10" width="17.06640625" style="1" bestFit="1" customWidth="1"/>
    <col min="11" max="11" width="7.796875" style="1" bestFit="1" customWidth="1"/>
    <col min="12" max="12" width="10.46484375" style="1" bestFit="1" customWidth="1"/>
    <col min="13" max="16384" width="9" style="1"/>
  </cols>
  <sheetData>
    <row r="2" spans="2:12" x14ac:dyDescent="0.55000000000000004">
      <c r="B2" s="13" t="s">
        <v>11</v>
      </c>
      <c r="C2" s="6"/>
      <c r="D2" s="7"/>
    </row>
    <row r="3" spans="2:12" x14ac:dyDescent="0.55000000000000004">
      <c r="B3" s="57" t="s">
        <v>55</v>
      </c>
      <c r="C3" s="6"/>
      <c r="D3" s="7">
        <v>10</v>
      </c>
    </row>
    <row r="4" spans="2:12" x14ac:dyDescent="0.55000000000000004">
      <c r="B4" s="16" t="s">
        <v>17</v>
      </c>
      <c r="C4" s="6"/>
      <c r="D4" s="26"/>
    </row>
    <row r="5" spans="2:12" x14ac:dyDescent="0.55000000000000004">
      <c r="B5" s="9" t="s">
        <v>18</v>
      </c>
      <c r="D5" s="20">
        <v>0.9</v>
      </c>
    </row>
    <row r="6" spans="2:12" x14ac:dyDescent="0.55000000000000004">
      <c r="B6" s="9" t="s">
        <v>12</v>
      </c>
      <c r="D6" s="21">
        <f>1-D5</f>
        <v>9.9999999999999978E-2</v>
      </c>
    </row>
    <row r="7" spans="2:12" x14ac:dyDescent="0.55000000000000004">
      <c r="B7" s="10" t="s">
        <v>16</v>
      </c>
      <c r="D7" s="20">
        <v>0.03</v>
      </c>
    </row>
    <row r="8" spans="2:12" x14ac:dyDescent="0.55000000000000004">
      <c r="B8" s="10"/>
      <c r="D8" s="24"/>
    </row>
    <row r="9" spans="2:12" x14ac:dyDescent="0.55000000000000004">
      <c r="B9" s="15" t="s">
        <v>13</v>
      </c>
      <c r="D9" s="24"/>
    </row>
    <row r="10" spans="2:12" x14ac:dyDescent="0.55000000000000004">
      <c r="B10" s="10" t="s">
        <v>14</v>
      </c>
      <c r="D10" s="20">
        <v>0.1</v>
      </c>
    </row>
    <row r="11" spans="2:12" x14ac:dyDescent="0.55000000000000004">
      <c r="B11" s="9"/>
      <c r="D11" s="24"/>
    </row>
    <row r="12" spans="2:12" x14ac:dyDescent="0.55000000000000004">
      <c r="B12" s="15" t="s">
        <v>15</v>
      </c>
      <c r="D12" s="24"/>
    </row>
    <row r="13" spans="2:12" x14ac:dyDescent="0.55000000000000004">
      <c r="B13" s="9" t="s">
        <v>18</v>
      </c>
      <c r="D13" s="20">
        <v>0.8</v>
      </c>
    </row>
    <row r="14" spans="2:12" x14ac:dyDescent="0.55000000000000004">
      <c r="B14" s="11" t="s">
        <v>12</v>
      </c>
      <c r="C14" s="12"/>
      <c r="D14" s="25">
        <f>1-D13</f>
        <v>0.19999999999999996</v>
      </c>
    </row>
    <row r="16" spans="2:12" x14ac:dyDescent="0.55000000000000004">
      <c r="B16" s="13" t="s">
        <v>19</v>
      </c>
      <c r="C16" s="310" t="s">
        <v>40</v>
      </c>
      <c r="D16" s="311"/>
      <c r="F16" s="13" t="s">
        <v>19</v>
      </c>
      <c r="G16" s="310" t="s">
        <v>39</v>
      </c>
      <c r="H16" s="311"/>
      <c r="J16" s="13" t="s">
        <v>19</v>
      </c>
      <c r="K16" s="310" t="s">
        <v>46</v>
      </c>
      <c r="L16" s="311"/>
    </row>
    <row r="17" spans="2:12" x14ac:dyDescent="0.55000000000000004">
      <c r="B17" s="14"/>
      <c r="C17" s="39">
        <v>0</v>
      </c>
      <c r="D17" s="40">
        <v>1</v>
      </c>
      <c r="F17" s="14"/>
      <c r="G17" s="39">
        <v>0</v>
      </c>
      <c r="H17" s="40">
        <v>1</v>
      </c>
      <c r="J17" s="14"/>
      <c r="K17" s="39">
        <v>0</v>
      </c>
      <c r="L17" s="40">
        <f>ROUND((H25+D26)/12,0)</f>
        <v>7</v>
      </c>
    </row>
    <row r="18" spans="2:12" x14ac:dyDescent="0.55000000000000004">
      <c r="B18" s="9" t="s">
        <v>27</v>
      </c>
      <c r="C18" s="35"/>
      <c r="D18" s="36">
        <f>'Annual Pro Forma'!$C$53</f>
        <v>1061202.8166666669</v>
      </c>
      <c r="F18" s="9" t="s">
        <v>51</v>
      </c>
      <c r="G18" s="35"/>
      <c r="H18" s="36">
        <f>'Annual Pro Forma'!$C$53</f>
        <v>1061202.8166666669</v>
      </c>
      <c r="J18" s="9" t="s">
        <v>51</v>
      </c>
      <c r="K18" s="35"/>
      <c r="L18" s="36" cm="1">
        <f t="array" ref="L18">INDEX('Annual Pro Forma'!$C$53:$M$53,,MATCH('Debt &amp; Equity Assumptions'!L17,'Annual Pro Forma'!$C$8:$M$8,0),1)</f>
        <v>4967816.2512618108</v>
      </c>
    </row>
    <row r="19" spans="2:12" x14ac:dyDescent="0.55000000000000004">
      <c r="B19" s="9" t="s">
        <v>38</v>
      </c>
      <c r="D19" s="305">
        <f>'Torrance Inputs'!D11</f>
        <v>17552666.666666668</v>
      </c>
      <c r="F19" s="9" t="s">
        <v>38</v>
      </c>
      <c r="H19" s="305">
        <f>'Torrance Inputs'!D11</f>
        <v>17552666.666666668</v>
      </c>
      <c r="J19" s="9" t="s">
        <v>38</v>
      </c>
      <c r="L19" s="46">
        <f>L18/5%</f>
        <v>99356325.025236204</v>
      </c>
    </row>
    <row r="20" spans="2:12" x14ac:dyDescent="0.55000000000000004">
      <c r="B20" s="28" t="s">
        <v>29</v>
      </c>
      <c r="D20" s="22"/>
      <c r="F20" s="28" t="s">
        <v>29</v>
      </c>
      <c r="H20" s="22"/>
      <c r="J20" s="28" t="s">
        <v>29</v>
      </c>
      <c r="L20" s="22"/>
    </row>
    <row r="21" spans="2:12" x14ac:dyDescent="0.55000000000000004">
      <c r="B21" s="10" t="s">
        <v>37</v>
      </c>
      <c r="D21" s="31">
        <f>EDATE('Torrance Inputs'!analysis_start,-12)</f>
        <v>45292</v>
      </c>
      <c r="F21" s="10" t="s">
        <v>37</v>
      </c>
      <c r="H21" s="31">
        <f>EDATE(D21,12)</f>
        <v>45658</v>
      </c>
      <c r="J21" s="10" t="s">
        <v>37</v>
      </c>
      <c r="L21" s="49">
        <f>H22</f>
        <v>46753</v>
      </c>
    </row>
    <row r="22" spans="2:12" x14ac:dyDescent="0.55000000000000004">
      <c r="B22" s="10" t="s">
        <v>50</v>
      </c>
      <c r="D22" s="304">
        <f>H22</f>
        <v>46753</v>
      </c>
      <c r="F22" s="10" t="s">
        <v>50</v>
      </c>
      <c r="H22" s="49">
        <f>EDATE(H21,H25)</f>
        <v>46753</v>
      </c>
      <c r="J22" s="10" t="s">
        <v>50</v>
      </c>
      <c r="L22" s="49">
        <v>49310</v>
      </c>
    </row>
    <row r="23" spans="2:12" x14ac:dyDescent="0.55000000000000004">
      <c r="B23" s="10" t="s">
        <v>28</v>
      </c>
      <c r="D23" s="22">
        <v>0.06</v>
      </c>
      <c r="F23" s="10" t="s">
        <v>28</v>
      </c>
      <c r="H23" s="22">
        <v>0.08</v>
      </c>
      <c r="J23" s="10" t="s">
        <v>28</v>
      </c>
      <c r="L23" s="22">
        <v>5.5E-2</v>
      </c>
    </row>
    <row r="24" spans="2:12" x14ac:dyDescent="0.55000000000000004">
      <c r="B24" s="10" t="s">
        <v>30</v>
      </c>
      <c r="D24" s="23">
        <v>360</v>
      </c>
      <c r="F24" s="10" t="s">
        <v>30</v>
      </c>
      <c r="H24" s="23">
        <v>0</v>
      </c>
      <c r="J24" s="10" t="s">
        <v>30</v>
      </c>
      <c r="L24" s="23">
        <v>360</v>
      </c>
    </row>
    <row r="25" spans="2:12" x14ac:dyDescent="0.55000000000000004">
      <c r="B25" s="10" t="s">
        <v>31</v>
      </c>
      <c r="D25" s="27">
        <f>D24</f>
        <v>360</v>
      </c>
      <c r="F25" s="10" t="s">
        <v>31</v>
      </c>
      <c r="H25" s="23">
        <f>SUM('Torrance Inputs'!H36:H40)</f>
        <v>36</v>
      </c>
      <c r="J25" s="10" t="s">
        <v>31</v>
      </c>
      <c r="L25" s="27">
        <f>L24</f>
        <v>360</v>
      </c>
    </row>
    <row r="26" spans="2:12" x14ac:dyDescent="0.55000000000000004">
      <c r="B26" s="10" t="s">
        <v>57</v>
      </c>
      <c r="D26" s="27">
        <f>DATEDIF(D21,D22,"m")</f>
        <v>48</v>
      </c>
      <c r="F26" s="10" t="s">
        <v>36</v>
      </c>
      <c r="H26" s="29">
        <v>7.4999999999999997E-3</v>
      </c>
      <c r="J26" s="10" t="s">
        <v>36</v>
      </c>
      <c r="L26" s="29">
        <v>7.4999999999999997E-3</v>
      </c>
    </row>
    <row r="27" spans="2:12" x14ac:dyDescent="0.55000000000000004">
      <c r="B27" s="10" t="s">
        <v>36</v>
      </c>
      <c r="D27" s="29">
        <v>2.5000000000000001E-3</v>
      </c>
      <c r="F27" s="10" t="s">
        <v>41</v>
      </c>
      <c r="G27" s="37"/>
      <c r="H27" s="29" t="s">
        <v>42</v>
      </c>
      <c r="J27" s="10" t="s">
        <v>41</v>
      </c>
      <c r="L27" s="29" t="s">
        <v>44</v>
      </c>
    </row>
    <row r="28" spans="2:12" x14ac:dyDescent="0.55000000000000004">
      <c r="B28" s="10" t="s">
        <v>41</v>
      </c>
      <c r="D28" s="59" t="s">
        <v>44</v>
      </c>
      <c r="F28" s="10" t="s">
        <v>48</v>
      </c>
      <c r="G28" s="37"/>
      <c r="H28" s="30">
        <f>H23*H30</f>
        <v>912738.66666666674</v>
      </c>
      <c r="J28" s="8" t="s">
        <v>35</v>
      </c>
      <c r="L28" s="24"/>
    </row>
    <row r="29" spans="2:12" x14ac:dyDescent="0.55000000000000004">
      <c r="B29" s="8" t="s">
        <v>35</v>
      </c>
      <c r="D29" s="24"/>
      <c r="F29" s="10" t="s">
        <v>34</v>
      </c>
      <c r="G29" s="37">
        <f>H29*H19</f>
        <v>11409233.333333334</v>
      </c>
      <c r="H29" s="20">
        <v>0.65</v>
      </c>
      <c r="J29" s="10" t="s">
        <v>33</v>
      </c>
      <c r="K29" s="37">
        <f>L18/L29</f>
        <v>66237550.016824149</v>
      </c>
      <c r="L29" s="29">
        <v>7.4999999999999997E-2</v>
      </c>
    </row>
    <row r="30" spans="2:12" x14ac:dyDescent="0.55000000000000004">
      <c r="B30" s="10" t="s">
        <v>33</v>
      </c>
      <c r="C30" s="37">
        <f>D18/D30</f>
        <v>14149370.888888892</v>
      </c>
      <c r="D30" s="29">
        <v>7.4999999999999997E-2</v>
      </c>
      <c r="F30" s="11" t="s">
        <v>49</v>
      </c>
      <c r="G30" s="38"/>
      <c r="H30" s="45">
        <f>MIN(G27:G29)</f>
        <v>11409233.333333334</v>
      </c>
      <c r="J30" s="10" t="s">
        <v>32</v>
      </c>
      <c r="K30" s="37">
        <f>PV(L23/12,L24,-(L18/L30/12))</f>
        <v>54008676.361194998</v>
      </c>
      <c r="L30" s="30">
        <v>1.35</v>
      </c>
    </row>
    <row r="31" spans="2:12" x14ac:dyDescent="0.55000000000000004">
      <c r="B31" s="10" t="s">
        <v>32</v>
      </c>
      <c r="C31" s="37">
        <f>PV(D23/12,D24,-(D18/D31/12))</f>
        <v>11799982.065968323</v>
      </c>
      <c r="D31" s="30">
        <v>1.25</v>
      </c>
      <c r="J31" s="10" t="s">
        <v>34</v>
      </c>
      <c r="K31" s="37">
        <f>L31*L19</f>
        <v>64581611.266403534</v>
      </c>
      <c r="L31" s="20">
        <v>0.65</v>
      </c>
    </row>
    <row r="32" spans="2:12" x14ac:dyDescent="0.55000000000000004">
      <c r="B32" s="10" t="s">
        <v>34</v>
      </c>
      <c r="C32" s="37">
        <f>D32*D19</f>
        <v>12286866.666666666</v>
      </c>
      <c r="D32" s="20">
        <v>0.7</v>
      </c>
      <c r="J32" s="11" t="s">
        <v>49</v>
      </c>
      <c r="K32" s="38"/>
      <c r="L32" s="45">
        <f>MIN(K29:K31)</f>
        <v>54008676.361194998</v>
      </c>
    </row>
    <row r="33" spans="2:4" x14ac:dyDescent="0.55000000000000004">
      <c r="B33" s="11" t="s">
        <v>49</v>
      </c>
      <c r="C33" s="38"/>
      <c r="D33" s="45">
        <f>MIN(C30:C32)</f>
        <v>11799982.065968323</v>
      </c>
    </row>
  </sheetData>
  <mergeCells count="3">
    <mergeCell ref="C16:D16"/>
    <mergeCell ref="G16:H16"/>
    <mergeCell ref="K16:L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BAF4E-99B2-4287-ADA3-4EF82C6561FB}">
  <dimension ref="B2:Q50"/>
  <sheetViews>
    <sheetView zoomScale="85" workbookViewId="0">
      <selection activeCell="D6" sqref="D6"/>
    </sheetView>
    <sheetView zoomScale="77" workbookViewId="1">
      <selection activeCell="D2" sqref="D2"/>
    </sheetView>
  </sheetViews>
  <sheetFormatPr defaultColWidth="9" defaultRowHeight="15.4" outlineLevelRow="1" x14ac:dyDescent="0.55000000000000004"/>
  <cols>
    <col min="1" max="1" width="9" style="1"/>
    <col min="2" max="2" width="20.19921875" style="1" bestFit="1" customWidth="1"/>
    <col min="3" max="3" width="9" style="1"/>
    <col min="4" max="4" width="11.53125" style="1" bestFit="1" customWidth="1"/>
    <col min="5" max="5" width="10.59765625" style="1" customWidth="1"/>
    <col min="6" max="12" width="11.1328125" style="1" bestFit="1" customWidth="1"/>
    <col min="13" max="13" width="10.59765625" style="1" customWidth="1"/>
    <col min="14" max="14" width="11.1328125" style="1" bestFit="1" customWidth="1"/>
    <col min="15" max="16384" width="9" style="1"/>
  </cols>
  <sheetData>
    <row r="2" spans="2:17" outlineLevel="1" x14ac:dyDescent="0.55000000000000004">
      <c r="D2" s="34" cm="1">
        <f t="array" ref="D2:N2">_xlfn.SEQUENCE(1,11,0,1)</f>
        <v>0</v>
      </c>
      <c r="E2" s="34">
        <v>1</v>
      </c>
      <c r="F2" s="34">
        <v>2</v>
      </c>
      <c r="G2" s="34">
        <v>3</v>
      </c>
      <c r="H2" s="34">
        <v>4</v>
      </c>
      <c r="I2" s="34">
        <v>5</v>
      </c>
      <c r="J2" s="34">
        <v>6</v>
      </c>
      <c r="K2" s="34">
        <v>7</v>
      </c>
      <c r="L2" s="34">
        <v>8</v>
      </c>
      <c r="M2" s="34">
        <v>9</v>
      </c>
      <c r="N2" s="34">
        <v>10</v>
      </c>
    </row>
    <row r="3" spans="2:17" outlineLevel="1" x14ac:dyDescent="0.55000000000000004">
      <c r="B3" s="1" t="s">
        <v>56</v>
      </c>
      <c r="D3" s="17" cm="1">
        <f t="array" ref="D3">IFERROR(INDEX($D$19:$N$19,,MATCH(D$2,_xlfn.ANCHORARRAY($D$13),0),1),0)</f>
        <v>11770482.110803403</v>
      </c>
      <c r="E3" s="17" cm="1">
        <f t="array" ref="E3">INDEX($D$19:$N$19,,MATCH(E$2,_xlfn.ANCHORARRAY($D$13),0),1)</f>
        <v>-848962.25333332422</v>
      </c>
      <c r="F3" s="17" cm="1">
        <f t="array" ref="F3">INDEX($D$19:$N$19,,MATCH(F$2,_xlfn.ANCHORARRAY($D$13),0),1)</f>
        <v>-848962.25333332422</v>
      </c>
      <c r="G3" s="17" cm="1">
        <f t="array" ref="G3">INDEX($D$19:$N$19,,MATCH(G$2,_xlfn.ANCHORARRAY($D$13),0),1)</f>
        <v>-848962.25333332422</v>
      </c>
      <c r="H3" s="17" cm="1">
        <f t="array" ref="H3">INDEX($D$19:$N$19,,MATCH(H$2,_xlfn.ANCHORARRAY($D$13),0),1)</f>
        <v>-10723862.790828642</v>
      </c>
      <c r="I3" s="17" cm="1">
        <f t="array" ref="I3">INDEX($D$19:$N$19,,MATCH(I$2,_xlfn.ANCHORARRAY($D$13),0),1)</f>
        <v>0</v>
      </c>
      <c r="J3" s="17" cm="1">
        <f t="array" ref="J3">INDEX($D$19:$N$19,,MATCH(J$2,_xlfn.ANCHORARRAY($D$13),0),1)</f>
        <v>0</v>
      </c>
      <c r="K3" s="17" cm="1">
        <f t="array" ref="K3">INDEX($D$19:$N$19,,MATCH(K$2,_xlfn.ANCHORARRAY($D$13),0),1)</f>
        <v>0</v>
      </c>
      <c r="L3" s="17" cm="1">
        <f t="array" ref="L3">INDEX($D$19:$N$19,,MATCH(L$2,_xlfn.ANCHORARRAY($D$13),0),1)</f>
        <v>0</v>
      </c>
      <c r="M3" s="17" cm="1">
        <f t="array" ref="M3">INDEX($D$19:$N$19,,MATCH(M$2,_xlfn.ANCHORARRAY($D$13),0),1)</f>
        <v>0</v>
      </c>
      <c r="N3" s="17" cm="1">
        <f t="array" ref="N3">INDEX($D$19:$N$19,,MATCH(N$2,_xlfn.ANCHORARRAY($D$13),0),1)</f>
        <v>0</v>
      </c>
    </row>
    <row r="4" spans="2:17" outlineLevel="1" x14ac:dyDescent="0.55000000000000004">
      <c r="B4" s="55" t="s">
        <v>53</v>
      </c>
      <c r="D4" s="17" cm="1">
        <f t="array" ref="D4">IFERROR(INDEX($D$33:$N$33,,MATCH(D$2,_xlfn.ANCHORARRAY($D$27),0),1),0)</f>
        <v>0</v>
      </c>
      <c r="E4" s="17" cm="1">
        <f t="array" ref="E4">IFERROR(INDEX($D$33:$N$33,,MATCH(E$2,_xlfn.ANCHORARRAY($D$27),0),1),0)</f>
        <v>0</v>
      </c>
      <c r="F4" s="17" cm="1">
        <f t="array" ref="F4">IFERROR(INDEX($D$33:$N$33,,MATCH(F$2,_xlfn.ANCHORARRAY($D$27),0),1),0)</f>
        <v>0</v>
      </c>
      <c r="G4" s="17" cm="1">
        <f t="array" ref="G4">IFERROR(INDEX($D$33:$N$33,,MATCH(G$2,_xlfn.ANCHORARRAY($D$27),0),1),0)</f>
        <v>0</v>
      </c>
      <c r="H4" s="17" cm="1">
        <f t="array" ref="H4">IFERROR(INDEX($D$33:$N$33,,MATCH(H$2,_xlfn.ANCHORARRAY($D$27),0),1),0)</f>
        <v>11323664.083333334</v>
      </c>
      <c r="I4" s="17" cm="1">
        <f t="array" ref="I4">IFERROR(INDEX($D$33:$N$33,,MATCH(I$2,_xlfn.ANCHORARRAY($D$27),0),1),0)</f>
        <v>-912738.66666666674</v>
      </c>
      <c r="J4" s="17" cm="1">
        <f t="array" ref="J4">IFERROR(INDEX($D$33:$N$33,,MATCH(J$2,_xlfn.ANCHORARRAY($D$27),0),1),0)</f>
        <v>-12321972</v>
      </c>
      <c r="K4" s="17" cm="1">
        <f t="array" ref="K4">IFERROR(INDEX($D$33:$N$33,,MATCH(K$2,_xlfn.ANCHORARRAY($D$27),0),1),0)</f>
        <v>0</v>
      </c>
      <c r="L4" s="17" cm="1">
        <f t="array" ref="L4">IFERROR(INDEX($D$33:$N$33,,MATCH(L$2,_xlfn.ANCHORARRAY($D$27),0),1),0)</f>
        <v>0</v>
      </c>
      <c r="M4" s="17" cm="1">
        <f t="array" ref="M4">IFERROR(INDEX($D$33:$N$33,,MATCH(M$2,_xlfn.ANCHORARRAY($D$27),0),1),0)</f>
        <v>0</v>
      </c>
      <c r="N4" s="17" cm="1">
        <f t="array" ref="N4">IFERROR(INDEX($D$33:$N$33,,MATCH(N$2,_xlfn.ANCHORARRAY($D$27),0),1),0)</f>
        <v>0</v>
      </c>
    </row>
    <row r="5" spans="2:17" outlineLevel="1" x14ac:dyDescent="0.55000000000000004">
      <c r="B5" s="55" t="s">
        <v>52</v>
      </c>
      <c r="D5" s="42" cm="1">
        <f t="array" ref="D5">IFERROR(INDEX($D$47:$N$47,,MATCH(D$2,$D$41:$N$41,0),1),0)</f>
        <v>0</v>
      </c>
      <c r="E5" s="42" cm="1">
        <f t="array" ref="E5">IFERROR(INDEX($D$47:$N$47,,MATCH(E$2,$D$41:$N$41,0),1),0)</f>
        <v>0</v>
      </c>
      <c r="F5" s="42" cm="1">
        <f t="array" ref="F5">IFERROR(INDEX($D$47:$N$47,,MATCH(F$2,$D$41:$N$41,0),1),0)</f>
        <v>0</v>
      </c>
      <c r="G5" s="42" cm="1">
        <f t="array" ref="G5">IFERROR(INDEX($D$47:$N$47,,MATCH(G$2,$D$41:$N$41,0),1),0)</f>
        <v>0</v>
      </c>
      <c r="H5" s="42" cm="1">
        <f t="array" ref="H5">IFERROR(INDEX($D$47:$N$47,,MATCH(H$2,$D$41:$N$41,0),1),0)</f>
        <v>0</v>
      </c>
      <c r="I5" s="42" cm="1">
        <f t="array" ref="I5">IFERROR(INDEX($D$47:$N$47,,MATCH(I$2,$D$41:$N$41,0),1),0)</f>
        <v>0</v>
      </c>
      <c r="J5" s="42" cm="1">
        <f t="array" ref="J5">IFERROR(INDEX($D$47:$N$47,,MATCH(J$2,$D$41:$N$41,0),1),0)</f>
        <v>53603611.288486034</v>
      </c>
      <c r="K5" s="42" cm="1">
        <f t="array" ref="K5">IFERROR(INDEX($D$47:$N$47,,MATCH(K$2,$D$41:$N$41,0),1),0)</f>
        <v>-3679863.8898235662</v>
      </c>
      <c r="L5" s="42" cm="1">
        <f t="array" ref="L5">IFERROR(INDEX($D$47:$N$47,,MATCH(L$2,$D$41:$N$41,0),1),0)</f>
        <v>-3679863.8898235662</v>
      </c>
      <c r="M5" s="42" cm="1">
        <f t="array" ref="M5">IFERROR(INDEX($D$47:$N$47,,MATCH(M$2,$D$41:$N$41,0),1),0)</f>
        <v>-3679863.8898235662</v>
      </c>
      <c r="N5" s="42" cm="1">
        <f t="array" ref="N5">IFERROR(INDEX($D$47:$N$47,,MATCH(N$2,$D$41:$N$41,0),1),0)</f>
        <v>-3679863.8898235662</v>
      </c>
    </row>
    <row r="6" spans="2:17" outlineLevel="1" x14ac:dyDescent="0.55000000000000004">
      <c r="B6" s="56" t="s">
        <v>54</v>
      </c>
      <c r="D6" s="17">
        <f>SUM(D3:D5)</f>
        <v>11770482.110803403</v>
      </c>
      <c r="E6" s="17">
        <f t="shared" ref="E6:N6" si="0">SUM(E3:E5)</f>
        <v>-848962.25333332422</v>
      </c>
      <c r="F6" s="17">
        <f t="shared" si="0"/>
        <v>-848962.25333332422</v>
      </c>
      <c r="G6" s="17">
        <f t="shared" si="0"/>
        <v>-848962.25333332422</v>
      </c>
      <c r="H6" s="17">
        <f t="shared" si="0"/>
        <v>599801.29250469245</v>
      </c>
      <c r="I6" s="17">
        <f t="shared" si="0"/>
        <v>-912738.66666666674</v>
      </c>
      <c r="J6" s="17">
        <f t="shared" si="0"/>
        <v>41281639.288486034</v>
      </c>
      <c r="K6" s="17">
        <f t="shared" si="0"/>
        <v>-3679863.8898235662</v>
      </c>
      <c r="L6" s="17">
        <f t="shared" si="0"/>
        <v>-3679863.8898235662</v>
      </c>
      <c r="M6" s="17">
        <f t="shared" si="0"/>
        <v>-3679863.8898235662</v>
      </c>
      <c r="N6" s="17">
        <f t="shared" si="0"/>
        <v>-3679863.8898235662</v>
      </c>
    </row>
    <row r="7" spans="2:17" outlineLevel="1" x14ac:dyDescent="0.55000000000000004"/>
    <row r="10" spans="2:17" x14ac:dyDescent="0.55000000000000004">
      <c r="B10" s="48" t="s">
        <v>47</v>
      </c>
    </row>
    <row r="12" spans="2:17" x14ac:dyDescent="0.55000000000000004">
      <c r="D12" s="32">
        <f>EDATE('Debt &amp; Equity Assumptions'!$D$21,0)</f>
        <v>45292</v>
      </c>
      <c r="E12" s="33">
        <f>EDATE(D12,12)</f>
        <v>45658</v>
      </c>
      <c r="F12" s="33">
        <f t="shared" ref="F12:N12" si="1">EDATE(E12,12)</f>
        <v>46023</v>
      </c>
      <c r="G12" s="33">
        <f t="shared" si="1"/>
        <v>46388</v>
      </c>
      <c r="H12" s="33">
        <f t="shared" si="1"/>
        <v>46753</v>
      </c>
      <c r="I12" s="33">
        <f t="shared" si="1"/>
        <v>47119</v>
      </c>
      <c r="J12" s="33">
        <f t="shared" si="1"/>
        <v>47484</v>
      </c>
      <c r="K12" s="33">
        <f t="shared" si="1"/>
        <v>47849</v>
      </c>
      <c r="L12" s="33">
        <f t="shared" si="1"/>
        <v>48214</v>
      </c>
      <c r="M12" s="33">
        <f t="shared" si="1"/>
        <v>48580</v>
      </c>
      <c r="N12" s="33">
        <f t="shared" si="1"/>
        <v>48945</v>
      </c>
    </row>
    <row r="13" spans="2:17" x14ac:dyDescent="0.55000000000000004">
      <c r="D13" s="34" cm="1">
        <f t="array" ref="D13:N13">_xlfn.SEQUENCE(1,11,0,1)</f>
        <v>0</v>
      </c>
      <c r="E13" s="34">
        <v>1</v>
      </c>
      <c r="F13" s="34">
        <v>2</v>
      </c>
      <c r="G13" s="34">
        <v>3</v>
      </c>
      <c r="H13" s="34">
        <v>4</v>
      </c>
      <c r="I13" s="34">
        <v>5</v>
      </c>
      <c r="J13" s="34">
        <v>6</v>
      </c>
      <c r="K13" s="34">
        <v>7</v>
      </c>
      <c r="L13" s="34">
        <v>8</v>
      </c>
      <c r="M13" s="34">
        <v>9</v>
      </c>
      <c r="N13" s="34">
        <v>10</v>
      </c>
    </row>
    <row r="14" spans="2:17" x14ac:dyDescent="0.55000000000000004">
      <c r="B14" s="5" t="s">
        <v>24</v>
      </c>
    </row>
    <row r="15" spans="2:17" x14ac:dyDescent="0.55000000000000004">
      <c r="B15" s="5" t="s">
        <v>36</v>
      </c>
      <c r="D15" s="17">
        <f>-D16*'Debt &amp; Equity Assumptions'!$D$27</f>
        <v>-29499.955164920808</v>
      </c>
    </row>
    <row r="16" spans="2:17" ht="17.649999999999999" x14ac:dyDescent="0.85">
      <c r="B16" s="3" t="s">
        <v>20</v>
      </c>
      <c r="D16" s="41">
        <f>'Debt &amp; Equity Assumptions'!D33</f>
        <v>11799982.065968323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</row>
    <row r="17" spans="2:17" x14ac:dyDescent="0.55000000000000004">
      <c r="B17" s="3" t="s">
        <v>21</v>
      </c>
      <c r="D17" s="17"/>
      <c r="E17" s="17">
        <f>IF(E12&lt;'Debt &amp; Equity Assumptions'!$D$22,PMT('Debt &amp; Equity Assumptions'!$D$23/12,'Debt &amp; Equity Assumptions'!$D$24,$D$16)*12,0)</f>
        <v>-848962.25333332422</v>
      </c>
      <c r="F17" s="17">
        <f>IF(F12&lt;='Debt &amp; Equity Assumptions'!$D$22,PMT('Debt &amp; Equity Assumptions'!$D$23/12,'Debt &amp; Equity Assumptions'!$D$24,$D$16)*12,0)</f>
        <v>-848962.25333332422</v>
      </c>
      <c r="G17" s="17">
        <f>IF(G12&lt;='Debt &amp; Equity Assumptions'!$D$22,PMT('Debt &amp; Equity Assumptions'!$D$23/12,'Debt &amp; Equity Assumptions'!$D$24,$D$16)*12,0)</f>
        <v>-848962.25333332422</v>
      </c>
      <c r="H17" s="17">
        <f>IF(H12&lt;='Debt &amp; Equity Assumptions'!$D$22,PMT('Debt &amp; Equity Assumptions'!$D$23/12,'Debt &amp; Equity Assumptions'!$D$24,$D$16)*12,0)</f>
        <v>-848962.25333332422</v>
      </c>
      <c r="I17" s="17">
        <f>IF(I12&lt;='Debt &amp; Equity Assumptions'!$D$22,PMT('Debt &amp; Equity Assumptions'!$D$23/12,'Debt &amp; Equity Assumptions'!$D$24,$D$16)*12,0)</f>
        <v>0</v>
      </c>
      <c r="J17" s="17">
        <f>IF(J12&lt;='Debt &amp; Equity Assumptions'!$D$22,PMT('Debt &amp; Equity Assumptions'!$D$23/12,'Debt &amp; Equity Assumptions'!$D$24,$D$16)*12,0)</f>
        <v>0</v>
      </c>
      <c r="K17" s="17">
        <f>IF(K12&lt;='Debt &amp; Equity Assumptions'!$D$22,PMT('Debt &amp; Equity Assumptions'!$D$23/12,'Debt &amp; Equity Assumptions'!$D$24,$D$16)*12,0)</f>
        <v>0</v>
      </c>
      <c r="L17" s="17">
        <f>IF(L12&lt;='Debt &amp; Equity Assumptions'!$D$22,PMT('Debt &amp; Equity Assumptions'!$D$23/12,'Debt &amp; Equity Assumptions'!$D$24,$D$16)*12,0)</f>
        <v>0</v>
      </c>
      <c r="M17" s="17">
        <f>IF(M12&lt;='Debt &amp; Equity Assumptions'!$D$22,PMT('Debt &amp; Equity Assumptions'!$D$23/12,'Debt &amp; Equity Assumptions'!$D$24,$D$16)*12,0)</f>
        <v>0</v>
      </c>
      <c r="N17" s="17">
        <f>IF(N12&lt;='Debt &amp; Equity Assumptions'!$D$22,PMT('Debt &amp; Equity Assumptions'!$D$23/12,'Debt &amp; Equity Assumptions'!$D$24,$D$16)*12,0)</f>
        <v>0</v>
      </c>
      <c r="O17" s="17"/>
      <c r="P17" s="17"/>
      <c r="Q17" s="17"/>
    </row>
    <row r="18" spans="2:17" x14ac:dyDescent="0.55000000000000004">
      <c r="B18" s="3" t="s">
        <v>22</v>
      </c>
      <c r="D18" s="42"/>
      <c r="E18" s="42">
        <f>-IF(E$12='Debt &amp; Equity Assumptions'!$D$22,'Debt &amp; Equity Assumptions'!$D$33+CUMPRINC('Debt &amp; Equity Assumptions'!$D$23/12,'Debt &amp; Equity Assumptions'!$D$24,'Debt &amp; Equity Assumptions'!$D$33,1,120,0),0)</f>
        <v>0</v>
      </c>
      <c r="F18" s="42">
        <f>-IF(F$12='Debt &amp; Equity Assumptions'!$D$22,'Debt &amp; Equity Assumptions'!$D$33+CUMPRINC('Debt &amp; Equity Assumptions'!$D$23/12,'Debt &amp; Equity Assumptions'!$D$24,'Debt &amp; Equity Assumptions'!$D$33,1,120,0),0)</f>
        <v>0</v>
      </c>
      <c r="G18" s="42">
        <f>-IF(G$12='Debt &amp; Equity Assumptions'!$D$22,'Debt &amp; Equity Assumptions'!$D$33+CUMPRINC('Debt &amp; Equity Assumptions'!$D$23/12,'Debt &amp; Equity Assumptions'!$D$24,'Debt &amp; Equity Assumptions'!$D$33,1,120,0),0)</f>
        <v>0</v>
      </c>
      <c r="H18" s="42">
        <f>-IF(H$12='Debt &amp; Equity Assumptions'!$D$22,'Debt &amp; Equity Assumptions'!$D$33+CUMPRINC('Debt &amp; Equity Assumptions'!$D$23/12,'Debt &amp; Equity Assumptions'!$D$24,'Debt &amp; Equity Assumptions'!$D$33,1,120,0),0)</f>
        <v>-9874900.5374953169</v>
      </c>
      <c r="I18" s="42">
        <f>-IF(I$12='Debt &amp; Equity Assumptions'!$D$22,'Debt &amp; Equity Assumptions'!$D$33+CUMPRINC('Debt &amp; Equity Assumptions'!$D$23/12,'Debt &amp; Equity Assumptions'!$D$24,'Debt &amp; Equity Assumptions'!$D$33,1,120,0),0)</f>
        <v>0</v>
      </c>
      <c r="J18" s="42">
        <f>-IF(J$12='Debt &amp; Equity Assumptions'!$D$22,'Debt &amp; Equity Assumptions'!$D$33+CUMPRINC('Debt &amp; Equity Assumptions'!$D$23/12,'Debt &amp; Equity Assumptions'!$D$24,'Debt &amp; Equity Assumptions'!$D$33,1,120,0),0)</f>
        <v>0</v>
      </c>
      <c r="K18" s="42">
        <f>-IF(K$12='Debt &amp; Equity Assumptions'!$D$22,'Debt &amp; Equity Assumptions'!$D$33+CUMPRINC('Debt &amp; Equity Assumptions'!$D$23/12,'Debt &amp; Equity Assumptions'!$D$24,'Debt &amp; Equity Assumptions'!$D$33,1,120,0),0)</f>
        <v>0</v>
      </c>
      <c r="L18" s="42">
        <f>-IF(L$12='Debt &amp; Equity Assumptions'!$D$22,'Debt &amp; Equity Assumptions'!$D$33+CUMPRINC('Debt &amp; Equity Assumptions'!$D$23/12,'Debt &amp; Equity Assumptions'!$D$24,'Debt &amp; Equity Assumptions'!$D$33,1,120,0),0)</f>
        <v>0</v>
      </c>
      <c r="M18" s="42">
        <f>-IF(M$12='Debt &amp; Equity Assumptions'!$D$22,'Debt &amp; Equity Assumptions'!$D$33+CUMPRINC('Debt &amp; Equity Assumptions'!$D$23/12,'Debt &amp; Equity Assumptions'!$D$24,'Debt &amp; Equity Assumptions'!$D$33,1,120,0),0)</f>
        <v>0</v>
      </c>
      <c r="N18" s="42">
        <f>-IF(N$12='Debt &amp; Equity Assumptions'!$D$22,'Debt &amp; Equity Assumptions'!$D$33+CUMPRINC('Debt &amp; Equity Assumptions'!$D$23/12,'Debt &amp; Equity Assumptions'!$D$24,'Debt &amp; Equity Assumptions'!$D$33,1,120,0),0)</f>
        <v>0</v>
      </c>
      <c r="O18" s="17"/>
      <c r="P18" s="17"/>
      <c r="Q18" s="17"/>
    </row>
    <row r="19" spans="2:17" x14ac:dyDescent="0.55000000000000004">
      <c r="B19" s="1" t="s">
        <v>25</v>
      </c>
      <c r="D19" s="17">
        <f>SUM(D15:D18)</f>
        <v>11770482.110803403</v>
      </c>
      <c r="E19" s="17">
        <f t="shared" ref="E19:N19" si="2">SUM(E15:E18)</f>
        <v>-848962.25333332422</v>
      </c>
      <c r="F19" s="17">
        <f t="shared" si="2"/>
        <v>-848962.25333332422</v>
      </c>
      <c r="G19" s="17">
        <f t="shared" si="2"/>
        <v>-848962.25333332422</v>
      </c>
      <c r="H19" s="17">
        <f t="shared" si="2"/>
        <v>-10723862.790828642</v>
      </c>
      <c r="I19" s="17">
        <f t="shared" si="2"/>
        <v>0</v>
      </c>
      <c r="J19" s="17">
        <f t="shared" si="2"/>
        <v>0</v>
      </c>
      <c r="K19" s="17">
        <f t="shared" si="2"/>
        <v>0</v>
      </c>
      <c r="L19" s="17">
        <f t="shared" si="2"/>
        <v>0</v>
      </c>
      <c r="M19" s="17">
        <f t="shared" si="2"/>
        <v>0</v>
      </c>
      <c r="N19" s="17">
        <f t="shared" si="2"/>
        <v>0</v>
      </c>
      <c r="O19" s="17"/>
      <c r="P19" s="17"/>
      <c r="Q19" s="17"/>
    </row>
    <row r="20" spans="2:17" x14ac:dyDescent="0.55000000000000004"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</row>
    <row r="21" spans="2:17" x14ac:dyDescent="0.55000000000000004">
      <c r="B21" s="1" t="s">
        <v>23</v>
      </c>
      <c r="D21" s="43">
        <f>XIRR(D19:N19,D12:N12)</f>
        <v>3.3826526999473569E-2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</row>
    <row r="22" spans="2:17" x14ac:dyDescent="0.55000000000000004">
      <c r="B22" s="1" t="s">
        <v>26</v>
      </c>
      <c r="D22" s="44">
        <f>-SUMIF(D19:N19,"&lt;0")/SUMIF(D19:N19,"&gt;0")</f>
        <v>1.1274601520908143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</row>
    <row r="23" spans="2:17" x14ac:dyDescent="0.55000000000000004"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</row>
    <row r="24" spans="2:17" x14ac:dyDescent="0.55000000000000004">
      <c r="B24" s="48" t="s">
        <v>39</v>
      </c>
    </row>
    <row r="26" spans="2:17" x14ac:dyDescent="0.55000000000000004">
      <c r="D26" s="32">
        <f>EDATE('Debt &amp; Equity Assumptions'!$H$21,0)</f>
        <v>45658</v>
      </c>
      <c r="E26" s="33">
        <f>EDATE(D26,12)</f>
        <v>46023</v>
      </c>
      <c r="F26" s="33">
        <f t="shared" ref="F26:N26" si="3">EDATE(E26,12)</f>
        <v>46388</v>
      </c>
      <c r="G26" s="33">
        <f t="shared" si="3"/>
        <v>46753</v>
      </c>
      <c r="H26" s="33">
        <f t="shared" si="3"/>
        <v>47119</v>
      </c>
      <c r="I26" s="33">
        <f t="shared" si="3"/>
        <v>47484</v>
      </c>
      <c r="J26" s="33">
        <f t="shared" si="3"/>
        <v>47849</v>
      </c>
      <c r="K26" s="33">
        <f t="shared" si="3"/>
        <v>48214</v>
      </c>
      <c r="L26" s="33">
        <f t="shared" si="3"/>
        <v>48580</v>
      </c>
      <c r="M26" s="33">
        <f t="shared" si="3"/>
        <v>48945</v>
      </c>
      <c r="N26" s="33">
        <f t="shared" si="3"/>
        <v>49310</v>
      </c>
    </row>
    <row r="27" spans="2:17" x14ac:dyDescent="0.55000000000000004">
      <c r="D27" s="34" cm="1">
        <f t="array" ref="D27:N27">_xlfn.SEQUENCE(1,11,ROUNDDOWN('Debt &amp; Equity Assumptions'!D26/12,0),1)</f>
        <v>4</v>
      </c>
      <c r="E27" s="34">
        <v>5</v>
      </c>
      <c r="F27" s="34">
        <v>6</v>
      </c>
      <c r="G27" s="34">
        <v>7</v>
      </c>
      <c r="H27" s="34">
        <v>8</v>
      </c>
      <c r="I27" s="34">
        <v>9</v>
      </c>
      <c r="J27" s="34">
        <v>10</v>
      </c>
      <c r="K27" s="34">
        <v>11</v>
      </c>
      <c r="L27" s="34">
        <v>12</v>
      </c>
      <c r="M27" s="34">
        <v>13</v>
      </c>
      <c r="N27" s="34">
        <v>14</v>
      </c>
    </row>
    <row r="28" spans="2:17" x14ac:dyDescent="0.55000000000000004">
      <c r="B28" s="5" t="s">
        <v>24</v>
      </c>
    </row>
    <row r="29" spans="2:17" x14ac:dyDescent="0.55000000000000004">
      <c r="B29" s="5" t="s">
        <v>36</v>
      </c>
      <c r="D29" s="17">
        <f>-D30*'Debt &amp; Equity Assumptions'!H$26</f>
        <v>-85569.25</v>
      </c>
    </row>
    <row r="30" spans="2:17" ht="17.649999999999999" x14ac:dyDescent="0.85">
      <c r="B30" s="3" t="s">
        <v>20</v>
      </c>
      <c r="D30" s="41">
        <f>'Debt &amp; Equity Assumptions'!H30</f>
        <v>11409233.333333334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2:17" x14ac:dyDescent="0.55000000000000004">
      <c r="B31" s="3" t="s">
        <v>21</v>
      </c>
      <c r="D31" s="17"/>
      <c r="E31" s="17">
        <f>IF(E26&lt;'Debt &amp; Equity Assumptions'!$H$22,-'Debt &amp; Equity Assumptions'!$H$28,IF(E26&gt;='Debt &amp; Equity Assumptions'!$H$21,0))</f>
        <v>-912738.66666666674</v>
      </c>
      <c r="F31" s="17">
        <f>IF(F26&lt;'Debt &amp; Equity Assumptions'!$H$22,-'Debt &amp; Equity Assumptions'!$H$28,IF(F26&gt;='Debt &amp; Equity Assumptions'!$H$21,0))</f>
        <v>-912738.66666666674</v>
      </c>
      <c r="G31" s="17">
        <f>IF(G26&lt;'Debt &amp; Equity Assumptions'!$H$22,-'Debt &amp; Equity Assumptions'!$H$28,IF(G26&gt;='Debt &amp; Equity Assumptions'!$H$21,0))</f>
        <v>0</v>
      </c>
      <c r="H31" s="17">
        <f>IF(H26&lt;'Debt &amp; Equity Assumptions'!$H$22,-'Debt &amp; Equity Assumptions'!$H$28,IF(H26&gt;='Debt &amp; Equity Assumptions'!$H$21,0))</f>
        <v>0</v>
      </c>
      <c r="I31" s="17">
        <f>IF(I26&lt;'Debt &amp; Equity Assumptions'!$H$22,-'Debt &amp; Equity Assumptions'!$H$28,IF(I26&gt;='Debt &amp; Equity Assumptions'!$H$21,0))</f>
        <v>0</v>
      </c>
      <c r="J31" s="17">
        <f>IF(J26&lt;'Debt &amp; Equity Assumptions'!$H$22,-'Debt &amp; Equity Assumptions'!$H$28,IF(J26&gt;='Debt &amp; Equity Assumptions'!$H$21,0))</f>
        <v>0</v>
      </c>
      <c r="K31" s="17">
        <f>IF(K26&lt;'Debt &amp; Equity Assumptions'!$H$22,-'Debt &amp; Equity Assumptions'!$H$28,IF(K26&gt;='Debt &amp; Equity Assumptions'!$H$21,0))</f>
        <v>0</v>
      </c>
      <c r="L31" s="17">
        <f>IF(L26&lt;'Debt &amp; Equity Assumptions'!$H$22,-'Debt &amp; Equity Assumptions'!$H$28,IF(L26&gt;='Debt &amp; Equity Assumptions'!$H$21,0))</f>
        <v>0</v>
      </c>
      <c r="M31" s="17">
        <f>IF(M26&lt;'Debt &amp; Equity Assumptions'!$H$22,-'Debt &amp; Equity Assumptions'!$H$28,IF(M26&gt;='Debt &amp; Equity Assumptions'!$H$21,0))</f>
        <v>0</v>
      </c>
      <c r="N31" s="17">
        <f>IF(N26&lt;'Debt &amp; Equity Assumptions'!$H$22,-'Debt &amp; Equity Assumptions'!$H$28,IF(N26&gt;='Debt &amp; Equity Assumptions'!$H$21,0))</f>
        <v>0</v>
      </c>
    </row>
    <row r="32" spans="2:17" x14ac:dyDescent="0.55000000000000004">
      <c r="B32" s="3" t="s">
        <v>22</v>
      </c>
      <c r="D32" s="42"/>
      <c r="E32" s="42">
        <f>-IF(YEAR(E26)=YEAR('Debt &amp; Equity Assumptions'!$H$22-1),'Debt &amp; Equity Assumptions'!$H$30,0)</f>
        <v>0</v>
      </c>
      <c r="F32" s="42">
        <f>-IF(YEAR(F26)=YEAR('Debt &amp; Equity Assumptions'!$H$22-1),'Debt &amp; Equity Assumptions'!$H$30,0)</f>
        <v>-11409233.333333334</v>
      </c>
      <c r="G32" s="42">
        <f>-IF(YEAR(G26)=YEAR('Debt &amp; Equity Assumptions'!$H$22-1),'Debt &amp; Equity Assumptions'!$H$30,0)</f>
        <v>0</v>
      </c>
      <c r="H32" s="42">
        <f>-IF(YEAR(H26)=YEAR('Debt &amp; Equity Assumptions'!$H$22-1),'Debt &amp; Equity Assumptions'!$H$30,0)</f>
        <v>0</v>
      </c>
      <c r="I32" s="42">
        <f>-IF(YEAR(I26)=YEAR('Debt &amp; Equity Assumptions'!$H$22-1),'Debt &amp; Equity Assumptions'!$H$30,0)</f>
        <v>0</v>
      </c>
      <c r="J32" s="42">
        <f>-IF(YEAR(J26)=YEAR('Debt &amp; Equity Assumptions'!$H$22-1),'Debt &amp; Equity Assumptions'!$H$30,0)</f>
        <v>0</v>
      </c>
      <c r="K32" s="42">
        <f>-IF(YEAR(K26)=YEAR('Debt &amp; Equity Assumptions'!$H$22-1),'Debt &amp; Equity Assumptions'!$H$30,0)</f>
        <v>0</v>
      </c>
      <c r="L32" s="42">
        <f>-IF(YEAR(L26)=YEAR('Debt &amp; Equity Assumptions'!$H$22-1),'Debt &amp; Equity Assumptions'!$H$30,0)</f>
        <v>0</v>
      </c>
      <c r="M32" s="42">
        <f>-IF(YEAR(M26)=YEAR('Debt &amp; Equity Assumptions'!$H$22-1),'Debt &amp; Equity Assumptions'!$H$30,0)</f>
        <v>0</v>
      </c>
      <c r="N32" s="42">
        <f>-IF(YEAR(N26)=YEAR('Debt &amp; Equity Assumptions'!$H$22-1),'Debt &amp; Equity Assumptions'!$H$30,0)</f>
        <v>0</v>
      </c>
    </row>
    <row r="33" spans="2:14" x14ac:dyDescent="0.55000000000000004">
      <c r="B33" s="1" t="s">
        <v>25</v>
      </c>
      <c r="D33" s="17">
        <f>SUM(D29:D32)</f>
        <v>11323664.083333334</v>
      </c>
      <c r="E33" s="17">
        <f t="shared" ref="E33:N33" si="4">SUM(E29:E32)</f>
        <v>-912738.66666666674</v>
      </c>
      <c r="F33" s="17">
        <f t="shared" si="4"/>
        <v>-12321972</v>
      </c>
      <c r="G33" s="17">
        <f t="shared" si="4"/>
        <v>0</v>
      </c>
      <c r="H33" s="17">
        <f t="shared" si="4"/>
        <v>0</v>
      </c>
      <c r="I33" s="17">
        <f t="shared" si="4"/>
        <v>0</v>
      </c>
      <c r="J33" s="17">
        <f t="shared" si="4"/>
        <v>0</v>
      </c>
      <c r="K33" s="17">
        <f t="shared" si="4"/>
        <v>0</v>
      </c>
      <c r="L33" s="17">
        <f t="shared" si="4"/>
        <v>0</v>
      </c>
      <c r="M33" s="17">
        <f t="shared" si="4"/>
        <v>0</v>
      </c>
      <c r="N33" s="17">
        <f t="shared" si="4"/>
        <v>0</v>
      </c>
    </row>
    <row r="34" spans="2:14" x14ac:dyDescent="0.55000000000000004"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</row>
    <row r="35" spans="2:14" x14ac:dyDescent="0.55000000000000004">
      <c r="B35" s="1" t="s">
        <v>23</v>
      </c>
      <c r="D35" s="43">
        <f>XIRR(D33:N33,D26:N26)</f>
        <v>8.4230175614357E-2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</row>
    <row r="36" spans="2:14" x14ac:dyDescent="0.55000000000000004">
      <c r="B36" s="1" t="s">
        <v>26</v>
      </c>
      <c r="D36" s="44">
        <f>-SUMIF(D33:N33,"&lt;0")/SUMIF(D33:N33,"&gt;0")</f>
        <v>1.1687657430730478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</row>
    <row r="38" spans="2:14" x14ac:dyDescent="0.55000000000000004">
      <c r="B38" s="48" t="s">
        <v>45</v>
      </c>
    </row>
    <row r="40" spans="2:14" x14ac:dyDescent="0.55000000000000004">
      <c r="D40" s="32">
        <f>EDATE('Debt &amp; Equity Assumptions'!H21,'Debt &amp; Equity Assumptions'!H25)</f>
        <v>46753</v>
      </c>
      <c r="E40" s="33">
        <f>EDATE(D40,12)</f>
        <v>47119</v>
      </c>
      <c r="F40" s="33">
        <f t="shared" ref="F40" si="5">EOMONTH(E40,12)</f>
        <v>47514</v>
      </c>
      <c r="G40" s="33">
        <f t="shared" ref="G40" si="6">EOMONTH(F40,12)</f>
        <v>47879</v>
      </c>
      <c r="H40" s="33">
        <f t="shared" ref="H40" si="7">EOMONTH(G40,12)</f>
        <v>48244</v>
      </c>
      <c r="I40" s="33">
        <f t="shared" ref="I40" si="8">EOMONTH(H40,12)</f>
        <v>48610</v>
      </c>
      <c r="J40" s="33">
        <f t="shared" ref="J40" si="9">EOMONTH(I40,12)</f>
        <v>48975</v>
      </c>
      <c r="K40" s="33">
        <f t="shared" ref="K40" si="10">EOMONTH(J40,12)</f>
        <v>49340</v>
      </c>
      <c r="L40" s="33">
        <f t="shared" ref="L40" si="11">EOMONTH(K40,12)</f>
        <v>49705</v>
      </c>
      <c r="M40" s="33">
        <f t="shared" ref="M40" si="12">EOMONTH(L40,12)</f>
        <v>50071</v>
      </c>
      <c r="N40" s="33">
        <f t="shared" ref="N40" si="13">EOMONTH(M40,12)</f>
        <v>50436</v>
      </c>
    </row>
    <row r="41" spans="2:14" x14ac:dyDescent="0.55000000000000004">
      <c r="D41" s="34" cm="1">
        <f t="array" ref="D41:N41">_xlfn.SEQUENCE(1,11,(('Debt &amp; Equity Assumptions'!$H$25+'Debt &amp; Equity Assumptions'!$D$26)/12)-1,1)</f>
        <v>6</v>
      </c>
      <c r="E41" s="34">
        <v>7</v>
      </c>
      <c r="F41" s="34">
        <v>8</v>
      </c>
      <c r="G41" s="34">
        <v>9</v>
      </c>
      <c r="H41" s="34">
        <v>10</v>
      </c>
      <c r="I41" s="34">
        <v>11</v>
      </c>
      <c r="J41" s="34">
        <v>12</v>
      </c>
      <c r="K41" s="34">
        <v>13</v>
      </c>
      <c r="L41" s="34">
        <v>14</v>
      </c>
      <c r="M41" s="34">
        <v>15</v>
      </c>
      <c r="N41" s="34">
        <v>16</v>
      </c>
    </row>
    <row r="42" spans="2:14" x14ac:dyDescent="0.55000000000000004">
      <c r="B42" s="5" t="s">
        <v>24</v>
      </c>
    </row>
    <row r="43" spans="2:14" x14ac:dyDescent="0.55000000000000004">
      <c r="B43" s="5" t="s">
        <v>36</v>
      </c>
      <c r="D43" s="17">
        <f>-D44*'Debt &amp; Equity Assumptions'!$L$26</f>
        <v>-405065.07270896249</v>
      </c>
    </row>
    <row r="44" spans="2:14" ht="17.649999999999999" x14ac:dyDescent="0.85">
      <c r="B44" s="3" t="s">
        <v>20</v>
      </c>
      <c r="D44" s="41">
        <f>'Debt &amp; Equity Assumptions'!L32</f>
        <v>54008676.361194998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</row>
    <row r="45" spans="2:14" x14ac:dyDescent="0.55000000000000004">
      <c r="B45" s="3" t="s">
        <v>21</v>
      </c>
      <c r="D45" s="17"/>
      <c r="E45" s="17">
        <f>IF(YEAR(E$40)&lt;=YEAR('Torrance Inputs'!$D$19),PMT('Debt &amp; Equity Assumptions'!$L$23/12,'Debt &amp; Equity Assumptions'!$L$24,'Debt &amp; Equity Assumptions'!$L$32)*12,0)</f>
        <v>-3679863.8898235662</v>
      </c>
      <c r="F45" s="17">
        <f>IF(YEAR(F$40)&lt;=YEAR('Debt &amp; Equity Assumptions'!$L$22)-1,PMT('Debt &amp; Equity Assumptions'!$L$23/12,'Debt &amp; Equity Assumptions'!$L$24,'Debt &amp; Equity Assumptions'!$L$32)*12,0)</f>
        <v>-3679863.8898235662</v>
      </c>
      <c r="G45" s="17">
        <f>IF(YEAR(G$40)&lt;=YEAR('Debt &amp; Equity Assumptions'!$L$22)-1,PMT('Debt &amp; Equity Assumptions'!$L$23/12,'Debt &amp; Equity Assumptions'!$L$24,'Debt &amp; Equity Assumptions'!$L$32)*12,0)</f>
        <v>-3679863.8898235662</v>
      </c>
      <c r="H45" s="17">
        <f>IF(YEAR(H$40)&lt;=YEAR('Debt &amp; Equity Assumptions'!$L$22)-1,PMT('Debt &amp; Equity Assumptions'!$L$23/12,'Debt &amp; Equity Assumptions'!$L$24,'Debt &amp; Equity Assumptions'!$L$32)*12,0)</f>
        <v>-3679863.8898235662</v>
      </c>
      <c r="I45" s="17">
        <f>IF(YEAR(I$40)&lt;=YEAR('Debt &amp; Equity Assumptions'!$L$22)-1,PMT('Debt &amp; Equity Assumptions'!$L$23/12,'Debt &amp; Equity Assumptions'!$L$24,'Debt &amp; Equity Assumptions'!$L$32)*12,0)</f>
        <v>-3679863.8898235662</v>
      </c>
      <c r="J45" s="17">
        <f>IF(YEAR(J$40)&lt;=YEAR('Debt &amp; Equity Assumptions'!$L$22)-1,PMT('Debt &amp; Equity Assumptions'!$L$23/12,'Debt &amp; Equity Assumptions'!$L$24,'Debt &amp; Equity Assumptions'!$L$32)*12,0)</f>
        <v>-3679863.8898235662</v>
      </c>
      <c r="K45" s="17">
        <f>IF(YEAR(K$40)&lt;=YEAR('Debt &amp; Equity Assumptions'!$L$22)-1,PMT('Debt &amp; Equity Assumptions'!$L$23/12,'Debt &amp; Equity Assumptions'!$L$24,'Debt &amp; Equity Assumptions'!$L$32)*12,0)</f>
        <v>0</v>
      </c>
      <c r="L45" s="17">
        <f>IF(YEAR(L$40)&lt;=YEAR('Debt &amp; Equity Assumptions'!$L$22)-1,PMT('Debt &amp; Equity Assumptions'!$L$23/12,'Debt &amp; Equity Assumptions'!$L$24,'Debt &amp; Equity Assumptions'!$L$32)*12,0)</f>
        <v>0</v>
      </c>
      <c r="M45" s="17">
        <f>IF(YEAR(M$40)&lt;=YEAR('Debt &amp; Equity Assumptions'!$L$22)-1,PMT('Debt &amp; Equity Assumptions'!$L$23/12,'Debt &amp; Equity Assumptions'!$L$24,'Debt &amp; Equity Assumptions'!$L$32)*12,0)</f>
        <v>0</v>
      </c>
      <c r="N45" s="17">
        <f>IF(YEAR(N$40)&lt;=YEAR('Debt &amp; Equity Assumptions'!$L$22)-1,PMT('Debt &amp; Equity Assumptions'!$L$23/12,'Debt &amp; Equity Assumptions'!$L$24,'Debt &amp; Equity Assumptions'!$L$32)*12,0)</f>
        <v>0</v>
      </c>
    </row>
    <row r="46" spans="2:14" x14ac:dyDescent="0.55000000000000004">
      <c r="B46" s="3" t="s">
        <v>22</v>
      </c>
      <c r="D46" s="42"/>
      <c r="E46" s="42">
        <f>-IF(YEAR(E$40)=YEAR('Debt &amp; Equity Assumptions'!$L$22)-1,('Debt &amp; Equity Assumptions'!$L$32+CUMPRINC('Debt &amp; Equity Assumptions'!$L$23/12,'Debt &amp; Equity Assumptions'!$L$24,'Debt &amp; Equity Assumptions'!$L$32,1,(E$41*12),0)))</f>
        <v>0</v>
      </c>
      <c r="F46" s="42">
        <f>-IF(YEAR(F$40)=YEAR('Debt &amp; Equity Assumptions'!$L$22)-1,('Debt &amp; Equity Assumptions'!$L$32+CUMPRINC('Debt &amp; Equity Assumptions'!$L$23/12,'Debt &amp; Equity Assumptions'!$L$24,'Debt &amp; Equity Assumptions'!$L$32,1,(F$41*12),0)))</f>
        <v>0</v>
      </c>
      <c r="G46" s="42">
        <f>-IF(YEAR(G$40)=YEAR('Debt &amp; Equity Assumptions'!$L$22)-1,('Debt &amp; Equity Assumptions'!$L$32+CUMPRINC('Debt &amp; Equity Assumptions'!$L$23/12,'Debt &amp; Equity Assumptions'!$L$24,'Debt &amp; Equity Assumptions'!$L$32,1,(G$41*12),0)))</f>
        <v>0</v>
      </c>
      <c r="H46" s="42">
        <f>-IF(YEAR(H$40)=YEAR('Debt &amp; Equity Assumptions'!$L$22)-1,('Debt &amp; Equity Assumptions'!$L$32+CUMPRINC('Debt &amp; Equity Assumptions'!$L$23/12,'Debt &amp; Equity Assumptions'!$L$24,'Debt &amp; Equity Assumptions'!$L$32,1,(H$41*12),0)))</f>
        <v>0</v>
      </c>
      <c r="I46" s="42">
        <f>-IF(YEAR(I$40)=YEAR('Debt &amp; Equity Assumptions'!$L$22)-1,('Debt &amp; Equity Assumptions'!$L$32+CUMPRINC('Debt &amp; Equity Assumptions'!$L$23/12,'Debt &amp; Equity Assumptions'!$L$24,'Debt &amp; Equity Assumptions'!$L$32,1,(I$41*12),0)))</f>
        <v>0</v>
      </c>
      <c r="J46" s="42">
        <f>-IF(YEAR(J$40)=YEAR('Debt &amp; Equity Assumptions'!$L$22)-1,('Debt &amp; Equity Assumptions'!$L$32+CUMPRINC('Debt &amp; Equity Assumptions'!$L$23/12,'Debt &amp; Equity Assumptions'!$L$24,'Debt &amp; Equity Assumptions'!$L$32,1,(J$41*12),0)))</f>
        <v>-41989381.987686872</v>
      </c>
      <c r="K46" s="42">
        <f>-IF(YEAR(K$40)=YEAR('Debt &amp; Equity Assumptions'!$L$22)-1,('Debt &amp; Equity Assumptions'!$L$32+CUMPRINC('Debt &amp; Equity Assumptions'!$L$23/12,'Debt &amp; Equity Assumptions'!$L$24,'Debt &amp; Equity Assumptions'!$L$32,1,(K$41*12),0)))</f>
        <v>0</v>
      </c>
      <c r="L46" s="42">
        <f>-IF(YEAR(L$40)=YEAR('Debt &amp; Equity Assumptions'!$L$22)-1,('Debt &amp; Equity Assumptions'!$L$32+CUMPRINC('Debt &amp; Equity Assumptions'!$L$23/12,'Debt &amp; Equity Assumptions'!$L$24,'Debt &amp; Equity Assumptions'!$L$32,1,(L$41*12),0)))</f>
        <v>0</v>
      </c>
      <c r="M46" s="42">
        <f>-IF(YEAR(M$40)=YEAR('Debt &amp; Equity Assumptions'!$L$22)-1,('Debt &amp; Equity Assumptions'!$L$32+CUMPRINC('Debt &amp; Equity Assumptions'!$L$23/12,'Debt &amp; Equity Assumptions'!$L$24,'Debt &amp; Equity Assumptions'!$L$32,1,(M$41*12),0)))</f>
        <v>0</v>
      </c>
      <c r="N46" s="42">
        <f>-IF(YEAR(N$40)=YEAR('Debt &amp; Equity Assumptions'!$L$22)-1,('Debt &amp; Equity Assumptions'!$L$32+CUMPRINC('Debt &amp; Equity Assumptions'!$L$23/12,'Debt &amp; Equity Assumptions'!$L$24,'Debt &amp; Equity Assumptions'!$L$32,1,(N$41*12),0)))</f>
        <v>0</v>
      </c>
    </row>
    <row r="47" spans="2:14" x14ac:dyDescent="0.55000000000000004">
      <c r="B47" s="1" t="s">
        <v>25</v>
      </c>
      <c r="D47" s="17">
        <f>SUM(D43:D46)</f>
        <v>53603611.288486034</v>
      </c>
      <c r="E47" s="17">
        <f t="shared" ref="E47:N47" si="14">SUM(E43:E46)</f>
        <v>-3679863.8898235662</v>
      </c>
      <c r="F47" s="17">
        <f t="shared" si="14"/>
        <v>-3679863.8898235662</v>
      </c>
      <c r="G47" s="17">
        <f t="shared" si="14"/>
        <v>-3679863.8898235662</v>
      </c>
      <c r="H47" s="17">
        <f t="shared" si="14"/>
        <v>-3679863.8898235662</v>
      </c>
      <c r="I47" s="17">
        <f t="shared" si="14"/>
        <v>-3679863.8898235662</v>
      </c>
      <c r="J47" s="17">
        <f t="shared" si="14"/>
        <v>-45669245.877510436</v>
      </c>
      <c r="K47" s="17">
        <f t="shared" si="14"/>
        <v>0</v>
      </c>
      <c r="L47" s="17">
        <f t="shared" si="14"/>
        <v>0</v>
      </c>
      <c r="M47" s="17">
        <f t="shared" si="14"/>
        <v>0</v>
      </c>
      <c r="N47" s="17">
        <f t="shared" si="14"/>
        <v>0</v>
      </c>
    </row>
    <row r="48" spans="2:14" x14ac:dyDescent="0.55000000000000004"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2:14" x14ac:dyDescent="0.55000000000000004">
      <c r="B49" s="1" t="s">
        <v>23</v>
      </c>
      <c r="D49" s="43">
        <f>XIRR(D47:N47,D40:N40)</f>
        <v>3.5047093033790597E-2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</row>
    <row r="50" spans="2:14" x14ac:dyDescent="0.55000000000000004">
      <c r="B50" s="1" t="s">
        <v>26</v>
      </c>
      <c r="D50" s="44">
        <f>-SUMIF(D47:N47,"&lt;0")/SUMIF(D47:N47,"&gt;0")</f>
        <v>1.1952285263360622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</row>
  </sheetData>
  <conditionalFormatting sqref="D6:N6">
    <cfRule type="expression" dxfId="3" priority="1">
      <formula>(D6:N6)&lt;&gt;0</formula>
    </cfRule>
  </conditionalFormatting>
  <conditionalFormatting sqref="D13:N13">
    <cfRule type="expression" dxfId="2" priority="2">
      <formula>(D19:N19)&lt;&gt;0</formula>
    </cfRule>
  </conditionalFormatting>
  <conditionalFormatting sqref="D27:N27">
    <cfRule type="expression" dxfId="1" priority="3">
      <formula>(D33:N33)&lt;&gt;0</formula>
    </cfRule>
  </conditionalFormatting>
  <conditionalFormatting sqref="D41:N41">
    <cfRule type="expression" dxfId="0" priority="4">
      <formula>(D47:N47)&lt;&gt;0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C034F-68FA-4945-B330-C1E4191B9AA8}">
  <dimension ref="B2:O22"/>
  <sheetViews>
    <sheetView topLeftCell="D1" zoomScale="98" workbookViewId="0">
      <selection activeCell="J3" sqref="J3"/>
    </sheetView>
    <sheetView topLeftCell="C1" zoomScale="77" workbookViewId="1">
      <selection activeCell="K6" sqref="K6"/>
    </sheetView>
  </sheetViews>
  <sheetFormatPr defaultColWidth="9" defaultRowHeight="15.4" x14ac:dyDescent="0.55000000000000004"/>
  <cols>
    <col min="1" max="1" width="9" style="1"/>
    <col min="2" max="2" width="33.59765625" style="1" bestFit="1" customWidth="1"/>
    <col min="3" max="3" width="9.3984375" style="1" customWidth="1"/>
    <col min="4" max="4" width="13.59765625" style="1" bestFit="1" customWidth="1"/>
    <col min="5" max="8" width="11.1328125" style="1" bestFit="1" customWidth="1"/>
    <col min="9" max="13" width="11.265625" style="1" bestFit="1" customWidth="1"/>
    <col min="14" max="15" width="12.1328125" style="1" bestFit="1" customWidth="1"/>
    <col min="16" max="16384" width="9" style="1"/>
  </cols>
  <sheetData>
    <row r="2" spans="2:15" x14ac:dyDescent="0.55000000000000004">
      <c r="D2" s="54">
        <v>0</v>
      </c>
      <c r="E2" s="54" cm="1">
        <f t="array" ref="E2:N2">_xlfn.SEQUENCE(1,10,1,1)</f>
        <v>1</v>
      </c>
      <c r="F2" s="54">
        <v>2</v>
      </c>
      <c r="G2" s="54">
        <v>3</v>
      </c>
      <c r="H2" s="54">
        <v>4</v>
      </c>
      <c r="I2" s="54">
        <v>5</v>
      </c>
      <c r="J2" s="54">
        <v>6</v>
      </c>
      <c r="K2" s="54">
        <v>7</v>
      </c>
      <c r="L2" s="54">
        <v>8</v>
      </c>
      <c r="M2" s="54">
        <v>9</v>
      </c>
      <c r="N2" s="54">
        <v>10</v>
      </c>
      <c r="O2" s="54">
        <v>11</v>
      </c>
    </row>
    <row r="3" spans="2:15" x14ac:dyDescent="0.55000000000000004">
      <c r="B3" s="51" t="s">
        <v>43</v>
      </c>
      <c r="D3" s="52">
        <v>-13580221.052631577</v>
      </c>
      <c r="E3" s="53">
        <v>964351.09736842103</v>
      </c>
      <c r="F3" s="53">
        <v>979810.48231578944</v>
      </c>
      <c r="G3" s="53">
        <v>998955.01196210505</v>
      </c>
      <c r="H3" s="53">
        <v>1018477.6118013473</v>
      </c>
      <c r="I3" s="53">
        <v>-61614.301374625589</v>
      </c>
      <c r="J3" s="53">
        <v>-15236773.976128761</v>
      </c>
      <c r="K3" s="53">
        <v>-1395236.7727447147</v>
      </c>
      <c r="L3" s="53">
        <v>5823525.8603278026</v>
      </c>
      <c r="M3" s="53">
        <v>5940895.021332263</v>
      </c>
      <c r="N3" s="53">
        <v>137077664.45883486</v>
      </c>
      <c r="O3" s="50"/>
    </row>
    <row r="4" spans="2:15" x14ac:dyDescent="0.55000000000000004">
      <c r="B4" s="51" t="s">
        <v>25</v>
      </c>
      <c r="D4" s="58">
        <f>'Debt Returns'!D6</f>
        <v>11770482.110803403</v>
      </c>
      <c r="E4" s="58">
        <f>'Debt Returns'!E6</f>
        <v>-848962.25333332422</v>
      </c>
      <c r="F4" s="58">
        <f>'Debt Returns'!F6</f>
        <v>-848962.25333332422</v>
      </c>
      <c r="G4" s="58">
        <f>'Debt Returns'!G6</f>
        <v>-848962.25333332422</v>
      </c>
      <c r="H4" s="58">
        <f>'Debt Returns'!H6</f>
        <v>599801.29250469245</v>
      </c>
      <c r="I4" s="58">
        <f>'Debt Returns'!I6</f>
        <v>-912738.66666666674</v>
      </c>
      <c r="J4" s="58">
        <f>'Debt Returns'!J6</f>
        <v>41281639.288486034</v>
      </c>
      <c r="K4" s="58">
        <f>'Debt Returns'!K6</f>
        <v>-3679863.8898235662</v>
      </c>
      <c r="L4" s="58">
        <f>'Debt Returns'!L6</f>
        <v>-3679863.8898235662</v>
      </c>
      <c r="M4" s="58">
        <f>'Debt Returns'!M6</f>
        <v>-3679863.8898235662</v>
      </c>
      <c r="N4" s="58">
        <f>'Debt Returns'!N6</f>
        <v>-3679863.8898235662</v>
      </c>
      <c r="O4" s="58">
        <f>'Debt Returns'!O6</f>
        <v>0</v>
      </c>
    </row>
    <row r="5" spans="2:15" x14ac:dyDescent="0.55000000000000004">
      <c r="E5" s="18"/>
      <c r="F5" s="18"/>
      <c r="G5" s="18"/>
      <c r="H5" s="18"/>
      <c r="I5" s="18"/>
      <c r="J5" s="18"/>
      <c r="K5" s="18"/>
      <c r="L5" s="18"/>
      <c r="M5" s="18"/>
      <c r="N5" s="18"/>
    </row>
    <row r="6" spans="2:15" x14ac:dyDescent="0.55000000000000004">
      <c r="B6" s="1" t="s">
        <v>0</v>
      </c>
      <c r="D6" s="17">
        <f>SUM(D3:D4)</f>
        <v>-1809738.9418281745</v>
      </c>
      <c r="E6" s="17">
        <f t="shared" ref="E6:N6" si="0">SUM(E3:E4)</f>
        <v>115388.84403509682</v>
      </c>
      <c r="F6" s="17">
        <f t="shared" si="0"/>
        <v>130848.22898246523</v>
      </c>
      <c r="G6" s="17">
        <f t="shared" si="0"/>
        <v>149992.75862878084</v>
      </c>
      <c r="H6" s="17">
        <f t="shared" si="0"/>
        <v>1618278.9043060397</v>
      </c>
      <c r="I6" s="17">
        <f t="shared" si="0"/>
        <v>-974352.96804129239</v>
      </c>
      <c r="J6" s="17">
        <f t="shared" si="0"/>
        <v>26044865.312357273</v>
      </c>
      <c r="K6" s="17">
        <f t="shared" si="0"/>
        <v>-5075100.6625682805</v>
      </c>
      <c r="L6" s="17">
        <f t="shared" si="0"/>
        <v>2143661.9705042364</v>
      </c>
      <c r="M6" s="17">
        <f t="shared" si="0"/>
        <v>2261031.1315086968</v>
      </c>
      <c r="N6" s="17">
        <f t="shared" si="0"/>
        <v>133397800.56901129</v>
      </c>
      <c r="O6" s="17"/>
    </row>
    <row r="7" spans="2:15" x14ac:dyDescent="0.55000000000000004">
      <c r="B7" s="1" t="s">
        <v>23</v>
      </c>
      <c r="C7" s="306">
        <f>IRR(D6:N6)</f>
        <v>0.71676992667062689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</row>
    <row r="8" spans="2:15" x14ac:dyDescent="0.55000000000000004">
      <c r="B8" s="2" t="s">
        <v>10</v>
      </c>
      <c r="C8" s="2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9" spans="2:15" x14ac:dyDescent="0.55000000000000004">
      <c r="B9" s="4" t="s">
        <v>1</v>
      </c>
      <c r="C9" s="4"/>
      <c r="D9" s="17">
        <f t="shared" ref="D9" si="1">C20</f>
        <v>0</v>
      </c>
      <c r="E9" s="17">
        <f t="shared" ref="E9" si="2">D20</f>
        <v>1809738.9418281745</v>
      </c>
      <c r="F9" s="17">
        <f t="shared" ref="F9" si="3">E20</f>
        <v>1875323.9919758951</v>
      </c>
      <c r="G9" s="17">
        <f t="shared" ref="G9:H9" si="4">F20</f>
        <v>1932008.1621910194</v>
      </c>
      <c r="H9" s="17">
        <f t="shared" si="4"/>
        <v>1975216.2197813406</v>
      </c>
      <c r="I9" s="17">
        <f t="shared" ref="I9:N9" si="5">H20</f>
        <v>719936.21540660108</v>
      </c>
      <c r="J9" s="17">
        <f t="shared" si="5"/>
        <v>1766282.8049885535</v>
      </c>
      <c r="K9" s="17">
        <f t="shared" si="5"/>
        <v>-23864483.327376042</v>
      </c>
      <c r="L9" s="17">
        <f t="shared" si="5"/>
        <v>-21175830.997545365</v>
      </c>
      <c r="M9" s="17">
        <f t="shared" si="5"/>
        <v>-19026853.564301588</v>
      </c>
      <c r="N9" s="17">
        <f t="shared" si="5"/>
        <v>-19385199.339380126</v>
      </c>
      <c r="O9" s="17">
        <f>N20</f>
        <v>-150844479.97445339</v>
      </c>
    </row>
    <row r="10" spans="2:15" ht="12" customHeight="1" x14ac:dyDescent="0.55000000000000004">
      <c r="B10" s="4"/>
      <c r="C10" s="4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</row>
    <row r="11" spans="2:15" x14ac:dyDescent="0.55000000000000004">
      <c r="B11" s="3" t="s">
        <v>2</v>
      </c>
      <c r="C11" s="3"/>
      <c r="D11" s="17">
        <f t="shared" ref="D11:O11" si="6">-IF(D$6&lt;0,D$6,0)</f>
        <v>1809738.9418281745</v>
      </c>
      <c r="E11" s="17">
        <f t="shared" si="6"/>
        <v>0</v>
      </c>
      <c r="F11" s="17">
        <f t="shared" si="6"/>
        <v>0</v>
      </c>
      <c r="G11" s="17">
        <f t="shared" si="6"/>
        <v>0</v>
      </c>
      <c r="H11" s="17">
        <f t="shared" si="6"/>
        <v>0</v>
      </c>
      <c r="I11" s="17">
        <f t="shared" si="6"/>
        <v>974352.96804129239</v>
      </c>
      <c r="J11" s="17">
        <f t="shared" si="6"/>
        <v>0</v>
      </c>
      <c r="K11" s="17">
        <f t="shared" si="6"/>
        <v>5075100.6625682805</v>
      </c>
      <c r="L11" s="17">
        <f t="shared" si="6"/>
        <v>0</v>
      </c>
      <c r="M11" s="17">
        <f t="shared" si="6"/>
        <v>0</v>
      </c>
      <c r="N11" s="17">
        <f t="shared" si="6"/>
        <v>0</v>
      </c>
      <c r="O11" s="17">
        <f t="shared" si="6"/>
        <v>0</v>
      </c>
    </row>
    <row r="12" spans="2:15" x14ac:dyDescent="0.55000000000000004">
      <c r="B12" s="3" t="s">
        <v>3</v>
      </c>
      <c r="C12" s="3"/>
      <c r="D12" s="17">
        <f>IF(AND(D2&gt;0,D2&lt;='Debt &amp; Equity Assumptions'!$D$3),D$9*'Debt &amp; Equity Assumptions'!$D$10,0)</f>
        <v>0</v>
      </c>
      <c r="E12" s="17">
        <f>IF(AND(E2&gt;0,E2&lt;='Debt &amp; Equity Assumptions'!$D$3),E$9*'Debt &amp; Equity Assumptions'!$D$10,0)</f>
        <v>180973.89418281746</v>
      </c>
      <c r="F12" s="17">
        <f>IF(AND(F2&gt;0,F2&lt;='Debt &amp; Equity Assumptions'!$D$3),F$9*'Debt &amp; Equity Assumptions'!$D$10,0)</f>
        <v>187532.39919758952</v>
      </c>
      <c r="G12" s="17">
        <f>IF(AND(G2&gt;0,G2&lt;='Debt &amp; Equity Assumptions'!$D$3),G$9*'Debt &amp; Equity Assumptions'!$D$10,0)</f>
        <v>193200.81621910195</v>
      </c>
      <c r="H12" s="17">
        <f>IF(AND(H2&gt;0,H2&lt;='Debt &amp; Equity Assumptions'!$D$3),H$9*'Debt &amp; Equity Assumptions'!$D$10,0)</f>
        <v>197521.62197813406</v>
      </c>
      <c r="I12" s="17">
        <f>IF(AND(I2&gt;0,I2&lt;='Debt &amp; Equity Assumptions'!$D$3),I$9*'Debt &amp; Equity Assumptions'!$D$10,0)</f>
        <v>71993.621540660111</v>
      </c>
      <c r="J12" s="17">
        <f>IF(AND(J2&gt;0,J2&lt;='Debt &amp; Equity Assumptions'!$D$3),J$9*'Debt &amp; Equity Assumptions'!$D$10,0)</f>
        <v>176628.28049885537</v>
      </c>
      <c r="K12" s="17">
        <f>IF(AND(K2&gt;0,K2&lt;='Debt &amp; Equity Assumptions'!$D$3),K$9*'Debt &amp; Equity Assumptions'!$D$10,0)</f>
        <v>-2386448.3327376042</v>
      </c>
      <c r="L12" s="17">
        <f>IF(AND(L2&gt;0,L2&lt;='Debt &amp; Equity Assumptions'!$D$3),L$9*'Debt &amp; Equity Assumptions'!$D$10,0)</f>
        <v>-2117583.0997545365</v>
      </c>
      <c r="M12" s="17">
        <f>IF(AND(M2&gt;0,M2&lt;='Debt &amp; Equity Assumptions'!$D$3),M$9*'Debt &amp; Equity Assumptions'!$D$10,0)</f>
        <v>-1902685.356430159</v>
      </c>
      <c r="N12" s="17">
        <f>IF(AND(N2&gt;0,N2&lt;='Debt &amp; Equity Assumptions'!$D$3),N$9*'Debt &amp; Equity Assumptions'!$D$10,0)</f>
        <v>-1938519.9339380127</v>
      </c>
      <c r="O12" s="17">
        <f>IF(AND(O2&gt;0,O2&lt;='Debt &amp; Equity Assumptions'!$D$3),O$9*'Debt &amp; Equity Assumptions'!$D$10,0)</f>
        <v>0</v>
      </c>
    </row>
    <row r="13" spans="2:15" x14ac:dyDescent="0.55000000000000004">
      <c r="B13" s="3" t="s">
        <v>4</v>
      </c>
      <c r="C13" s="3"/>
      <c r="D13" s="17">
        <f>-IF(D6&gt;0,MIN(D12,D6,SUM(C17,D12)),0)</f>
        <v>0</v>
      </c>
      <c r="E13" s="17">
        <f t="shared" ref="E13:O13" si="7">-IF(E6&gt;0,MIN(E12,E6,SUM(D17,E12)),0)</f>
        <v>-115388.84403509682</v>
      </c>
      <c r="F13" s="17">
        <f t="shared" si="7"/>
        <v>-130848.22898246523</v>
      </c>
      <c r="G13" s="17">
        <f t="shared" si="7"/>
        <v>-149992.75862878084</v>
      </c>
      <c r="H13" s="17">
        <f t="shared" si="7"/>
        <v>-197521.62197813406</v>
      </c>
      <c r="I13" s="17">
        <f t="shared" si="7"/>
        <v>0</v>
      </c>
      <c r="J13" s="17">
        <f t="shared" si="7"/>
        <v>-176628.28049885537</v>
      </c>
      <c r="K13" s="17">
        <f t="shared" si="7"/>
        <v>0</v>
      </c>
      <c r="L13" s="17">
        <f t="shared" si="7"/>
        <v>4266560.5329983141</v>
      </c>
      <c r="M13" s="17">
        <f t="shared" si="7"/>
        <v>1902685.356430159</v>
      </c>
      <c r="N13" s="17">
        <f t="shared" si="7"/>
        <v>1938519.9339380127</v>
      </c>
      <c r="O13" s="17">
        <f t="shared" si="7"/>
        <v>0</v>
      </c>
    </row>
    <row r="14" spans="2:15" x14ac:dyDescent="0.55000000000000004">
      <c r="B14" s="3" t="s">
        <v>5</v>
      </c>
      <c r="C14" s="3"/>
      <c r="D14" s="17">
        <f>SUM(D12:D13)</f>
        <v>0</v>
      </c>
      <c r="E14" s="17">
        <f>SUM(E12:E13)</f>
        <v>65585.050147720642</v>
      </c>
      <c r="F14" s="17">
        <f t="shared" ref="F14:O14" si="8">SUM(F12:F13)</f>
        <v>56684.170215124293</v>
      </c>
      <c r="G14" s="17">
        <f t="shared" si="8"/>
        <v>43208.057590321114</v>
      </c>
      <c r="H14" s="17">
        <f t="shared" si="8"/>
        <v>0</v>
      </c>
      <c r="I14" s="17">
        <f t="shared" si="8"/>
        <v>71993.621540660111</v>
      </c>
      <c r="J14" s="17">
        <f t="shared" si="8"/>
        <v>0</v>
      </c>
      <c r="K14" s="17">
        <f t="shared" si="8"/>
        <v>-2386448.3327376042</v>
      </c>
      <c r="L14" s="17">
        <f t="shared" si="8"/>
        <v>2148977.4332437776</v>
      </c>
      <c r="M14" s="17">
        <f t="shared" si="8"/>
        <v>0</v>
      </c>
      <c r="N14" s="17">
        <f t="shared" si="8"/>
        <v>0</v>
      </c>
      <c r="O14" s="17">
        <f t="shared" si="8"/>
        <v>0</v>
      </c>
    </row>
    <row r="15" spans="2:15" x14ac:dyDescent="0.55000000000000004">
      <c r="B15" s="3" t="s">
        <v>6</v>
      </c>
      <c r="C15" s="3"/>
      <c r="D15" s="17">
        <f>IF(D6&gt;0,MAX(MIN(D6-D13,SUM(D6,-C17,-D12)),0),0)</f>
        <v>0</v>
      </c>
      <c r="E15" s="17">
        <f t="shared" ref="E15:N15" si="9">IF(E6&gt;0,MAX(MIN(E6-E13,SUM(E6,-D17,-E12)),0),0)</f>
        <v>0</v>
      </c>
      <c r="F15" s="17">
        <f t="shared" si="9"/>
        <v>0</v>
      </c>
      <c r="G15" s="17">
        <f t="shared" si="9"/>
        <v>0</v>
      </c>
      <c r="H15" s="17">
        <f t="shared" si="9"/>
        <v>1255280.0043747395</v>
      </c>
      <c r="I15" s="17">
        <f t="shared" si="9"/>
        <v>0</v>
      </c>
      <c r="J15" s="17">
        <f t="shared" si="9"/>
        <v>25630766.132364593</v>
      </c>
      <c r="K15" s="17">
        <f t="shared" si="9"/>
        <v>0</v>
      </c>
      <c r="L15" s="17">
        <f t="shared" si="9"/>
        <v>0</v>
      </c>
      <c r="M15" s="17">
        <f t="shared" si="9"/>
        <v>358345.77507853787</v>
      </c>
      <c r="N15" s="17">
        <f t="shared" si="9"/>
        <v>131459280.63507327</v>
      </c>
      <c r="O15" s="17">
        <f>IF(O6&gt;0,MAX(MIN(O6-O13,SUM(O6,-N17,-O12)),0),0)</f>
        <v>0</v>
      </c>
    </row>
    <row r="16" spans="2:15" ht="10.15" customHeight="1" x14ac:dyDescent="0.55000000000000004">
      <c r="B16" s="3"/>
      <c r="C16" s="3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</row>
    <row r="17" spans="2:15" x14ac:dyDescent="0.55000000000000004">
      <c r="B17" s="1" t="s">
        <v>7</v>
      </c>
      <c r="D17" s="17">
        <f>C17+D14</f>
        <v>0</v>
      </c>
      <c r="E17" s="17">
        <f t="shared" ref="E17:N17" si="10">D17+E14</f>
        <v>65585.050147720642</v>
      </c>
      <c r="F17" s="17">
        <f t="shared" si="10"/>
        <v>122269.22036284494</v>
      </c>
      <c r="G17" s="17">
        <f t="shared" si="10"/>
        <v>165477.27795316605</v>
      </c>
      <c r="H17" s="17">
        <f t="shared" si="10"/>
        <v>165477.27795316605</v>
      </c>
      <c r="I17" s="17">
        <f t="shared" si="10"/>
        <v>237470.89949382615</v>
      </c>
      <c r="J17" s="17">
        <f t="shared" si="10"/>
        <v>237470.89949382615</v>
      </c>
      <c r="K17" s="17">
        <f t="shared" si="10"/>
        <v>-2148977.4332437781</v>
      </c>
      <c r="L17" s="17">
        <f t="shared" si="10"/>
        <v>0</v>
      </c>
      <c r="M17" s="17">
        <f t="shared" si="10"/>
        <v>0</v>
      </c>
      <c r="N17" s="17">
        <f t="shared" si="10"/>
        <v>0</v>
      </c>
      <c r="O17" s="17">
        <f>N17+O14-O13</f>
        <v>0</v>
      </c>
    </row>
    <row r="18" spans="2:15" x14ac:dyDescent="0.55000000000000004">
      <c r="B18" s="1" t="s">
        <v>8</v>
      </c>
      <c r="D18" s="17">
        <f t="shared" ref="D18" si="11">C18-D15+D11</f>
        <v>1809738.9418281745</v>
      </c>
      <c r="E18" s="17">
        <f t="shared" ref="E18" si="12">D18-E15+E11</f>
        <v>1809738.9418281745</v>
      </c>
      <c r="F18" s="17">
        <f t="shared" ref="F18" si="13">E18-F15+F11</f>
        <v>1809738.9418281745</v>
      </c>
      <c r="G18" s="17">
        <f t="shared" ref="G18:H18" si="14">F18-G15+G11</f>
        <v>1809738.9418281745</v>
      </c>
      <c r="H18" s="17">
        <f t="shared" si="14"/>
        <v>554458.93745343504</v>
      </c>
      <c r="I18" s="17">
        <f t="shared" ref="I18:N18" si="15">H18-I15+I11</f>
        <v>1528811.9054947274</v>
      </c>
      <c r="J18" s="17">
        <f t="shared" si="15"/>
        <v>-24101954.226869866</v>
      </c>
      <c r="K18" s="17">
        <f t="shared" si="15"/>
        <v>-19026853.564301588</v>
      </c>
      <c r="L18" s="17">
        <f t="shared" si="15"/>
        <v>-19026853.564301588</v>
      </c>
      <c r="M18" s="17">
        <f t="shared" si="15"/>
        <v>-19385199.339380126</v>
      </c>
      <c r="N18" s="17">
        <f t="shared" si="15"/>
        <v>-150844479.97445339</v>
      </c>
      <c r="O18" s="17">
        <f>N18-O15+O11</f>
        <v>-150844479.97445339</v>
      </c>
    </row>
    <row r="19" spans="2:15" ht="9.4" customHeight="1" x14ac:dyDescent="0.55000000000000004"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</row>
    <row r="20" spans="2:15" x14ac:dyDescent="0.55000000000000004">
      <c r="B20" s="1" t="s">
        <v>9</v>
      </c>
      <c r="C20" s="19">
        <v>0</v>
      </c>
      <c r="D20" s="17">
        <f t="shared" ref="D20" si="16">SUM(D17:D18)</f>
        <v>1809738.9418281745</v>
      </c>
      <c r="E20" s="17">
        <f t="shared" ref="E20" si="17">SUM(E17:E18)</f>
        <v>1875323.9919758951</v>
      </c>
      <c r="F20" s="17">
        <f t="shared" ref="F20" si="18">SUM(F17:F18)</f>
        <v>1932008.1621910194</v>
      </c>
      <c r="G20" s="17">
        <f t="shared" ref="G20:H20" si="19">SUM(G17:G18)</f>
        <v>1975216.2197813406</v>
      </c>
      <c r="H20" s="17">
        <f t="shared" si="19"/>
        <v>719936.21540660108</v>
      </c>
      <c r="I20" s="17">
        <f t="shared" ref="I20:O20" si="20">SUM(I17:I18)</f>
        <v>1766282.8049885535</v>
      </c>
      <c r="J20" s="17">
        <f t="shared" si="20"/>
        <v>-23864483.327376042</v>
      </c>
      <c r="K20" s="17">
        <f t="shared" si="20"/>
        <v>-21175830.997545365</v>
      </c>
      <c r="L20" s="17">
        <f t="shared" si="20"/>
        <v>-19026853.564301588</v>
      </c>
      <c r="M20" s="17">
        <f t="shared" si="20"/>
        <v>-19385199.339380126</v>
      </c>
      <c r="N20" s="17">
        <f t="shared" si="20"/>
        <v>-150844479.97445339</v>
      </c>
      <c r="O20" s="17">
        <f t="shared" si="20"/>
        <v>-150844479.97445339</v>
      </c>
    </row>
    <row r="21" spans="2:15" x14ac:dyDescent="0.55000000000000004"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</row>
    <row r="22" spans="2:15" x14ac:dyDescent="0.55000000000000004"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Annual Pro Forma</vt:lpstr>
      <vt:lpstr>Torrance Pro Forma</vt:lpstr>
      <vt:lpstr>Torrance Inputs</vt:lpstr>
      <vt:lpstr>Debt &amp; Equity Assumptions</vt:lpstr>
      <vt:lpstr>Debt Returns</vt:lpstr>
      <vt:lpstr>Equity Returns</vt:lpstr>
      <vt:lpstr>'Torrance Inputs'!analysis_start</vt:lpstr>
      <vt:lpstr>'Torrance Inputs'!market_rent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Tran</dc:creator>
  <cp:lastModifiedBy>Kyle Tran</cp:lastModifiedBy>
  <dcterms:created xsi:type="dcterms:W3CDTF">2025-03-06T19:57:38Z</dcterms:created>
  <dcterms:modified xsi:type="dcterms:W3CDTF">2025-03-11T08:04:55Z</dcterms:modified>
</cp:coreProperties>
</file>